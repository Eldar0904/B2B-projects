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ine\Documents\Claude\Projects\B2B projects\"/>
    </mc:Choice>
  </mc:AlternateContent>
  <xr:revisionPtr revIDLastSave="0" documentId="13_ncr:1_{838DFC4B-F134-4CB2-A224-FFFC4C72C813}" xr6:coauthVersionLast="47" xr6:coauthVersionMax="47" xr10:uidLastSave="{00000000-0000-0000-0000-000000000000}"/>
  <bookViews>
    <workbookView xWindow="3330" yWindow="555" windowWidth="21780" windowHeight="14190" xr2:uid="{8EBE724C-94F2-41AD-90EF-527E38950C3C}"/>
  </bookViews>
  <sheets>
    <sheet name="Список сводный д.сад"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2" i="1" l="1"/>
  <c r="G2" i="1"/>
  <c r="F3" i="1"/>
  <c r="G3" i="1"/>
  <c r="F4" i="1"/>
  <c r="G4" i="1"/>
  <c r="F5" i="1"/>
  <c r="G5" i="1"/>
  <c r="F6" i="1"/>
  <c r="G6" i="1"/>
  <c r="F7" i="1"/>
  <c r="G7" i="1"/>
  <c r="F8" i="1"/>
  <c r="G8" i="1"/>
  <c r="F9" i="1"/>
  <c r="G9" i="1"/>
  <c r="F10" i="1"/>
  <c r="G10" i="1"/>
  <c r="F11" i="1"/>
  <c r="G11" i="1"/>
  <c r="F12" i="1"/>
  <c r="G12" i="1"/>
  <c r="F13" i="1"/>
  <c r="G13" i="1"/>
  <c r="F14" i="1"/>
  <c r="G14" i="1"/>
  <c r="F15" i="1"/>
  <c r="G15" i="1"/>
  <c r="F16" i="1"/>
  <c r="G16" i="1"/>
  <c r="F17" i="1"/>
  <c r="G17" i="1"/>
  <c r="F18" i="1"/>
  <c r="G18" i="1"/>
  <c r="F19" i="1"/>
  <c r="G19" i="1"/>
  <c r="F20" i="1"/>
  <c r="G20" i="1"/>
  <c r="F21" i="1"/>
  <c r="G21" i="1"/>
  <c r="F22" i="1"/>
  <c r="G22" i="1"/>
  <c r="F23" i="1"/>
  <c r="G23" i="1"/>
  <c r="F24" i="1"/>
  <c r="G24" i="1"/>
  <c r="F25" i="1"/>
  <c r="G25" i="1"/>
  <c r="F26" i="1"/>
  <c r="G26" i="1"/>
  <c r="F27" i="1"/>
  <c r="G27" i="1"/>
  <c r="F28" i="1"/>
  <c r="G28" i="1"/>
  <c r="F29" i="1"/>
  <c r="G29" i="1"/>
  <c r="F30" i="1"/>
  <c r="G30" i="1"/>
  <c r="F31" i="1"/>
  <c r="G31" i="1"/>
  <c r="F32" i="1"/>
  <c r="G32" i="1"/>
  <c r="F33" i="1"/>
  <c r="G33" i="1"/>
  <c r="F34" i="1"/>
  <c r="G34" i="1"/>
  <c r="F35" i="1"/>
  <c r="G35" i="1"/>
  <c r="F36" i="1"/>
  <c r="G36" i="1"/>
  <c r="F37" i="1"/>
  <c r="G37" i="1"/>
  <c r="F38" i="1"/>
  <c r="G38" i="1"/>
  <c r="F39" i="1"/>
  <c r="G39" i="1"/>
  <c r="F40" i="1"/>
  <c r="G40" i="1"/>
  <c r="F41" i="1"/>
  <c r="G41" i="1"/>
  <c r="F42" i="1"/>
  <c r="G42" i="1"/>
  <c r="F43" i="1"/>
  <c r="G43" i="1"/>
  <c r="F44" i="1"/>
  <c r="G44" i="1"/>
  <c r="F45" i="1"/>
  <c r="G45" i="1"/>
  <c r="F46" i="1"/>
  <c r="G46" i="1"/>
  <c r="F47" i="1"/>
  <c r="G47" i="1"/>
  <c r="F48" i="1"/>
  <c r="G48" i="1"/>
  <c r="F49" i="1"/>
  <c r="G49" i="1"/>
  <c r="F50" i="1"/>
  <c r="G50" i="1"/>
  <c r="F51" i="1"/>
  <c r="G51" i="1"/>
  <c r="F52" i="1"/>
  <c r="G52" i="1"/>
  <c r="F53" i="1"/>
  <c r="G53" i="1"/>
  <c r="F54" i="1"/>
  <c r="G54" i="1"/>
  <c r="F55" i="1"/>
  <c r="G55" i="1"/>
  <c r="F56" i="1"/>
  <c r="G56" i="1"/>
  <c r="F57" i="1"/>
  <c r="G57" i="1"/>
  <c r="F58" i="1"/>
  <c r="G58" i="1"/>
  <c r="F59" i="1"/>
  <c r="G59" i="1"/>
  <c r="F60" i="1"/>
  <c r="G60" i="1"/>
  <c r="F61" i="1"/>
  <c r="G61" i="1"/>
  <c r="F62" i="1"/>
  <c r="G62" i="1"/>
  <c r="F63" i="1"/>
  <c r="G63" i="1"/>
  <c r="F64" i="1"/>
  <c r="G64" i="1"/>
  <c r="F65" i="1"/>
  <c r="G65" i="1"/>
  <c r="F66" i="1"/>
  <c r="G66" i="1"/>
  <c r="F67" i="1"/>
  <c r="G67" i="1"/>
  <c r="F68" i="1"/>
  <c r="G68" i="1"/>
  <c r="F69" i="1"/>
  <c r="G69" i="1"/>
  <c r="F70" i="1"/>
  <c r="G70" i="1"/>
  <c r="F71" i="1"/>
  <c r="G71" i="1"/>
  <c r="F72" i="1"/>
  <c r="G72" i="1"/>
  <c r="F73" i="1"/>
  <c r="G73" i="1"/>
  <c r="F74" i="1"/>
  <c r="G74" i="1"/>
  <c r="F75" i="1"/>
  <c r="G75" i="1"/>
  <c r="F76" i="1"/>
  <c r="G76" i="1"/>
  <c r="F77" i="1"/>
  <c r="G77" i="1"/>
  <c r="F78" i="1"/>
  <c r="G78" i="1"/>
  <c r="F79" i="1"/>
  <c r="G79" i="1"/>
  <c r="F80" i="1"/>
  <c r="G80" i="1"/>
  <c r="F81" i="1"/>
  <c r="G81" i="1"/>
  <c r="F82" i="1"/>
  <c r="G82" i="1"/>
  <c r="F83" i="1"/>
  <c r="G83" i="1"/>
  <c r="F84" i="1"/>
  <c r="G84" i="1"/>
  <c r="F85" i="1"/>
  <c r="G85" i="1"/>
  <c r="F86" i="1"/>
  <c r="G86" i="1"/>
  <c r="F87" i="1"/>
  <c r="G87" i="1"/>
  <c r="F88" i="1"/>
  <c r="G88" i="1"/>
  <c r="F89" i="1"/>
  <c r="G89" i="1"/>
  <c r="F90" i="1"/>
  <c r="G90" i="1"/>
  <c r="F91" i="1"/>
  <c r="G91" i="1"/>
  <c r="F92" i="1"/>
  <c r="G92" i="1"/>
  <c r="F93" i="1"/>
  <c r="G93" i="1"/>
  <c r="F94" i="1"/>
  <c r="G94" i="1"/>
  <c r="F95" i="1"/>
  <c r="G95" i="1"/>
  <c r="F96" i="1"/>
  <c r="G96" i="1"/>
  <c r="F97" i="1"/>
  <c r="G97" i="1"/>
  <c r="F98" i="1"/>
  <c r="G98" i="1"/>
  <c r="F99" i="1"/>
  <c r="G99" i="1"/>
  <c r="F100" i="1"/>
  <c r="G100" i="1"/>
  <c r="F101" i="1"/>
  <c r="G101" i="1"/>
  <c r="F102" i="1"/>
  <c r="G102" i="1"/>
  <c r="F103" i="1"/>
  <c r="G103" i="1"/>
  <c r="F104" i="1"/>
  <c r="G104" i="1"/>
  <c r="F105" i="1"/>
  <c r="G105" i="1"/>
  <c r="F106" i="1"/>
  <c r="G106" i="1"/>
  <c r="F107" i="1"/>
  <c r="G107" i="1"/>
  <c r="F108" i="1"/>
  <c r="G108" i="1"/>
  <c r="F109" i="1"/>
  <c r="G109" i="1"/>
  <c r="F110" i="1"/>
  <c r="G110" i="1"/>
  <c r="F111" i="1"/>
  <c r="G111" i="1"/>
  <c r="F112" i="1"/>
  <c r="G112" i="1"/>
  <c r="F113" i="1"/>
  <c r="G113" i="1"/>
  <c r="F114" i="1"/>
  <c r="G114" i="1"/>
  <c r="F115" i="1"/>
  <c r="G115" i="1"/>
  <c r="F116" i="1"/>
  <c r="G116" i="1"/>
  <c r="F117" i="1"/>
  <c r="G117" i="1"/>
  <c r="F118" i="1"/>
  <c r="G118" i="1"/>
  <c r="F119" i="1"/>
  <c r="G119" i="1"/>
  <c r="F120" i="1"/>
  <c r="G120" i="1"/>
  <c r="F121" i="1"/>
  <c r="G121" i="1"/>
  <c r="F122" i="1"/>
  <c r="G122" i="1"/>
  <c r="F123" i="1"/>
  <c r="G123" i="1"/>
  <c r="F124" i="1"/>
  <c r="G124" i="1"/>
  <c r="F125" i="1"/>
  <c r="G125" i="1"/>
  <c r="F126" i="1"/>
  <c r="G126" i="1"/>
  <c r="F127" i="1"/>
  <c r="G127" i="1"/>
  <c r="F128" i="1"/>
  <c r="G128" i="1"/>
  <c r="F129" i="1"/>
  <c r="G129" i="1"/>
  <c r="F130" i="1"/>
  <c r="G130" i="1"/>
  <c r="F131" i="1"/>
  <c r="G131" i="1"/>
  <c r="F132" i="1"/>
  <c r="G132" i="1"/>
  <c r="F133" i="1"/>
  <c r="G133" i="1"/>
  <c r="F134" i="1"/>
  <c r="G134" i="1"/>
  <c r="F135" i="1"/>
  <c r="G135" i="1"/>
  <c r="F136" i="1"/>
  <c r="G136" i="1"/>
  <c r="F137" i="1"/>
  <c r="G137" i="1"/>
  <c r="F138" i="1"/>
  <c r="G138" i="1"/>
  <c r="F139" i="1"/>
  <c r="G139" i="1"/>
  <c r="F140" i="1"/>
  <c r="G140" i="1"/>
  <c r="F141" i="1"/>
  <c r="G141" i="1"/>
  <c r="F142" i="1"/>
  <c r="G142" i="1"/>
  <c r="F143" i="1"/>
  <c r="G143" i="1"/>
  <c r="F144" i="1"/>
  <c r="G144" i="1"/>
  <c r="F145" i="1"/>
  <c r="G145" i="1"/>
  <c r="F146" i="1"/>
  <c r="G146" i="1"/>
  <c r="F147" i="1"/>
  <c r="G147" i="1"/>
  <c r="F148" i="1"/>
  <c r="G148" i="1"/>
  <c r="F149" i="1"/>
  <c r="G149" i="1"/>
  <c r="F150" i="1"/>
  <c r="G150" i="1"/>
  <c r="F151" i="1"/>
  <c r="G151" i="1"/>
  <c r="F152" i="1"/>
  <c r="G152" i="1"/>
  <c r="F153" i="1"/>
  <c r="G153" i="1"/>
  <c r="F154" i="1"/>
  <c r="G154" i="1"/>
  <c r="F155" i="1"/>
  <c r="G155" i="1"/>
  <c r="F156" i="1"/>
  <c r="G156" i="1"/>
  <c r="F157" i="1"/>
  <c r="G157" i="1"/>
  <c r="F158" i="1"/>
  <c r="G158" i="1"/>
  <c r="F159" i="1"/>
  <c r="G159" i="1"/>
  <c r="F160" i="1"/>
  <c r="G160" i="1"/>
  <c r="F161" i="1"/>
  <c r="G161" i="1"/>
  <c r="F162" i="1"/>
  <c r="G162" i="1"/>
  <c r="F163" i="1"/>
  <c r="G163" i="1"/>
  <c r="F164" i="1"/>
  <c r="G164" i="1"/>
  <c r="F165" i="1"/>
  <c r="G165" i="1"/>
  <c r="F166" i="1"/>
  <c r="G166" i="1"/>
  <c r="F167" i="1"/>
  <c r="G167" i="1"/>
  <c r="F168" i="1"/>
  <c r="G168" i="1"/>
  <c r="F169" i="1"/>
  <c r="G169" i="1"/>
  <c r="F170" i="1"/>
  <c r="G170" i="1"/>
  <c r="F171" i="1"/>
  <c r="G171" i="1"/>
  <c r="F172" i="1"/>
  <c r="G172" i="1"/>
  <c r="F173" i="1"/>
  <c r="G173" i="1"/>
  <c r="F174" i="1"/>
  <c r="G174" i="1"/>
  <c r="F175" i="1"/>
  <c r="G175" i="1"/>
  <c r="F176" i="1"/>
  <c r="G176" i="1"/>
  <c r="F177" i="1"/>
  <c r="G177" i="1"/>
  <c r="F178" i="1"/>
  <c r="G178" i="1"/>
  <c r="F179" i="1"/>
  <c r="G179" i="1"/>
  <c r="F180" i="1"/>
  <c r="G180" i="1"/>
  <c r="F181" i="1"/>
  <c r="G181" i="1"/>
  <c r="F182" i="1"/>
  <c r="G182" i="1"/>
  <c r="F183" i="1"/>
  <c r="G183" i="1"/>
  <c r="F184" i="1"/>
  <c r="G184" i="1"/>
  <c r="F185" i="1"/>
  <c r="G185" i="1"/>
  <c r="F186" i="1"/>
  <c r="G186" i="1"/>
  <c r="F187" i="1"/>
  <c r="G187" i="1"/>
  <c r="F188" i="1"/>
  <c r="G188" i="1"/>
  <c r="F189" i="1"/>
  <c r="G189" i="1"/>
  <c r="F190" i="1"/>
  <c r="G190" i="1"/>
  <c r="F191" i="1"/>
  <c r="G191" i="1"/>
  <c r="F192" i="1"/>
  <c r="G192" i="1"/>
  <c r="F193" i="1"/>
  <c r="G193" i="1"/>
  <c r="F194" i="1"/>
  <c r="G194" i="1"/>
  <c r="F195" i="1"/>
  <c r="G195" i="1"/>
  <c r="F196" i="1"/>
  <c r="G196" i="1"/>
  <c r="F197" i="1"/>
  <c r="G197" i="1"/>
  <c r="F198" i="1"/>
  <c r="G198" i="1"/>
  <c r="F199" i="1"/>
  <c r="G199" i="1"/>
  <c r="F200" i="1"/>
  <c r="G200" i="1"/>
  <c r="F201" i="1"/>
  <c r="G201" i="1"/>
  <c r="F202" i="1"/>
  <c r="G202" i="1"/>
  <c r="F203" i="1"/>
  <c r="G203" i="1"/>
  <c r="F204" i="1"/>
  <c r="G204" i="1"/>
  <c r="F205" i="1"/>
  <c r="G205" i="1"/>
  <c r="F206" i="1"/>
  <c r="G206" i="1"/>
  <c r="F207" i="1"/>
  <c r="G207" i="1"/>
  <c r="F208" i="1"/>
  <c r="G208" i="1"/>
  <c r="F209" i="1"/>
  <c r="G209" i="1"/>
  <c r="F210" i="1"/>
  <c r="G210" i="1"/>
  <c r="F211" i="1"/>
  <c r="G211" i="1"/>
  <c r="F212" i="1"/>
  <c r="G212" i="1"/>
  <c r="F213" i="1"/>
  <c r="G213" i="1"/>
  <c r="F214" i="1"/>
  <c r="G214" i="1"/>
  <c r="F215" i="1"/>
  <c r="G215" i="1"/>
  <c r="F216" i="1"/>
  <c r="G216" i="1"/>
  <c r="F217" i="1"/>
  <c r="G217" i="1"/>
  <c r="F218" i="1"/>
  <c r="G218" i="1"/>
  <c r="F219" i="1"/>
  <c r="G219" i="1"/>
  <c r="F220" i="1"/>
  <c r="G220" i="1"/>
  <c r="F221" i="1"/>
  <c r="G221" i="1"/>
  <c r="F222" i="1"/>
  <c r="G222" i="1"/>
  <c r="F223" i="1"/>
  <c r="G223" i="1"/>
  <c r="F224" i="1"/>
  <c r="G224" i="1"/>
  <c r="F225" i="1"/>
  <c r="G225" i="1"/>
  <c r="F226" i="1"/>
  <c r="G226" i="1"/>
  <c r="F227" i="1"/>
  <c r="G227" i="1"/>
  <c r="F228" i="1"/>
  <c r="G228" i="1"/>
  <c r="F229" i="1"/>
  <c r="G229" i="1"/>
  <c r="F230" i="1"/>
  <c r="G230" i="1"/>
  <c r="F231" i="1"/>
  <c r="G231" i="1"/>
  <c r="F232" i="1"/>
  <c r="G232" i="1"/>
  <c r="F233" i="1"/>
  <c r="G233" i="1"/>
  <c r="F234" i="1"/>
  <c r="G234" i="1"/>
  <c r="F235" i="1"/>
  <c r="G235" i="1"/>
  <c r="F236" i="1"/>
  <c r="G236" i="1"/>
  <c r="F237" i="1"/>
  <c r="G237" i="1"/>
  <c r="F238" i="1"/>
  <c r="G238" i="1"/>
  <c r="F239" i="1"/>
  <c r="G239" i="1"/>
  <c r="F240" i="1"/>
  <c r="G240" i="1"/>
  <c r="F241" i="1"/>
  <c r="G241" i="1"/>
  <c r="F242" i="1"/>
  <c r="G242" i="1"/>
  <c r="F243" i="1"/>
  <c r="G243" i="1"/>
  <c r="F244" i="1"/>
  <c r="G244" i="1"/>
  <c r="F245" i="1"/>
  <c r="G245" i="1"/>
  <c r="F246" i="1"/>
  <c r="G246" i="1"/>
  <c r="F247" i="1"/>
  <c r="G247" i="1"/>
  <c r="F248" i="1"/>
  <c r="G248" i="1"/>
  <c r="F249" i="1"/>
  <c r="G249" i="1"/>
  <c r="F250" i="1"/>
  <c r="G250" i="1"/>
  <c r="F251" i="1"/>
  <c r="G251" i="1"/>
  <c r="F252" i="1"/>
  <c r="G252" i="1"/>
  <c r="F253" i="1"/>
  <c r="G253" i="1"/>
  <c r="F254" i="1"/>
  <c r="G254" i="1"/>
  <c r="F255" i="1"/>
  <c r="G255" i="1"/>
  <c r="F256" i="1"/>
  <c r="G256" i="1"/>
  <c r="F257" i="1"/>
  <c r="G257" i="1"/>
  <c r="F258" i="1"/>
  <c r="G258" i="1"/>
  <c r="F259" i="1"/>
  <c r="G259" i="1"/>
  <c r="F260" i="1"/>
  <c r="G260" i="1"/>
  <c r="F261" i="1"/>
  <c r="G261" i="1"/>
  <c r="F262" i="1"/>
  <c r="G262" i="1"/>
  <c r="F263" i="1"/>
  <c r="G263" i="1"/>
  <c r="F264" i="1"/>
  <c r="G264" i="1"/>
  <c r="F265" i="1"/>
  <c r="G265" i="1"/>
  <c r="F266" i="1"/>
  <c r="G266" i="1"/>
  <c r="F267" i="1"/>
  <c r="G267" i="1"/>
  <c r="F268" i="1"/>
  <c r="G268" i="1"/>
  <c r="F269" i="1"/>
  <c r="G269" i="1"/>
  <c r="F270" i="1"/>
  <c r="G270" i="1"/>
  <c r="F271" i="1"/>
  <c r="G271" i="1"/>
  <c r="F272" i="1"/>
  <c r="G272" i="1"/>
  <c r="F273" i="1"/>
  <c r="G273" i="1"/>
  <c r="F274" i="1"/>
  <c r="G274" i="1"/>
  <c r="F275" i="1"/>
  <c r="G275" i="1"/>
  <c r="F276" i="1"/>
  <c r="G276" i="1"/>
  <c r="F277" i="1"/>
  <c r="G277" i="1"/>
  <c r="F278" i="1"/>
  <c r="G278" i="1"/>
  <c r="F279" i="1"/>
  <c r="G279" i="1"/>
  <c r="F280" i="1"/>
  <c r="G280" i="1"/>
  <c r="F281" i="1"/>
  <c r="G281" i="1"/>
  <c r="F282" i="1"/>
  <c r="G282" i="1"/>
  <c r="F283" i="1"/>
  <c r="G283" i="1"/>
  <c r="F284" i="1"/>
  <c r="G284" i="1"/>
  <c r="F285" i="1"/>
  <c r="G285" i="1"/>
  <c r="F286" i="1"/>
  <c r="G286" i="1"/>
  <c r="F287" i="1"/>
  <c r="G287" i="1"/>
  <c r="F288" i="1"/>
  <c r="G288" i="1"/>
  <c r="F289" i="1"/>
  <c r="G289" i="1"/>
  <c r="F290" i="1"/>
  <c r="G290" i="1"/>
  <c r="F291" i="1"/>
  <c r="G291" i="1"/>
  <c r="F292" i="1"/>
  <c r="G292" i="1"/>
  <c r="F293" i="1"/>
  <c r="G293" i="1"/>
  <c r="F294" i="1"/>
  <c r="G294" i="1"/>
  <c r="F295" i="1"/>
  <c r="G295" i="1"/>
  <c r="F296" i="1"/>
  <c r="G296" i="1"/>
  <c r="F297" i="1"/>
  <c r="G297" i="1"/>
  <c r="F298" i="1"/>
  <c r="G298" i="1"/>
  <c r="F299" i="1"/>
  <c r="G299" i="1"/>
  <c r="F300" i="1"/>
  <c r="G300" i="1"/>
  <c r="F301" i="1"/>
  <c r="G301" i="1"/>
  <c r="F302" i="1"/>
  <c r="G302" i="1"/>
  <c r="F303" i="1"/>
  <c r="G303" i="1"/>
  <c r="F304" i="1"/>
  <c r="G304" i="1"/>
  <c r="F305" i="1"/>
  <c r="G305" i="1"/>
  <c r="F306" i="1"/>
  <c r="G306" i="1"/>
  <c r="F307" i="1"/>
  <c r="G307" i="1"/>
  <c r="F308" i="1"/>
  <c r="G308" i="1"/>
  <c r="F309" i="1"/>
  <c r="G309" i="1"/>
  <c r="F310" i="1"/>
  <c r="G310" i="1"/>
  <c r="F311" i="1"/>
  <c r="G311" i="1"/>
  <c r="F312" i="1"/>
  <c r="G312" i="1"/>
  <c r="F313" i="1"/>
  <c r="G313" i="1"/>
  <c r="F314" i="1"/>
  <c r="G314" i="1"/>
  <c r="F315" i="1"/>
  <c r="G315" i="1"/>
  <c r="F316" i="1"/>
  <c r="G316" i="1"/>
  <c r="F317" i="1"/>
  <c r="G317" i="1"/>
  <c r="F318" i="1"/>
  <c r="G318" i="1"/>
  <c r="F319" i="1"/>
  <c r="G319" i="1"/>
  <c r="F320" i="1"/>
  <c r="G320" i="1"/>
  <c r="F321" i="1"/>
  <c r="G321" i="1"/>
  <c r="F322" i="1"/>
  <c r="G322" i="1"/>
  <c r="F323" i="1"/>
  <c r="G323" i="1"/>
  <c r="F324" i="1"/>
  <c r="G324" i="1"/>
  <c r="F325" i="1"/>
  <c r="G325" i="1"/>
  <c r="F326" i="1"/>
  <c r="G326" i="1"/>
  <c r="F327" i="1"/>
  <c r="G327" i="1"/>
  <c r="F328" i="1"/>
  <c r="G328" i="1"/>
  <c r="F329" i="1"/>
  <c r="G329" i="1"/>
  <c r="F330" i="1"/>
  <c r="G330" i="1"/>
  <c r="F331" i="1"/>
  <c r="G331" i="1"/>
  <c r="F332" i="1"/>
  <c r="G332" i="1"/>
  <c r="F333" i="1"/>
  <c r="G333" i="1"/>
  <c r="F334" i="1"/>
  <c r="G334" i="1"/>
  <c r="F335" i="1"/>
  <c r="G335" i="1"/>
  <c r="F336" i="1"/>
  <c r="G336" i="1"/>
  <c r="F337" i="1"/>
  <c r="G337" i="1"/>
  <c r="F338" i="1"/>
  <c r="G338" i="1"/>
  <c r="F339" i="1"/>
  <c r="G339" i="1"/>
  <c r="F340" i="1"/>
  <c r="G340" i="1"/>
  <c r="F341" i="1"/>
  <c r="G341" i="1"/>
  <c r="F342" i="1"/>
  <c r="G342" i="1"/>
  <c r="F343" i="1"/>
  <c r="G343" i="1"/>
  <c r="F344" i="1"/>
  <c r="G344" i="1"/>
  <c r="F345" i="1"/>
  <c r="G345" i="1"/>
  <c r="F346" i="1"/>
  <c r="G346" i="1"/>
  <c r="F347" i="1"/>
  <c r="G347" i="1"/>
  <c r="F348" i="1"/>
  <c r="G348" i="1"/>
  <c r="F349" i="1"/>
  <c r="G349" i="1"/>
  <c r="F350" i="1"/>
  <c r="G350" i="1"/>
  <c r="F351" i="1"/>
  <c r="G351" i="1"/>
  <c r="F352" i="1"/>
  <c r="G352" i="1"/>
  <c r="F353" i="1"/>
  <c r="G353" i="1"/>
  <c r="F354" i="1"/>
  <c r="G354" i="1"/>
  <c r="F355" i="1"/>
  <c r="G355" i="1"/>
  <c r="F356" i="1"/>
  <c r="G356" i="1"/>
  <c r="F357" i="1"/>
  <c r="G357" i="1"/>
  <c r="F358" i="1"/>
  <c r="G358" i="1"/>
  <c r="F359" i="1"/>
  <c r="G359" i="1"/>
  <c r="F360" i="1"/>
  <c r="G360" i="1"/>
  <c r="F361" i="1"/>
  <c r="G361" i="1"/>
  <c r="F362" i="1"/>
  <c r="G362" i="1"/>
  <c r="F363" i="1"/>
  <c r="G363" i="1"/>
  <c r="F364" i="1"/>
  <c r="G364" i="1"/>
  <c r="F365" i="1"/>
  <c r="G365" i="1"/>
  <c r="F366" i="1"/>
  <c r="G366" i="1"/>
  <c r="F367" i="1"/>
  <c r="G367" i="1"/>
  <c r="F368" i="1"/>
  <c r="G368" i="1"/>
  <c r="F369" i="1"/>
  <c r="G369" i="1"/>
  <c r="F370" i="1"/>
  <c r="G370" i="1"/>
  <c r="F371" i="1"/>
  <c r="G371" i="1"/>
  <c r="F372" i="1"/>
  <c r="G372" i="1"/>
  <c r="F373" i="1"/>
  <c r="G373" i="1"/>
  <c r="F374" i="1"/>
  <c r="G374" i="1"/>
  <c r="F375" i="1"/>
  <c r="G375" i="1"/>
  <c r="F376" i="1"/>
  <c r="G376" i="1"/>
  <c r="F377" i="1"/>
  <c r="G377" i="1"/>
  <c r="F378" i="1"/>
  <c r="G378" i="1"/>
  <c r="F379" i="1"/>
  <c r="G379" i="1"/>
  <c r="F380" i="1"/>
  <c r="G380" i="1"/>
  <c r="F381" i="1"/>
  <c r="G381" i="1"/>
  <c r="F382" i="1"/>
  <c r="G382" i="1"/>
  <c r="F383" i="1"/>
  <c r="G383" i="1"/>
  <c r="F384" i="1"/>
  <c r="G384" i="1"/>
  <c r="F385" i="1"/>
  <c r="G385" i="1"/>
  <c r="F386" i="1"/>
  <c r="G386" i="1"/>
  <c r="F387" i="1"/>
  <c r="G387" i="1"/>
  <c r="F388" i="1"/>
  <c r="G388" i="1"/>
  <c r="F389" i="1"/>
  <c r="G389" i="1"/>
  <c r="F390" i="1"/>
  <c r="G390" i="1"/>
  <c r="F391" i="1"/>
  <c r="G391" i="1"/>
  <c r="F392" i="1"/>
  <c r="G392" i="1"/>
  <c r="F393" i="1"/>
  <c r="G393" i="1"/>
  <c r="F394" i="1"/>
  <c r="G394" i="1"/>
  <c r="F395" i="1"/>
  <c r="G395" i="1"/>
  <c r="F396" i="1"/>
  <c r="G396" i="1"/>
  <c r="F397" i="1"/>
  <c r="G397" i="1"/>
  <c r="F398" i="1"/>
  <c r="G398" i="1"/>
  <c r="F399" i="1"/>
  <c r="G399" i="1"/>
  <c r="F400" i="1"/>
  <c r="G400" i="1"/>
  <c r="F401" i="1"/>
  <c r="G401" i="1"/>
  <c r="F402" i="1"/>
  <c r="G402" i="1"/>
  <c r="F403" i="1"/>
  <c r="G403" i="1"/>
  <c r="F404" i="1"/>
  <c r="G404" i="1"/>
  <c r="F405" i="1"/>
  <c r="G405" i="1"/>
  <c r="F406" i="1"/>
  <c r="G406" i="1"/>
  <c r="F407" i="1"/>
  <c r="G407" i="1"/>
  <c r="F408" i="1"/>
  <c r="G408" i="1"/>
  <c r="F409" i="1"/>
  <c r="G409" i="1"/>
  <c r="F410" i="1"/>
  <c r="G410" i="1"/>
  <c r="F411" i="1"/>
  <c r="G411" i="1"/>
  <c r="F412" i="1"/>
  <c r="G412" i="1"/>
  <c r="F413" i="1"/>
  <c r="G413" i="1"/>
  <c r="F414" i="1"/>
  <c r="G414" i="1"/>
  <c r="F415" i="1"/>
  <c r="G415" i="1"/>
  <c r="F416" i="1"/>
  <c r="G416" i="1"/>
  <c r="F417" i="1"/>
  <c r="G417" i="1"/>
  <c r="F418" i="1"/>
  <c r="G418" i="1"/>
  <c r="F419" i="1"/>
  <c r="G419" i="1"/>
  <c r="F420" i="1"/>
  <c r="G420" i="1"/>
  <c r="F421" i="1"/>
  <c r="G421" i="1"/>
  <c r="F422" i="1"/>
  <c r="G422" i="1"/>
  <c r="F423" i="1"/>
  <c r="G423" i="1"/>
  <c r="F424" i="1"/>
  <c r="G424" i="1"/>
  <c r="F425" i="1"/>
  <c r="G425" i="1"/>
  <c r="F426" i="1"/>
  <c r="G426" i="1"/>
  <c r="F427" i="1"/>
  <c r="G427" i="1"/>
  <c r="F428" i="1"/>
  <c r="G428" i="1"/>
  <c r="F429" i="1"/>
  <c r="G429" i="1"/>
  <c r="F430" i="1"/>
  <c r="G430" i="1"/>
  <c r="F431" i="1"/>
  <c r="G431" i="1"/>
  <c r="F432" i="1"/>
  <c r="G432" i="1"/>
  <c r="F433" i="1"/>
  <c r="G433" i="1"/>
  <c r="F434" i="1"/>
  <c r="G434" i="1"/>
  <c r="F435" i="1"/>
  <c r="G435" i="1"/>
  <c r="F436" i="1"/>
  <c r="G436" i="1"/>
  <c r="F437" i="1"/>
  <c r="G437" i="1"/>
  <c r="F438" i="1"/>
  <c r="G438" i="1"/>
  <c r="F439" i="1"/>
  <c r="G439" i="1"/>
  <c r="F440" i="1"/>
  <c r="G440" i="1"/>
  <c r="F441" i="1"/>
  <c r="G441" i="1"/>
  <c r="F442" i="1"/>
  <c r="G442" i="1"/>
  <c r="F443" i="1"/>
  <c r="G443" i="1"/>
  <c r="F444" i="1"/>
  <c r="G444" i="1"/>
  <c r="F445" i="1"/>
  <c r="G445" i="1"/>
  <c r="F446" i="1"/>
  <c r="G446" i="1"/>
  <c r="F447" i="1"/>
  <c r="G447" i="1"/>
  <c r="F448" i="1"/>
  <c r="G448" i="1"/>
  <c r="F449" i="1"/>
  <c r="G449" i="1"/>
  <c r="F450" i="1"/>
  <c r="G450" i="1"/>
  <c r="F451" i="1"/>
  <c r="G451" i="1"/>
  <c r="F452" i="1"/>
  <c r="G452" i="1"/>
  <c r="F453" i="1"/>
  <c r="G453" i="1"/>
  <c r="F454" i="1"/>
  <c r="G454" i="1"/>
  <c r="F455" i="1"/>
  <c r="G455" i="1"/>
  <c r="F456" i="1"/>
  <c r="G456" i="1"/>
  <c r="F457" i="1"/>
  <c r="G457" i="1"/>
  <c r="F458" i="1"/>
  <c r="G458" i="1"/>
  <c r="F459" i="1"/>
  <c r="G459" i="1"/>
  <c r="F460" i="1"/>
  <c r="G460" i="1"/>
  <c r="F461" i="1"/>
  <c r="G461" i="1"/>
  <c r="F462" i="1"/>
  <c r="G462" i="1"/>
  <c r="F463" i="1"/>
  <c r="G463" i="1"/>
  <c r="F464" i="1"/>
  <c r="G464" i="1"/>
  <c r="F465" i="1"/>
  <c r="G465" i="1"/>
  <c r="F466" i="1"/>
  <c r="G466" i="1"/>
  <c r="F467" i="1"/>
  <c r="G467" i="1"/>
  <c r="F468" i="1"/>
  <c r="G468" i="1"/>
  <c r="F469" i="1"/>
  <c r="G469" i="1"/>
  <c r="F470" i="1"/>
  <c r="G470" i="1"/>
  <c r="F471" i="1"/>
  <c r="G471" i="1"/>
  <c r="F472" i="1"/>
  <c r="G472" i="1"/>
  <c r="F473" i="1"/>
  <c r="G473" i="1"/>
  <c r="F474" i="1"/>
  <c r="G474" i="1"/>
  <c r="F475" i="1"/>
  <c r="G475" i="1"/>
  <c r="F476" i="1"/>
  <c r="G476" i="1"/>
  <c r="F477" i="1"/>
  <c r="G477" i="1"/>
  <c r="F478" i="1"/>
  <c r="G478" i="1"/>
  <c r="F479" i="1"/>
  <c r="G479" i="1"/>
  <c r="F480" i="1"/>
  <c r="G480" i="1"/>
  <c r="F481" i="1"/>
  <c r="G481" i="1"/>
  <c r="F482" i="1"/>
  <c r="G482" i="1"/>
  <c r="F483" i="1"/>
  <c r="G483" i="1"/>
  <c r="F484" i="1"/>
  <c r="G484" i="1"/>
  <c r="F485" i="1"/>
  <c r="G485" i="1"/>
  <c r="F486" i="1"/>
  <c r="G486" i="1"/>
  <c r="F487" i="1"/>
  <c r="G487" i="1"/>
  <c r="F488" i="1"/>
  <c r="G488" i="1"/>
  <c r="F489" i="1"/>
  <c r="G489" i="1"/>
  <c r="F490" i="1"/>
  <c r="G490" i="1"/>
  <c r="F491" i="1"/>
  <c r="G491" i="1"/>
  <c r="F492" i="1"/>
  <c r="G492" i="1"/>
  <c r="F493" i="1"/>
  <c r="G493" i="1"/>
  <c r="F494" i="1"/>
  <c r="G494" i="1"/>
  <c r="F495" i="1"/>
  <c r="G495" i="1"/>
  <c r="F496" i="1"/>
  <c r="G496" i="1"/>
  <c r="F497" i="1"/>
  <c r="G497" i="1"/>
  <c r="F498" i="1"/>
  <c r="G498" i="1"/>
  <c r="F499" i="1"/>
  <c r="G499" i="1"/>
  <c r="F500" i="1"/>
  <c r="G500" i="1"/>
  <c r="F501" i="1"/>
  <c r="G501" i="1"/>
  <c r="F502" i="1"/>
  <c r="G502" i="1"/>
  <c r="F503" i="1"/>
  <c r="G503" i="1"/>
  <c r="F504" i="1"/>
  <c r="G504" i="1"/>
  <c r="F505" i="1"/>
  <c r="G505" i="1"/>
  <c r="F506" i="1"/>
  <c r="G506" i="1"/>
  <c r="F507" i="1"/>
  <c r="G507" i="1"/>
  <c r="F508" i="1"/>
  <c r="G508" i="1"/>
  <c r="F509" i="1"/>
  <c r="G509" i="1"/>
  <c r="F510" i="1"/>
  <c r="G510" i="1"/>
  <c r="F511" i="1"/>
  <c r="G511" i="1"/>
  <c r="F512" i="1"/>
  <c r="G512" i="1"/>
  <c r="F513" i="1"/>
  <c r="G513" i="1"/>
  <c r="F514" i="1"/>
  <c r="G514" i="1"/>
  <c r="F515" i="1"/>
  <c r="G515" i="1"/>
  <c r="F516" i="1"/>
  <c r="G516" i="1"/>
  <c r="F517" i="1"/>
  <c r="G517" i="1"/>
  <c r="F518" i="1"/>
  <c r="G518" i="1"/>
  <c r="F519" i="1"/>
  <c r="G519" i="1"/>
  <c r="F520" i="1"/>
  <c r="G520" i="1"/>
  <c r="F521" i="1"/>
  <c r="G521" i="1"/>
  <c r="F522" i="1"/>
  <c r="G522" i="1"/>
  <c r="F523" i="1"/>
  <c r="G523" i="1"/>
  <c r="F524" i="1"/>
  <c r="G524" i="1"/>
  <c r="F525" i="1"/>
  <c r="G525" i="1"/>
  <c r="F526" i="1"/>
  <c r="G526" i="1"/>
  <c r="F527" i="1"/>
  <c r="G527" i="1"/>
  <c r="F528" i="1"/>
  <c r="G528" i="1"/>
  <c r="F529" i="1"/>
  <c r="G529" i="1"/>
  <c r="F530" i="1"/>
  <c r="G530" i="1"/>
  <c r="F531" i="1"/>
  <c r="G531" i="1"/>
  <c r="F532" i="1"/>
  <c r="G532" i="1"/>
  <c r="F533" i="1"/>
  <c r="G533" i="1"/>
  <c r="F534" i="1"/>
  <c r="G534" i="1"/>
  <c r="F535" i="1"/>
  <c r="G535" i="1"/>
  <c r="F536" i="1"/>
  <c r="G536" i="1"/>
  <c r="F537" i="1"/>
  <c r="G537" i="1"/>
  <c r="F538" i="1"/>
  <c r="G538" i="1"/>
  <c r="F539" i="1"/>
  <c r="G539" i="1"/>
  <c r="F540" i="1"/>
  <c r="G540" i="1"/>
  <c r="F541" i="1"/>
  <c r="G541" i="1"/>
  <c r="F542" i="1"/>
  <c r="G542" i="1"/>
  <c r="F543" i="1"/>
  <c r="G543" i="1"/>
  <c r="F544" i="1"/>
  <c r="G544" i="1"/>
  <c r="F545" i="1"/>
  <c r="G545" i="1"/>
  <c r="F546" i="1"/>
  <c r="G546" i="1"/>
  <c r="F547" i="1"/>
  <c r="G547" i="1"/>
  <c r="F548" i="1"/>
  <c r="G548" i="1"/>
  <c r="F549" i="1"/>
  <c r="G549" i="1"/>
  <c r="F550" i="1"/>
  <c r="G550" i="1"/>
  <c r="F551" i="1"/>
  <c r="G551" i="1"/>
  <c r="F552" i="1"/>
  <c r="G552" i="1"/>
  <c r="F553" i="1"/>
  <c r="G553" i="1"/>
  <c r="F554" i="1"/>
  <c r="G554" i="1"/>
  <c r="F555" i="1"/>
  <c r="G555" i="1"/>
  <c r="F556" i="1"/>
  <c r="G556" i="1"/>
  <c r="F557" i="1"/>
  <c r="G557" i="1"/>
  <c r="F558" i="1"/>
  <c r="G558" i="1"/>
  <c r="F559" i="1"/>
  <c r="G559" i="1"/>
  <c r="F560" i="1"/>
  <c r="G560" i="1"/>
  <c r="F561" i="1"/>
  <c r="G561" i="1"/>
  <c r="F562" i="1"/>
  <c r="G562" i="1"/>
  <c r="F563" i="1"/>
  <c r="G563" i="1"/>
  <c r="F564" i="1"/>
  <c r="G564" i="1"/>
  <c r="F565" i="1"/>
  <c r="G565" i="1"/>
  <c r="F566" i="1"/>
  <c r="G566" i="1"/>
  <c r="F567" i="1"/>
  <c r="G567" i="1"/>
  <c r="F568" i="1"/>
  <c r="G568" i="1"/>
  <c r="F569" i="1"/>
  <c r="G569" i="1"/>
  <c r="F570" i="1"/>
  <c r="G570" i="1"/>
  <c r="F571" i="1"/>
  <c r="G571" i="1"/>
  <c r="F572" i="1"/>
  <c r="G572" i="1"/>
  <c r="F573" i="1"/>
  <c r="G573" i="1"/>
  <c r="F574" i="1"/>
  <c r="G574" i="1"/>
  <c r="F575" i="1"/>
  <c r="G575" i="1"/>
  <c r="F576" i="1"/>
  <c r="G576" i="1"/>
  <c r="F577" i="1"/>
  <c r="G577" i="1"/>
  <c r="F578" i="1"/>
  <c r="G578" i="1"/>
  <c r="F579" i="1"/>
  <c r="G579" i="1"/>
  <c r="F580" i="1"/>
  <c r="G580" i="1"/>
  <c r="F581" i="1"/>
  <c r="G581" i="1"/>
  <c r="F582" i="1"/>
  <c r="G582" i="1"/>
  <c r="F583" i="1"/>
  <c r="G583" i="1"/>
  <c r="F584" i="1"/>
  <c r="G584" i="1"/>
  <c r="F585" i="1"/>
  <c r="G585" i="1"/>
  <c r="F586" i="1"/>
  <c r="G586" i="1"/>
  <c r="F587" i="1"/>
  <c r="G587" i="1"/>
  <c r="F588" i="1"/>
  <c r="G588" i="1"/>
  <c r="F589" i="1"/>
  <c r="G589" i="1"/>
  <c r="F590" i="1"/>
  <c r="G590" i="1"/>
  <c r="F591" i="1"/>
  <c r="G591" i="1"/>
  <c r="F592" i="1"/>
  <c r="G592" i="1"/>
  <c r="F593" i="1"/>
  <c r="G593" i="1"/>
  <c r="F594" i="1"/>
  <c r="G594" i="1"/>
  <c r="F595" i="1"/>
  <c r="G595" i="1"/>
  <c r="F596" i="1"/>
  <c r="G596" i="1"/>
  <c r="F597" i="1"/>
  <c r="G597" i="1"/>
  <c r="F598" i="1"/>
  <c r="G598" i="1"/>
  <c r="F599" i="1"/>
  <c r="G599" i="1"/>
  <c r="F600" i="1"/>
  <c r="G600" i="1"/>
  <c r="F601" i="1"/>
  <c r="G601" i="1"/>
  <c r="F602" i="1"/>
  <c r="G602" i="1"/>
  <c r="F603" i="1"/>
  <c r="G603" i="1"/>
  <c r="F604" i="1"/>
  <c r="G604" i="1"/>
  <c r="F605" i="1"/>
  <c r="G605" i="1"/>
  <c r="F606" i="1"/>
  <c r="G606" i="1"/>
  <c r="F607" i="1"/>
  <c r="G607" i="1"/>
  <c r="F608" i="1"/>
  <c r="G608" i="1"/>
  <c r="F609" i="1"/>
  <c r="G609" i="1"/>
  <c r="F610" i="1"/>
  <c r="G610" i="1"/>
  <c r="F611" i="1"/>
  <c r="G611" i="1"/>
  <c r="F612" i="1"/>
  <c r="G612" i="1"/>
  <c r="F613" i="1"/>
  <c r="G613" i="1"/>
  <c r="F614" i="1"/>
  <c r="G614" i="1"/>
  <c r="F615" i="1"/>
  <c r="G615" i="1"/>
  <c r="F616" i="1"/>
  <c r="G616" i="1"/>
  <c r="F617" i="1"/>
  <c r="G617" i="1"/>
  <c r="F618" i="1"/>
  <c r="G618" i="1"/>
  <c r="F619" i="1"/>
  <c r="G619" i="1"/>
  <c r="F620" i="1"/>
  <c r="G620" i="1"/>
  <c r="F621" i="1"/>
  <c r="G621" i="1"/>
  <c r="F622" i="1"/>
  <c r="G622" i="1"/>
  <c r="F623" i="1"/>
  <c r="G623" i="1"/>
  <c r="F624" i="1"/>
  <c r="G624" i="1"/>
  <c r="F625" i="1"/>
  <c r="G625" i="1"/>
  <c r="F626" i="1"/>
  <c r="G626" i="1"/>
  <c r="F627" i="1"/>
  <c r="G627" i="1"/>
  <c r="F628" i="1"/>
  <c r="G628" i="1"/>
  <c r="F629" i="1"/>
  <c r="G629" i="1"/>
  <c r="F630" i="1"/>
  <c r="G630" i="1"/>
  <c r="F631" i="1"/>
  <c r="G631" i="1"/>
  <c r="F632" i="1"/>
  <c r="G632" i="1"/>
  <c r="F633" i="1"/>
  <c r="G633" i="1"/>
  <c r="F634" i="1"/>
  <c r="G634" i="1"/>
  <c r="F635" i="1"/>
  <c r="G635" i="1"/>
  <c r="F636" i="1"/>
  <c r="G636" i="1"/>
  <c r="F637" i="1"/>
  <c r="G637" i="1"/>
  <c r="F638" i="1"/>
  <c r="G638" i="1"/>
  <c r="F639" i="1"/>
  <c r="G639" i="1"/>
  <c r="F640" i="1"/>
  <c r="G640" i="1"/>
  <c r="F641" i="1"/>
  <c r="G641" i="1"/>
  <c r="F642" i="1"/>
  <c r="G642" i="1"/>
  <c r="F643" i="1"/>
  <c r="G643" i="1"/>
  <c r="F644" i="1"/>
  <c r="G644" i="1"/>
  <c r="F645" i="1"/>
  <c r="G645" i="1"/>
  <c r="F646" i="1"/>
  <c r="G646" i="1"/>
  <c r="F647" i="1"/>
  <c r="G647" i="1"/>
  <c r="F648" i="1"/>
  <c r="G648" i="1"/>
  <c r="F649" i="1"/>
  <c r="G649" i="1"/>
  <c r="F650" i="1"/>
  <c r="G650" i="1"/>
  <c r="F651" i="1"/>
  <c r="G651" i="1"/>
  <c r="F652" i="1"/>
  <c r="G652" i="1"/>
  <c r="F653" i="1"/>
  <c r="G653" i="1"/>
  <c r="F654" i="1"/>
  <c r="G654" i="1"/>
  <c r="F655" i="1"/>
  <c r="G655" i="1"/>
  <c r="F656" i="1"/>
  <c r="G656" i="1"/>
  <c r="F657" i="1"/>
  <c r="G657" i="1"/>
  <c r="F658" i="1"/>
  <c r="G658" i="1"/>
  <c r="F659" i="1"/>
  <c r="G659" i="1"/>
  <c r="F660" i="1"/>
  <c r="G660" i="1"/>
  <c r="F661" i="1"/>
  <c r="G661" i="1"/>
  <c r="F662" i="1"/>
  <c r="G662" i="1"/>
  <c r="F663" i="1"/>
  <c r="G663" i="1"/>
  <c r="F664" i="1"/>
  <c r="G664" i="1"/>
  <c r="F665" i="1"/>
  <c r="G665" i="1"/>
  <c r="F666" i="1"/>
  <c r="G666" i="1"/>
  <c r="F667" i="1"/>
  <c r="G667" i="1"/>
  <c r="F668" i="1"/>
  <c r="G668" i="1"/>
  <c r="F669" i="1"/>
  <c r="G669" i="1"/>
  <c r="F670" i="1"/>
  <c r="G670" i="1"/>
  <c r="F671" i="1"/>
  <c r="G671" i="1"/>
  <c r="F672" i="1"/>
  <c r="G672" i="1"/>
  <c r="F673" i="1"/>
  <c r="G673" i="1"/>
  <c r="F674" i="1"/>
  <c r="G674" i="1"/>
  <c r="F675" i="1"/>
  <c r="G675" i="1"/>
  <c r="F676" i="1"/>
  <c r="G676" i="1"/>
  <c r="F677" i="1"/>
  <c r="G677" i="1"/>
  <c r="F678" i="1"/>
  <c r="G678" i="1"/>
  <c r="F679" i="1"/>
  <c r="G679" i="1"/>
  <c r="F680" i="1"/>
  <c r="G680" i="1"/>
  <c r="F681" i="1"/>
  <c r="G681" i="1"/>
  <c r="F682" i="1"/>
  <c r="G682" i="1"/>
  <c r="F683" i="1"/>
  <c r="G683" i="1"/>
  <c r="F684" i="1"/>
  <c r="G684" i="1"/>
  <c r="F685" i="1"/>
  <c r="G685" i="1"/>
  <c r="F686" i="1"/>
  <c r="G686" i="1"/>
  <c r="F687" i="1"/>
  <c r="G687" i="1"/>
  <c r="F688" i="1"/>
  <c r="G688" i="1"/>
  <c r="F689" i="1"/>
  <c r="G689" i="1"/>
  <c r="F690" i="1"/>
  <c r="G690" i="1"/>
  <c r="F691" i="1"/>
  <c r="G691" i="1"/>
  <c r="F692" i="1"/>
  <c r="G692" i="1"/>
  <c r="F693" i="1"/>
  <c r="G693" i="1"/>
  <c r="F694" i="1"/>
  <c r="G694" i="1"/>
  <c r="F695" i="1"/>
  <c r="G695" i="1"/>
  <c r="F696" i="1"/>
  <c r="G696" i="1"/>
  <c r="F697" i="1"/>
  <c r="G697" i="1"/>
  <c r="F698" i="1"/>
  <c r="G698" i="1"/>
  <c r="F699" i="1"/>
  <c r="G699" i="1"/>
  <c r="F700" i="1"/>
  <c r="G700" i="1"/>
  <c r="F701" i="1"/>
  <c r="G701" i="1"/>
  <c r="F702" i="1"/>
  <c r="G702" i="1"/>
  <c r="F703" i="1"/>
  <c r="G703" i="1"/>
  <c r="F704" i="1"/>
  <c r="G704" i="1"/>
  <c r="F705" i="1"/>
  <c r="G705" i="1"/>
  <c r="F706" i="1"/>
  <c r="G706" i="1"/>
  <c r="F707" i="1"/>
  <c r="G707" i="1"/>
  <c r="F708" i="1"/>
  <c r="G708" i="1"/>
  <c r="F709" i="1"/>
  <c r="G709" i="1"/>
  <c r="F710" i="1"/>
  <c r="G710" i="1"/>
  <c r="F711" i="1"/>
  <c r="G711" i="1"/>
  <c r="F712" i="1"/>
  <c r="G712" i="1"/>
  <c r="F713" i="1"/>
  <c r="G713" i="1"/>
  <c r="F714" i="1"/>
  <c r="G714" i="1"/>
  <c r="F715" i="1"/>
  <c r="G715" i="1"/>
  <c r="F716" i="1"/>
  <c r="G716" i="1"/>
  <c r="F717" i="1"/>
  <c r="G717" i="1"/>
  <c r="F718" i="1"/>
  <c r="G718" i="1"/>
  <c r="F719" i="1"/>
  <c r="G719" i="1"/>
  <c r="F720" i="1"/>
  <c r="G720" i="1"/>
  <c r="F721" i="1"/>
  <c r="G721" i="1"/>
  <c r="F722" i="1"/>
  <c r="G722" i="1"/>
  <c r="F723" i="1"/>
  <c r="G723" i="1"/>
  <c r="F724" i="1"/>
  <c r="G724" i="1"/>
  <c r="F725" i="1"/>
  <c r="G725" i="1"/>
  <c r="F726" i="1"/>
  <c r="G726" i="1"/>
  <c r="F727" i="1"/>
  <c r="G727" i="1"/>
  <c r="F728" i="1"/>
  <c r="G728" i="1"/>
  <c r="F729" i="1"/>
  <c r="G729" i="1"/>
  <c r="F730" i="1"/>
  <c r="G730" i="1"/>
  <c r="F731" i="1"/>
  <c r="G731" i="1"/>
  <c r="F732" i="1"/>
  <c r="G732" i="1"/>
  <c r="F733" i="1"/>
  <c r="G733" i="1"/>
  <c r="F734" i="1"/>
  <c r="G734" i="1"/>
  <c r="F735" i="1"/>
  <c r="G735" i="1"/>
  <c r="F736" i="1"/>
  <c r="G736" i="1"/>
  <c r="F737" i="1"/>
  <c r="G737" i="1"/>
  <c r="F738" i="1"/>
  <c r="G738" i="1"/>
  <c r="F739" i="1"/>
  <c r="G739" i="1"/>
  <c r="F740" i="1"/>
  <c r="G740" i="1"/>
  <c r="F741" i="1"/>
  <c r="G741" i="1"/>
  <c r="F742" i="1"/>
  <c r="G742" i="1"/>
  <c r="F743" i="1"/>
  <c r="G743" i="1"/>
  <c r="F744" i="1"/>
  <c r="G744" i="1"/>
  <c r="F745" i="1"/>
  <c r="G745" i="1"/>
  <c r="F746" i="1"/>
  <c r="G746" i="1"/>
  <c r="F747" i="1"/>
  <c r="G747" i="1"/>
  <c r="F748" i="1"/>
  <c r="G748" i="1"/>
  <c r="F749" i="1"/>
  <c r="G749" i="1"/>
  <c r="F750" i="1"/>
  <c r="G750" i="1"/>
  <c r="F751" i="1"/>
  <c r="G751" i="1"/>
  <c r="F752" i="1"/>
  <c r="G752" i="1"/>
  <c r="F753" i="1"/>
  <c r="G753" i="1"/>
  <c r="F754" i="1"/>
  <c r="G754" i="1"/>
  <c r="F755" i="1"/>
  <c r="G755" i="1"/>
  <c r="F756" i="1"/>
  <c r="G756" i="1"/>
  <c r="F757" i="1"/>
  <c r="G757" i="1"/>
  <c r="F758" i="1"/>
  <c r="G758" i="1"/>
  <c r="F759" i="1"/>
  <c r="G759" i="1"/>
  <c r="F760" i="1"/>
  <c r="G760" i="1"/>
  <c r="F761" i="1"/>
  <c r="G761" i="1"/>
  <c r="F762" i="1"/>
  <c r="G762" i="1"/>
  <c r="F763" i="1"/>
  <c r="G763" i="1"/>
  <c r="F764" i="1"/>
  <c r="G764" i="1"/>
  <c r="F765" i="1"/>
  <c r="G765" i="1"/>
  <c r="F766" i="1"/>
  <c r="G766" i="1"/>
  <c r="F767" i="1"/>
  <c r="G767" i="1"/>
  <c r="F768" i="1"/>
  <c r="G768" i="1"/>
  <c r="F769" i="1"/>
  <c r="G769" i="1"/>
  <c r="F770" i="1"/>
  <c r="G770" i="1"/>
  <c r="F771" i="1"/>
  <c r="G771" i="1"/>
  <c r="F772" i="1"/>
  <c r="G772" i="1"/>
  <c r="F773" i="1"/>
  <c r="G773" i="1"/>
  <c r="F774" i="1"/>
  <c r="G774" i="1"/>
  <c r="F775" i="1"/>
  <c r="G775" i="1"/>
  <c r="F776" i="1"/>
  <c r="G776" i="1"/>
  <c r="F777" i="1"/>
  <c r="G777" i="1"/>
  <c r="F778" i="1"/>
  <c r="G778" i="1"/>
  <c r="F779" i="1"/>
  <c r="G779" i="1"/>
  <c r="F780" i="1"/>
  <c r="G780" i="1"/>
  <c r="F781" i="1"/>
  <c r="G781" i="1"/>
  <c r="F782" i="1"/>
  <c r="G782" i="1"/>
  <c r="F783" i="1"/>
  <c r="G783" i="1"/>
  <c r="F784" i="1"/>
  <c r="G784" i="1"/>
  <c r="F785" i="1"/>
  <c r="G785" i="1"/>
  <c r="F786" i="1"/>
  <c r="G786" i="1"/>
  <c r="F787" i="1"/>
  <c r="G787" i="1"/>
  <c r="F788" i="1"/>
  <c r="G788" i="1"/>
  <c r="F789" i="1"/>
  <c r="G789" i="1"/>
  <c r="F790" i="1"/>
  <c r="G790" i="1"/>
  <c r="F791" i="1"/>
  <c r="G791" i="1"/>
  <c r="F792" i="1"/>
  <c r="G792" i="1"/>
  <c r="F793" i="1"/>
  <c r="G793" i="1"/>
  <c r="F794" i="1"/>
  <c r="G794" i="1"/>
  <c r="F795" i="1"/>
  <c r="G795" i="1"/>
  <c r="F796" i="1"/>
  <c r="G796" i="1"/>
  <c r="F797" i="1"/>
  <c r="G797" i="1"/>
  <c r="F798" i="1"/>
  <c r="G798" i="1"/>
  <c r="F799" i="1"/>
  <c r="G799" i="1"/>
  <c r="F800" i="1"/>
  <c r="G800" i="1"/>
  <c r="F801" i="1"/>
  <c r="G801" i="1"/>
  <c r="F802" i="1"/>
  <c r="G802" i="1"/>
  <c r="F803" i="1"/>
  <c r="G803" i="1"/>
  <c r="F804" i="1"/>
  <c r="G804" i="1"/>
  <c r="F805" i="1"/>
  <c r="G805" i="1"/>
  <c r="F806" i="1"/>
  <c r="G806" i="1"/>
  <c r="F807" i="1"/>
  <c r="G807" i="1"/>
  <c r="F808" i="1"/>
  <c r="G808" i="1"/>
  <c r="F809" i="1"/>
  <c r="G809" i="1"/>
  <c r="F810" i="1"/>
  <c r="G810" i="1"/>
  <c r="F811" i="1"/>
  <c r="G811" i="1"/>
  <c r="F812" i="1"/>
  <c r="G812" i="1"/>
  <c r="F813" i="1"/>
  <c r="G813" i="1"/>
  <c r="F814" i="1"/>
  <c r="G814" i="1"/>
  <c r="F815" i="1"/>
  <c r="G815" i="1"/>
  <c r="F816" i="1"/>
  <c r="G816" i="1"/>
  <c r="F817" i="1"/>
  <c r="G817" i="1"/>
  <c r="F818" i="1"/>
  <c r="G818" i="1"/>
  <c r="F819" i="1"/>
  <c r="G819" i="1"/>
  <c r="F820" i="1"/>
  <c r="G820" i="1"/>
  <c r="F821" i="1"/>
  <c r="G821" i="1"/>
  <c r="F822" i="1"/>
  <c r="G822" i="1"/>
  <c r="F823" i="1"/>
  <c r="G823" i="1"/>
  <c r="F824" i="1"/>
  <c r="G824" i="1"/>
  <c r="F825" i="1"/>
  <c r="G825" i="1"/>
  <c r="F826" i="1"/>
  <c r="G826" i="1"/>
  <c r="F827" i="1"/>
  <c r="G827" i="1"/>
  <c r="F828" i="1"/>
  <c r="G828" i="1"/>
  <c r="F829" i="1"/>
  <c r="G829" i="1"/>
  <c r="F830" i="1"/>
  <c r="G830" i="1"/>
  <c r="F831" i="1"/>
  <c r="G831" i="1"/>
  <c r="F832" i="1"/>
  <c r="G832" i="1"/>
  <c r="F833" i="1"/>
  <c r="G833" i="1"/>
  <c r="F834" i="1"/>
  <c r="G834" i="1"/>
  <c r="F835" i="1"/>
  <c r="G835" i="1"/>
  <c r="F836" i="1"/>
  <c r="G836" i="1"/>
  <c r="F837" i="1"/>
  <c r="G837" i="1"/>
  <c r="F838" i="1"/>
  <c r="G838" i="1"/>
  <c r="F839" i="1"/>
  <c r="G839" i="1"/>
  <c r="F840" i="1"/>
  <c r="G840" i="1"/>
  <c r="F841" i="1"/>
  <c r="G841" i="1"/>
  <c r="F842" i="1"/>
  <c r="G842" i="1"/>
  <c r="F843" i="1"/>
  <c r="G843" i="1"/>
  <c r="F844" i="1"/>
  <c r="G844" i="1"/>
  <c r="F845" i="1"/>
  <c r="G845" i="1"/>
  <c r="F846" i="1"/>
  <c r="G846" i="1"/>
  <c r="F847" i="1"/>
  <c r="G847" i="1"/>
  <c r="F848" i="1"/>
  <c r="G848" i="1"/>
  <c r="F849" i="1"/>
  <c r="G849" i="1"/>
  <c r="F850" i="1"/>
  <c r="G850" i="1"/>
  <c r="F851" i="1"/>
  <c r="G851" i="1"/>
  <c r="F852" i="1"/>
  <c r="G852" i="1"/>
  <c r="F853" i="1"/>
  <c r="G853" i="1"/>
  <c r="F854" i="1"/>
  <c r="G854" i="1"/>
  <c r="F855" i="1"/>
  <c r="G855" i="1"/>
  <c r="F856" i="1"/>
  <c r="G856" i="1"/>
  <c r="F857" i="1"/>
  <c r="G857" i="1"/>
  <c r="F858" i="1"/>
  <c r="G858" i="1"/>
  <c r="F859" i="1"/>
  <c r="G859" i="1"/>
  <c r="F860" i="1"/>
  <c r="G860" i="1"/>
  <c r="F861" i="1"/>
  <c r="G861" i="1"/>
  <c r="F862" i="1"/>
  <c r="G862" i="1"/>
  <c r="F863" i="1"/>
  <c r="G863" i="1"/>
  <c r="F864" i="1"/>
  <c r="G864" i="1"/>
  <c r="F865" i="1"/>
  <c r="G865" i="1"/>
  <c r="F866" i="1"/>
  <c r="G866" i="1"/>
  <c r="F867" i="1"/>
  <c r="G867" i="1"/>
  <c r="F868" i="1"/>
  <c r="G868" i="1"/>
  <c r="F869" i="1"/>
  <c r="G869" i="1"/>
  <c r="F870" i="1"/>
  <c r="G870" i="1"/>
  <c r="F871" i="1"/>
  <c r="G871" i="1"/>
  <c r="F872" i="1"/>
  <c r="G872" i="1"/>
  <c r="F873" i="1"/>
  <c r="G873" i="1"/>
  <c r="F874" i="1"/>
  <c r="G874" i="1"/>
  <c r="F875" i="1"/>
  <c r="G875" i="1"/>
  <c r="F876" i="1"/>
  <c r="G876" i="1"/>
  <c r="F877" i="1"/>
  <c r="G877" i="1"/>
  <c r="F878" i="1"/>
  <c r="G878" i="1"/>
  <c r="F879" i="1"/>
  <c r="G879" i="1"/>
  <c r="F880" i="1"/>
  <c r="G880" i="1"/>
  <c r="F881" i="1"/>
  <c r="G881" i="1"/>
  <c r="F882" i="1"/>
  <c r="G882" i="1"/>
  <c r="F883" i="1"/>
  <c r="G883" i="1"/>
  <c r="F884" i="1"/>
  <c r="G884" i="1"/>
  <c r="F885" i="1"/>
  <c r="G885" i="1"/>
  <c r="F886" i="1"/>
  <c r="G886" i="1"/>
  <c r="F887" i="1"/>
  <c r="G887" i="1"/>
  <c r="F888" i="1"/>
  <c r="G888" i="1"/>
  <c r="F889" i="1"/>
  <c r="G889" i="1"/>
  <c r="F890" i="1"/>
  <c r="G890" i="1"/>
  <c r="F891" i="1"/>
  <c r="G891" i="1"/>
  <c r="F892" i="1"/>
  <c r="G892" i="1"/>
  <c r="F893" i="1"/>
  <c r="G893" i="1"/>
  <c r="F894" i="1"/>
  <c r="G894" i="1"/>
  <c r="F895" i="1"/>
  <c r="G895" i="1"/>
  <c r="F896" i="1"/>
  <c r="G896" i="1"/>
  <c r="F897" i="1"/>
  <c r="G897" i="1"/>
  <c r="F898" i="1"/>
  <c r="G898" i="1"/>
  <c r="F899" i="1"/>
  <c r="G899" i="1"/>
  <c r="F900" i="1"/>
  <c r="G900" i="1"/>
  <c r="F901" i="1"/>
  <c r="G901" i="1"/>
  <c r="F902" i="1"/>
  <c r="G902" i="1"/>
  <c r="F903" i="1"/>
  <c r="G903" i="1"/>
  <c r="F904" i="1"/>
  <c r="G904" i="1"/>
  <c r="F905" i="1"/>
  <c r="G905" i="1"/>
  <c r="F906" i="1"/>
  <c r="G906" i="1"/>
  <c r="F907" i="1"/>
  <c r="G907" i="1"/>
  <c r="F908" i="1"/>
  <c r="G908" i="1"/>
  <c r="F909" i="1"/>
  <c r="G909" i="1"/>
  <c r="F910" i="1"/>
  <c r="G910" i="1"/>
  <c r="F911" i="1"/>
  <c r="G911" i="1"/>
  <c r="F912" i="1"/>
  <c r="G912" i="1"/>
  <c r="F913" i="1"/>
  <c r="G913" i="1"/>
  <c r="F914" i="1"/>
  <c r="G914" i="1"/>
  <c r="F915" i="1"/>
  <c r="G915" i="1"/>
  <c r="F916" i="1"/>
  <c r="G916" i="1"/>
  <c r="F917" i="1"/>
  <c r="G917" i="1"/>
  <c r="F918" i="1"/>
  <c r="G918" i="1"/>
  <c r="F919" i="1"/>
  <c r="G919" i="1"/>
  <c r="F920" i="1"/>
  <c r="G920" i="1"/>
  <c r="F921" i="1"/>
  <c r="G921" i="1"/>
  <c r="F922" i="1"/>
  <c r="G922" i="1"/>
  <c r="F923" i="1"/>
  <c r="G923" i="1"/>
  <c r="F924" i="1"/>
  <c r="G924" i="1"/>
  <c r="F925" i="1"/>
  <c r="G925" i="1"/>
  <c r="F926" i="1"/>
  <c r="G926" i="1"/>
  <c r="F927" i="1"/>
  <c r="G927" i="1"/>
  <c r="F928" i="1"/>
  <c r="G928" i="1"/>
  <c r="F929" i="1"/>
  <c r="G929" i="1"/>
  <c r="F930" i="1"/>
  <c r="G930" i="1"/>
  <c r="F931" i="1"/>
  <c r="G931" i="1"/>
  <c r="F932" i="1"/>
  <c r="G932" i="1"/>
  <c r="F933" i="1"/>
  <c r="G933" i="1"/>
  <c r="F934" i="1"/>
  <c r="G934" i="1"/>
  <c r="F935" i="1"/>
  <c r="G935" i="1"/>
  <c r="F936" i="1"/>
  <c r="G936" i="1"/>
  <c r="F937" i="1"/>
  <c r="G937" i="1"/>
  <c r="F938" i="1"/>
  <c r="G938" i="1"/>
  <c r="F939" i="1"/>
  <c r="G939" i="1"/>
  <c r="F940" i="1"/>
  <c r="G940" i="1"/>
  <c r="F941" i="1"/>
  <c r="G941" i="1"/>
  <c r="F942" i="1"/>
  <c r="G942" i="1"/>
  <c r="F943" i="1"/>
  <c r="G943" i="1"/>
  <c r="F944" i="1"/>
  <c r="G944" i="1"/>
  <c r="F945" i="1"/>
  <c r="G945" i="1"/>
  <c r="F946" i="1"/>
  <c r="G946" i="1"/>
  <c r="F947" i="1"/>
  <c r="G947" i="1"/>
  <c r="F948" i="1"/>
  <c r="G948" i="1"/>
  <c r="F949" i="1"/>
  <c r="G949" i="1"/>
  <c r="F950" i="1"/>
  <c r="G950" i="1"/>
  <c r="F951" i="1"/>
  <c r="G951" i="1"/>
  <c r="F952" i="1"/>
  <c r="G952" i="1"/>
  <c r="F953" i="1"/>
  <c r="G953" i="1"/>
  <c r="F954" i="1"/>
  <c r="G954" i="1"/>
  <c r="F955" i="1"/>
  <c r="G955" i="1"/>
  <c r="F956" i="1"/>
  <c r="G956" i="1"/>
  <c r="F957" i="1"/>
  <c r="G957" i="1"/>
  <c r="F958" i="1"/>
  <c r="G958" i="1"/>
  <c r="F959" i="1"/>
  <c r="G959" i="1"/>
  <c r="F960" i="1"/>
  <c r="G960" i="1"/>
  <c r="F961" i="1"/>
  <c r="G961" i="1"/>
  <c r="F962" i="1"/>
  <c r="G962" i="1"/>
  <c r="F963" i="1"/>
  <c r="G963" i="1"/>
  <c r="F964" i="1"/>
  <c r="G964" i="1"/>
  <c r="F965" i="1"/>
  <c r="G965" i="1"/>
  <c r="F966" i="1"/>
  <c r="G966" i="1"/>
  <c r="F967" i="1"/>
  <c r="G967" i="1"/>
  <c r="F968" i="1"/>
  <c r="G968" i="1"/>
  <c r="F969" i="1"/>
  <c r="G969" i="1"/>
  <c r="F970" i="1"/>
  <c r="G970" i="1"/>
  <c r="F971" i="1"/>
  <c r="G971" i="1"/>
  <c r="F972" i="1"/>
  <c r="G972" i="1"/>
  <c r="F973" i="1"/>
  <c r="G973" i="1"/>
  <c r="F974" i="1"/>
  <c r="G974" i="1"/>
  <c r="F975" i="1"/>
  <c r="G975" i="1"/>
  <c r="F976" i="1"/>
  <c r="G976" i="1"/>
  <c r="F977" i="1"/>
  <c r="G977" i="1"/>
  <c r="F978" i="1"/>
  <c r="G978" i="1"/>
  <c r="F979" i="1"/>
  <c r="G979" i="1"/>
  <c r="F980" i="1"/>
  <c r="G980" i="1"/>
  <c r="F981" i="1"/>
  <c r="G981" i="1"/>
  <c r="F982" i="1"/>
  <c r="G982" i="1"/>
  <c r="F983" i="1"/>
  <c r="G983" i="1"/>
  <c r="F984" i="1"/>
  <c r="G984" i="1"/>
  <c r="F985" i="1"/>
  <c r="G985" i="1"/>
  <c r="F986" i="1"/>
  <c r="G986" i="1"/>
  <c r="F987" i="1"/>
  <c r="G987" i="1"/>
  <c r="F988" i="1"/>
  <c r="G988" i="1"/>
  <c r="F989" i="1"/>
  <c r="G989" i="1"/>
  <c r="F990" i="1"/>
  <c r="G990" i="1"/>
  <c r="F991" i="1"/>
  <c r="G991" i="1"/>
  <c r="F992" i="1"/>
  <c r="G992" i="1"/>
  <c r="F993" i="1"/>
  <c r="G993" i="1"/>
  <c r="F994" i="1"/>
  <c r="G994" i="1"/>
  <c r="F995" i="1"/>
  <c r="G995" i="1"/>
  <c r="F996" i="1"/>
  <c r="G996" i="1"/>
  <c r="F997" i="1"/>
  <c r="G997" i="1"/>
  <c r="F998" i="1"/>
  <c r="G998" i="1"/>
  <c r="F999" i="1"/>
  <c r="G999" i="1"/>
  <c r="F1000" i="1"/>
  <c r="G1000" i="1"/>
  <c r="F1001" i="1"/>
  <c r="G1001" i="1"/>
  <c r="F1002" i="1"/>
  <c r="G1002" i="1"/>
  <c r="F1003" i="1"/>
  <c r="G1003" i="1"/>
  <c r="F1004" i="1"/>
  <c r="G1004" i="1"/>
  <c r="F1005" i="1"/>
  <c r="G1005" i="1"/>
  <c r="F1006" i="1"/>
  <c r="G1006" i="1"/>
  <c r="F1007" i="1"/>
  <c r="G1007" i="1"/>
  <c r="F1008" i="1"/>
  <c r="G1008" i="1"/>
  <c r="F1009" i="1"/>
  <c r="G1009" i="1"/>
  <c r="F1010" i="1"/>
  <c r="G1010" i="1"/>
  <c r="F1011" i="1"/>
  <c r="G1011" i="1"/>
  <c r="F1012" i="1"/>
  <c r="G1012" i="1"/>
  <c r="F1013" i="1"/>
  <c r="G1013" i="1"/>
  <c r="F1014" i="1"/>
  <c r="G1014" i="1"/>
  <c r="F1015" i="1"/>
  <c r="G1015" i="1"/>
  <c r="F1016" i="1"/>
  <c r="G1016" i="1"/>
  <c r="F1017" i="1"/>
  <c r="G1017" i="1"/>
  <c r="F1018" i="1"/>
  <c r="G1018" i="1"/>
  <c r="F1019" i="1"/>
  <c r="G1019" i="1"/>
  <c r="F1020" i="1"/>
  <c r="G1020" i="1"/>
  <c r="F1021" i="1"/>
  <c r="G1021" i="1"/>
  <c r="F1022" i="1"/>
  <c r="G1022" i="1"/>
  <c r="F1023" i="1"/>
  <c r="G1023" i="1"/>
  <c r="F1024" i="1"/>
  <c r="G1024" i="1"/>
  <c r="F1025" i="1"/>
  <c r="G1025" i="1"/>
  <c r="F1026" i="1"/>
  <c r="G1026" i="1"/>
  <c r="F1027" i="1"/>
  <c r="G1027" i="1"/>
  <c r="F1028" i="1"/>
  <c r="G1028" i="1"/>
  <c r="F1029" i="1"/>
  <c r="G1029" i="1"/>
  <c r="F1030" i="1"/>
  <c r="G1030" i="1"/>
  <c r="F1031" i="1"/>
  <c r="G1031" i="1"/>
  <c r="F1032" i="1"/>
  <c r="G1032" i="1"/>
  <c r="F1033" i="1"/>
  <c r="G1033" i="1"/>
  <c r="F1034" i="1"/>
  <c r="G1034" i="1"/>
  <c r="F1035" i="1"/>
  <c r="G1035" i="1"/>
  <c r="F1036" i="1"/>
  <c r="G1036" i="1"/>
  <c r="F1037" i="1"/>
  <c r="G1037" i="1"/>
  <c r="F1038" i="1"/>
  <c r="G1038" i="1"/>
  <c r="F1039" i="1"/>
  <c r="G1039" i="1"/>
  <c r="F1040" i="1"/>
  <c r="G1040" i="1"/>
  <c r="F1041" i="1"/>
  <c r="G1041" i="1"/>
  <c r="F1042" i="1"/>
  <c r="G1042" i="1"/>
  <c r="F1043" i="1"/>
  <c r="G1043" i="1"/>
  <c r="F1044" i="1"/>
  <c r="G1044" i="1"/>
  <c r="F1045" i="1"/>
  <c r="G1045" i="1"/>
  <c r="F1046" i="1"/>
  <c r="G1046" i="1"/>
  <c r="F1047" i="1"/>
  <c r="G1047" i="1"/>
  <c r="F1048" i="1"/>
  <c r="G1048" i="1"/>
  <c r="F1049" i="1"/>
  <c r="G1049" i="1"/>
  <c r="F1050" i="1"/>
  <c r="G1050" i="1"/>
  <c r="F1051" i="1"/>
  <c r="G1051" i="1"/>
  <c r="F1052" i="1"/>
  <c r="G1052" i="1"/>
  <c r="F1053" i="1"/>
  <c r="G1053" i="1"/>
  <c r="F1054" i="1"/>
  <c r="G1054" i="1"/>
  <c r="F1055" i="1"/>
  <c r="G1055" i="1"/>
  <c r="F1056" i="1"/>
  <c r="G1056" i="1"/>
  <c r="F1057" i="1"/>
  <c r="G1057" i="1"/>
  <c r="F1058" i="1"/>
  <c r="G1058" i="1"/>
  <c r="F1059" i="1"/>
  <c r="G1059" i="1"/>
  <c r="F1060" i="1"/>
  <c r="G1060" i="1"/>
  <c r="F1061" i="1"/>
  <c r="G1061" i="1"/>
  <c r="F1062" i="1"/>
  <c r="G1062" i="1"/>
  <c r="F1063" i="1"/>
  <c r="G1063" i="1"/>
  <c r="F1064" i="1"/>
  <c r="G1064" i="1"/>
  <c r="F1065" i="1"/>
  <c r="G1065" i="1"/>
  <c r="F1066" i="1"/>
  <c r="G1066" i="1"/>
  <c r="F1067" i="1"/>
  <c r="G1067" i="1"/>
  <c r="F1068" i="1"/>
  <c r="G1068" i="1"/>
  <c r="F1069" i="1"/>
  <c r="G1069" i="1"/>
  <c r="F1070" i="1"/>
  <c r="G1070" i="1"/>
  <c r="F1071" i="1"/>
  <c r="G1071" i="1"/>
  <c r="F1072" i="1"/>
  <c r="G1072" i="1"/>
  <c r="F1073" i="1"/>
  <c r="G1073" i="1"/>
  <c r="F1074" i="1"/>
  <c r="G1074" i="1"/>
  <c r="F1075" i="1"/>
  <c r="G1075" i="1"/>
  <c r="F1076" i="1"/>
  <c r="G1076" i="1"/>
  <c r="F1077" i="1"/>
  <c r="G1077" i="1"/>
  <c r="F1078" i="1"/>
  <c r="G1078" i="1"/>
  <c r="F1079" i="1"/>
  <c r="G1079" i="1"/>
  <c r="F1080" i="1"/>
  <c r="G1080" i="1"/>
  <c r="F1081" i="1"/>
  <c r="G1081" i="1"/>
  <c r="F1082" i="1"/>
  <c r="G1082" i="1"/>
  <c r="F1083" i="1"/>
  <c r="G1083" i="1"/>
  <c r="F1084" i="1"/>
  <c r="G1084" i="1"/>
  <c r="F1085" i="1"/>
  <c r="G1085" i="1"/>
  <c r="F1086" i="1"/>
  <c r="G1086" i="1"/>
  <c r="F1087" i="1"/>
  <c r="G1087" i="1"/>
  <c r="F1088" i="1"/>
  <c r="G1088" i="1"/>
  <c r="F1089" i="1"/>
  <c r="G1089" i="1"/>
  <c r="F1090" i="1"/>
  <c r="G1090" i="1"/>
  <c r="F1091" i="1"/>
  <c r="G1091" i="1"/>
  <c r="F1092" i="1"/>
  <c r="G1092" i="1"/>
  <c r="F1093" i="1"/>
  <c r="G1093" i="1"/>
  <c r="F1094" i="1"/>
  <c r="G1094" i="1"/>
  <c r="F1095" i="1"/>
  <c r="G1095" i="1"/>
  <c r="F1096" i="1"/>
  <c r="G1096" i="1"/>
  <c r="F1097" i="1"/>
  <c r="G1097" i="1"/>
  <c r="F1098" i="1"/>
  <c r="G1098" i="1"/>
  <c r="F1099" i="1"/>
  <c r="G1099" i="1"/>
  <c r="F1100" i="1"/>
  <c r="G1100" i="1"/>
  <c r="F1101" i="1"/>
  <c r="G1101" i="1"/>
  <c r="F1102" i="1"/>
  <c r="G1102" i="1"/>
  <c r="F1103" i="1"/>
  <c r="G1103" i="1"/>
  <c r="F1104" i="1"/>
  <c r="G1104" i="1"/>
  <c r="F1105" i="1"/>
  <c r="G1105" i="1"/>
  <c r="F1106" i="1"/>
  <c r="G1106" i="1"/>
  <c r="F1107" i="1"/>
  <c r="G1107" i="1"/>
  <c r="F1108" i="1"/>
  <c r="G1108" i="1"/>
  <c r="F1109" i="1"/>
  <c r="G1109" i="1"/>
  <c r="F1110" i="1"/>
  <c r="G1110" i="1"/>
  <c r="F1111" i="1"/>
  <c r="G1111" i="1"/>
  <c r="F1112" i="1"/>
  <c r="G1112" i="1"/>
  <c r="F1113" i="1"/>
  <c r="G1113" i="1"/>
  <c r="F1114" i="1"/>
  <c r="G1114" i="1"/>
  <c r="F1115" i="1"/>
  <c r="G1115" i="1"/>
  <c r="F1116" i="1"/>
  <c r="G1116" i="1"/>
  <c r="F1117" i="1"/>
  <c r="G1117" i="1"/>
  <c r="F1118" i="1"/>
  <c r="G1118" i="1"/>
  <c r="F1119" i="1"/>
  <c r="G1119" i="1"/>
  <c r="F1120" i="1"/>
  <c r="G1120" i="1"/>
  <c r="F1121" i="1"/>
  <c r="G1121" i="1"/>
  <c r="F1122" i="1"/>
  <c r="G1122" i="1"/>
  <c r="F1123" i="1"/>
  <c r="G1123" i="1"/>
  <c r="F1124" i="1"/>
  <c r="G1124" i="1"/>
  <c r="F1125" i="1"/>
  <c r="G1125" i="1"/>
  <c r="F1126" i="1"/>
  <c r="G1126" i="1"/>
  <c r="F1127" i="1"/>
  <c r="G1127" i="1"/>
  <c r="F1128" i="1"/>
  <c r="G1128" i="1"/>
  <c r="F1129" i="1"/>
  <c r="G1129" i="1"/>
  <c r="F1130" i="1"/>
  <c r="G1130" i="1"/>
  <c r="F1131" i="1"/>
  <c r="G1131" i="1"/>
  <c r="F1132" i="1"/>
  <c r="G1132" i="1"/>
  <c r="F1133" i="1"/>
  <c r="G1133" i="1"/>
  <c r="F1134" i="1"/>
  <c r="G1134" i="1"/>
  <c r="F1135" i="1"/>
  <c r="G1135" i="1"/>
  <c r="F1136" i="1"/>
  <c r="G1136" i="1"/>
  <c r="F1137" i="1"/>
  <c r="G1137" i="1"/>
  <c r="F1138" i="1"/>
  <c r="G1138" i="1"/>
  <c r="F1139" i="1"/>
  <c r="G1139" i="1"/>
  <c r="F1140" i="1"/>
  <c r="G1140" i="1"/>
  <c r="F1141" i="1"/>
  <c r="G1141" i="1"/>
  <c r="F1142" i="1"/>
  <c r="G1142" i="1"/>
  <c r="F1143" i="1"/>
  <c r="G1143" i="1"/>
  <c r="F1144" i="1"/>
  <c r="G1144" i="1"/>
  <c r="F1145" i="1"/>
  <c r="G1145" i="1"/>
  <c r="F1146" i="1"/>
  <c r="G1146" i="1"/>
  <c r="F1147" i="1"/>
  <c r="G1147" i="1"/>
  <c r="F1148" i="1"/>
  <c r="G1148" i="1"/>
  <c r="F1149" i="1"/>
  <c r="G1149" i="1"/>
  <c r="F1150" i="1"/>
  <c r="G1150" i="1"/>
  <c r="F1151" i="1"/>
  <c r="G1151" i="1"/>
  <c r="F1152" i="1"/>
  <c r="G1152" i="1"/>
  <c r="F1153" i="1"/>
  <c r="G1153" i="1"/>
  <c r="F1154" i="1"/>
  <c r="G1154" i="1"/>
  <c r="F1155" i="1"/>
  <c r="G1155" i="1"/>
  <c r="F1156" i="1"/>
  <c r="G1156" i="1"/>
  <c r="F1157" i="1"/>
  <c r="G1157" i="1"/>
  <c r="F1158" i="1"/>
  <c r="G1158" i="1"/>
  <c r="F1159" i="1"/>
  <c r="G1159" i="1"/>
  <c r="F1160" i="1"/>
  <c r="G1160" i="1"/>
  <c r="F1161" i="1"/>
  <c r="G1161" i="1"/>
  <c r="F1162" i="1"/>
  <c r="G1162" i="1"/>
  <c r="F1163" i="1"/>
  <c r="G1163" i="1"/>
  <c r="F1164" i="1"/>
  <c r="G1164" i="1"/>
  <c r="F1165" i="1"/>
  <c r="G1165" i="1"/>
  <c r="F1166" i="1"/>
  <c r="G1166" i="1"/>
  <c r="F1167" i="1"/>
  <c r="G1167" i="1"/>
  <c r="F1168" i="1"/>
  <c r="G1168" i="1"/>
  <c r="F1169" i="1"/>
  <c r="G1169" i="1"/>
  <c r="F1170" i="1"/>
  <c r="G1170" i="1"/>
  <c r="F1171" i="1"/>
  <c r="G1171" i="1"/>
  <c r="F1172" i="1"/>
  <c r="G1172" i="1"/>
  <c r="F1173" i="1"/>
  <c r="G1173" i="1"/>
  <c r="F1174" i="1"/>
  <c r="G1174" i="1"/>
  <c r="F1175" i="1"/>
  <c r="G1175" i="1"/>
  <c r="F1176" i="1"/>
  <c r="G1176" i="1"/>
  <c r="F1177" i="1"/>
  <c r="G1177" i="1"/>
  <c r="F1178" i="1"/>
  <c r="G1178" i="1"/>
  <c r="F1179" i="1"/>
  <c r="G1179" i="1"/>
  <c r="F1180" i="1"/>
  <c r="G1180" i="1"/>
  <c r="F1181" i="1"/>
  <c r="G1181" i="1"/>
  <c r="F1182" i="1"/>
  <c r="G1182" i="1"/>
  <c r="F1183" i="1"/>
  <c r="G1183" i="1"/>
  <c r="F1184" i="1"/>
  <c r="G1184" i="1"/>
  <c r="F1185" i="1"/>
  <c r="G1185" i="1"/>
  <c r="F1186" i="1"/>
  <c r="G1186" i="1"/>
  <c r="F1187" i="1"/>
  <c r="G1187" i="1"/>
  <c r="F1188" i="1"/>
  <c r="G1188" i="1"/>
  <c r="F1189" i="1"/>
  <c r="G1189" i="1"/>
  <c r="F1190" i="1"/>
  <c r="G1190" i="1"/>
  <c r="F1191" i="1"/>
  <c r="G1191" i="1"/>
  <c r="F1192" i="1"/>
  <c r="G1192" i="1"/>
  <c r="F1193" i="1"/>
  <c r="G1193" i="1"/>
  <c r="F1194" i="1"/>
  <c r="G1194" i="1"/>
  <c r="F1195" i="1"/>
  <c r="G1195" i="1"/>
  <c r="F1196" i="1"/>
  <c r="G1196" i="1"/>
  <c r="F1197" i="1"/>
  <c r="G1197" i="1"/>
  <c r="F1198" i="1"/>
  <c r="G1198" i="1"/>
  <c r="F1199" i="1"/>
  <c r="G1199" i="1"/>
  <c r="F1200" i="1"/>
  <c r="G1200" i="1"/>
  <c r="F1201" i="1"/>
  <c r="G1201" i="1"/>
  <c r="F1202" i="1"/>
  <c r="G1202" i="1"/>
  <c r="F1203" i="1"/>
  <c r="G1203" i="1"/>
  <c r="F1204" i="1"/>
  <c r="G1204" i="1"/>
  <c r="F1205" i="1"/>
  <c r="G1205" i="1"/>
  <c r="F1206" i="1"/>
  <c r="G1206" i="1"/>
  <c r="F1207" i="1"/>
  <c r="G1207" i="1"/>
  <c r="F1208" i="1"/>
  <c r="G1208" i="1"/>
  <c r="F1209" i="1"/>
  <c r="G1209" i="1"/>
  <c r="F1210" i="1"/>
  <c r="G1210" i="1"/>
  <c r="F1211" i="1"/>
  <c r="G1211" i="1"/>
  <c r="F1212" i="1"/>
  <c r="G1212" i="1"/>
  <c r="F1213" i="1"/>
  <c r="G1213" i="1"/>
  <c r="F1214" i="1"/>
  <c r="G1214" i="1"/>
  <c r="F1215" i="1"/>
  <c r="G1215" i="1"/>
  <c r="F1216" i="1"/>
  <c r="G1216" i="1"/>
  <c r="F1217" i="1"/>
  <c r="G1217" i="1"/>
  <c r="F1218" i="1"/>
  <c r="G1218" i="1"/>
  <c r="F1219" i="1"/>
  <c r="G1219" i="1"/>
  <c r="F1220" i="1"/>
  <c r="G1220" i="1"/>
  <c r="F1221" i="1"/>
  <c r="G1221" i="1"/>
  <c r="F1222" i="1"/>
  <c r="G1222" i="1"/>
  <c r="F1223" i="1"/>
  <c r="G1223" i="1"/>
  <c r="F1224" i="1"/>
  <c r="G1224" i="1"/>
  <c r="F1225" i="1"/>
  <c r="G1225" i="1"/>
  <c r="F1226" i="1"/>
  <c r="G1226" i="1"/>
  <c r="F1227" i="1"/>
  <c r="G1227" i="1"/>
  <c r="F1228" i="1"/>
  <c r="G1228" i="1"/>
  <c r="F1229" i="1"/>
  <c r="G1229" i="1"/>
  <c r="F1230" i="1"/>
  <c r="G1230" i="1"/>
  <c r="F1231" i="1"/>
  <c r="G1231" i="1"/>
  <c r="F1232" i="1"/>
  <c r="G1232" i="1"/>
  <c r="F1233" i="1"/>
  <c r="G1233" i="1"/>
  <c r="F1234" i="1"/>
  <c r="G1234" i="1"/>
</calcChain>
</file>

<file path=xl/sharedStrings.xml><?xml version="1.0" encoding="utf-8"?>
<sst xmlns="http://schemas.openxmlformats.org/spreadsheetml/2006/main" count="3600" uniqueCount="3503">
  <si>
    <t>Зонт вытяжной вентиляционный размерами 3200х2200мм с устройством для сбора 
жировых отложений</t>
  </si>
  <si>
    <t xml:space="preserve">Зонт вытяжной вентиляционный </t>
  </si>
  <si>
    <t>т9</t>
  </si>
  <si>
    <t>Зонт вытяжной вентиляционный размерами 1200х1200мм с устройством для сбора 
жировых отложений</t>
  </si>
  <si>
    <t>т8</t>
  </si>
  <si>
    <t>Зонт вытяжной вентиляционный размерами 1200х700мм с устройством для сбора жировых отложений</t>
  </si>
  <si>
    <t>Зонт вытяжной вентиляционный</t>
  </si>
  <si>
    <t>т7</t>
  </si>
  <si>
    <t>МФУ HP Color Laser 178nw, A4, print 600x600dpi, 18ppm, scan 600x600dpi, LCD, USB, LAN, Wi-Fi</t>
  </si>
  <si>
    <t>МФУ цветной</t>
  </si>
  <si>
    <t>т68</t>
  </si>
  <si>
    <t>Мышь HP 125 Wired Mouse</t>
  </si>
  <si>
    <t>Компьютерная мышь</t>
  </si>
  <si>
    <t>т67</t>
  </si>
  <si>
    <t>Телевизор SONY с функцией Smart TV, диагональ 65 дюймов. Разрешение 3840 x 2160 (Ultra HD)</t>
  </si>
  <si>
    <t>Коммерческий телевизор - 65UN640S, 65 дюймов типа LG</t>
  </si>
  <si>
    <t>Телевизор 65"</t>
  </si>
  <si>
    <t>т66</t>
  </si>
  <si>
    <t>Кабель USB 2.0 Type. Длина: 3 м.</t>
  </si>
  <si>
    <t>Кабель USB</t>
  </si>
  <si>
    <t>т65</t>
  </si>
  <si>
    <t>Кабель HDMI-HDMI. Длина: 5м.</t>
  </si>
  <si>
    <t>Кабель HDMI-HDMI</t>
  </si>
  <si>
    <t>т64</t>
  </si>
  <si>
    <t>Источник бесперебойного питания UPS SVC V2000-L, 2000VA, 1200W, 2x12v/9 Ah, AVR 175-275V, 2 розет.	Техника	шт.	1	119 000,00	119 000,00			71 346</t>
  </si>
  <si>
    <t>Источник бесперебойного питания UPS SVC V2000-L, 2000VA, 1200W, 2x12v/9 Ah, AVR 175-275V, 2 розет.	Техника	шт.	1	119 000,00	119 000,00			71 345</t>
  </si>
  <si>
    <t>Источник бесперебойного питания UPS SVC V2000-L, 2000VA, 1200W, 2x12v/9 Ah, AVR 175-275V, 2 розет.	Техника	шт.	1	119 000,00	119 000,00			71 344</t>
  </si>
  <si>
    <t>Источник бесперебойного питания UPS SVC V2000-L, 2000VA, 1200W, 2x12v/9 Ah, AVR 175-275V, 2 розет.	Техника	шт.	1	119 000,00	119 000,00			71 343</t>
  </si>
  <si>
    <t>Источник бесперебойного питания UPS SVC V2000-L, 2000VA, 1200W, 2x12v/9 Ah, AVR 175-275V, 2 розет.	Техника	шт.	1	119 000,00	119 000,00			71 342</t>
  </si>
  <si>
    <t>Источник бесперебойного питания UPS SVC V2000-L, 2000VA, 1200W, 2x12v/9 Ah, AVR 175-275V, 2 розет.	Техника	шт.	1	119 000,00	119 000,00			71 341</t>
  </si>
  <si>
    <t>Источник бесперебойного питания UPS SVC V2000-L, 2000VA, 1200W, 2x12v/9 Ah, AVR 175-275V, 2 розет.	Техника	шт.	1	119 000,00	119 000,00			71 340</t>
  </si>
  <si>
    <t>Источник бесперебойного питания UPS SVC V2000-L, 2000VA, 1200W, 2x12v/9 Ah, AVR 175-275V, 2 розет.	Техника	шт.	1	119 000,00	119 000,00			71 339</t>
  </si>
  <si>
    <t>Источник бесперебойного питания</t>
  </si>
  <si>
    <t>т63</t>
  </si>
  <si>
    <t>Система принудительной вытяжной вентиляции для обеспечения воздухообмена и поддержания комфортного микроклимата в помещении.</t>
  </si>
  <si>
    <t>Вентиляция вытяжная</t>
  </si>
  <si>
    <t>т6</t>
  </si>
  <si>
    <t>Светодиодный экран предназначен для визуального сопровождения занятий, мероприятий и презентаций. Используется в образовательных и развивающих целях в помещениях дошкольного учреждения.
Размер 2х3 м</t>
  </si>
  <si>
    <t>LED экран</t>
  </si>
  <si>
    <t>т57</t>
  </si>
  <si>
    <t>Janome, автомат, электромеханическая, количество швейных операций
22, контроль натяжения нитей, тип челнока вертикальный</t>
  </si>
  <si>
    <t>Швейная машинка</t>
  </si>
  <si>
    <t>т56</t>
  </si>
  <si>
    <t>Температура: -2/+8 С; Мощность: 0,3 кВт; 230В 1+Н 50/60Гц; Габариты: 656x811x2050 мм</t>
  </si>
  <si>
    <t>Холодильный шкаф 1 дверь vsp-1</t>
  </si>
  <si>
    <t>т54</t>
  </si>
  <si>
    <t>Температура: -2/+8 С; Мощность: 0,39 кВт; 230В 1+Н 50/60Гц; Габариты: 1820x700x850 мм</t>
  </si>
  <si>
    <t>Холодильный стол vsy-3</t>
  </si>
  <si>
    <t>т53</t>
  </si>
  <si>
    <t>Температура: -2/+8; 0,3 кВт/230 В 1+Н  50/60 Гц; Габариты: 1340х700х850 мм</t>
  </si>
  <si>
    <t>Холодильный стол vsy-2</t>
  </si>
  <si>
    <t>т52</t>
  </si>
  <si>
    <t>Компактная тепловая завеса</t>
  </si>
  <si>
    <t>Тепловая завеса</t>
  </si>
  <si>
    <t>т500</t>
  </si>
  <si>
    <t>Холодильная камера 4190x3000x2400</t>
  </si>
  <si>
    <t>т50</t>
  </si>
  <si>
    <t>Беспроводная микрофонная система JBL VM200. Комплект включает 1 передатчик (микрофон) и 1 приёмник с возможностью подключения к акустике. Дальность устойчивой работы — не менее 20 м в помещении, приём сигнала стабильный, без слышимых помех при штатной эксплуатации. Корпус элементов выполнен из прочного материала, обеспечивающего защиту от случайных ударов и безопасное использование под контролем взрослого. Система предусматривает защиту от резких звуковых пиков и плавную регулировку уровня, что важно для соблюдения комфортной громкости для детей. Питание — от батарей/аккумуляторов с временем непрерывной работы не менее 3 часов.</t>
  </si>
  <si>
    <t>Беспроводная микрофонная система для музыкального зала</t>
  </si>
  <si>
    <t>т5</t>
  </si>
  <si>
    <t>Решетчатая система; 220 В / 50 Гц с 2 короткими лампами по 20 Вт; Потребляет 0,04 кВт электроэнергии на 40 Вт; Площадь воздействия 40 м2; Размеры: 700 x 215 x 390 мм.</t>
  </si>
  <si>
    <t>Уничтожитель насекомых kp 40</t>
  </si>
  <si>
    <t>т49</t>
  </si>
  <si>
    <t>Устройство предназначено для уничтожения бумажных документов с целью защиты конфиденциальной информации. Используется в административных и служебных помещениях дошкольного учреждения. Обеспечивает механическое измельчение бумаги, подходит для регулярного офисного использования. Конструкция безопасна в эксплуатации, проста в обслуживании, размещается в рабочей зоне персонала.</t>
  </si>
  <si>
    <t>Уничтожитель документов</t>
  </si>
  <si>
    <t>т48</t>
  </si>
  <si>
    <t>Увлажнитель воздуха Redmond RHF-3316</t>
  </si>
  <si>
    <t>Увлажнитель воздуха</t>
  </si>
  <si>
    <t>т47</t>
  </si>
  <si>
    <t>Вместимость (мука+вода): 25 кг + 20 л; Котел: o600x290 мм; Размеры: 70x100x104 см; 380 В (Трехфазный); Мощность: 1.1 кВт</t>
  </si>
  <si>
    <t>Тестомес hym 600t</t>
  </si>
  <si>
    <t>т46</t>
  </si>
  <si>
    <t>Диаметр вала: 320 мм; Длина вала: 2080 мм; Электрический нагрев; 380-415V/50-60Hz/3Ph+N; Электрический нагрев: 27,9 кВт; Мощность двигателя вала: 0,18 кВт; Мощность двигателя вентилятора: 0,08 (50Hz) кВт; Загрузка: 70 кг/ч</t>
  </si>
  <si>
    <t>Сушильно-гладильная машина i33 200</t>
  </si>
  <si>
    <t>т43</t>
  </si>
  <si>
    <t>Вместимость: (1:18) 25 кг, (1:22) 24 кг;Объем барабана: 530 л; Диаметр барабана: 930 мм; Средняя скорость сушки: 0.384 л/мин; Электрическая мощность: 30/36 кВт; 380-415 В/50-60 Гц/3 фазы; Размеры: 1975x965x1270 мм</t>
  </si>
  <si>
    <t>Сушильная машина t 24</t>
  </si>
  <si>
    <t>т42</t>
  </si>
  <si>
    <t>Вместимость: (1:09) 27 кг, (1:10) 24 кг; Объем барабана: 240 л; G-Фактор: 400; Диаметр барабана: 750 mm; Обороты стирки: 42 rpm; Обороты отжима: 980 rpm; 100% горячая вода нагрев: 90 C; Электрический нагрев: 18 Kw; 380-415V/50-60Hz/3Ph+N</t>
  </si>
  <si>
    <t>Стиральная машина fx 240</t>
  </si>
  <si>
    <t>т41</t>
  </si>
  <si>
    <t>Стиральная машина + сушильная машина qps10</t>
  </si>
  <si>
    <t>т40</t>
  </si>
  <si>
    <t>Беговая дорожка Torneo Magic T-400BL используется для выполнения ходьбы и бега в помещении. Оснащена электрическим приводом с регулировкой скорости движения полотна от 1 до 10 км/ч. Размер бегового полотна составляет не менее 94×38 см. Предусмотрена регулировка угла наклона и складная конструкция. Рассчитана на пользователей с массой тела до 90 кг.</t>
  </si>
  <si>
    <t>Беговая дорожка электрическая</t>
  </si>
  <si>
    <t>т4</t>
  </si>
  <si>
    <t>Вместимость: 10 ножей; 0,02 кВт / 230 В; Ультрафиолет; Таймер 0-90 мин; Размеры: 500x117x600мм</t>
  </si>
  <si>
    <t>Стерилизатор ножей vbs-10</t>
  </si>
  <si>
    <t>т39</t>
  </si>
  <si>
    <t>Корпус из нержавеющей стали; Изготовлен из анодированного алюминия; Диаметр лезвия: 250 мм; Электрическое подключение: 220 В - 50 Гц; Мощность: 0.24 кВт; Размеры: 535x475x490 мм</t>
  </si>
  <si>
    <t>Слайсер jp.gd.250</t>
  </si>
  <si>
    <t>т38</t>
  </si>
  <si>
    <t>Температура: 50-230 C; Объем: 50 л;  Мощность: 7.2 кВт; Напряжение: 400 V; Габариты: 700x800x850 мм</t>
  </si>
  <si>
    <t>Сковорода опрокидываемая электрическая vpe7-22</t>
  </si>
  <si>
    <t>т37</t>
  </si>
  <si>
    <t>Сетевой фильтр Trip-Lite Super 6 DEU, 6 розеток, 5м</t>
  </si>
  <si>
    <t>Сетевой фильтр 5 м.</t>
  </si>
  <si>
    <t>т36</t>
  </si>
  <si>
    <t>ОБЛУЧАТЕЛЬ-РЕЦИРКУЛЯТОР БАКТЕРИЦИДНЫЙ (2х15 ВТ) 825х155х130мм, без подставки, Масса без упаковки, кг: 7</t>
  </si>
  <si>
    <t xml:space="preserve">Рециркулятор </t>
  </si>
  <si>
    <t>т34</t>
  </si>
  <si>
    <t>Пылесос индустриальный</t>
  </si>
  <si>
    <t>Пылесос</t>
  </si>
  <si>
    <t>т33</t>
  </si>
  <si>
    <t>_Корпус, передняя и боковые панели, моечный бак изготовлены из нержавеющей стали 18/10; Стандартное оборудование: ополаскивающий насос, операционная система 24 В, сливной насос; Корзина: 50х50 см; 3 программы; Продолжительность программ: 1, 1.5 и 2 мин.; Производительность: 1000 тарелок/час, 40 корзин/час</t>
  </si>
  <si>
    <t>Посудомоечная машина купольная wz-100-d</t>
  </si>
  <si>
    <t>т32</t>
  </si>
  <si>
    <t>6 конфорок; 0,84 м3; Мощность: 15,6 кВт-400 В; Габариты: 1200х700х300 мм</t>
  </si>
  <si>
    <t>Плита электрическая vpe7-07</t>
  </si>
  <si>
    <t>т31</t>
  </si>
  <si>
    <t>Пароконвектомат SkyLine Premium, бойлерный; С цифровой панелью управления; На 10 уровней GN 1/1; Программируемый; Встроенная система мойки; Размеры: 867x775x1058 мм; Мощность: 19 кВт; 380-415 V 3N 50-60 Гц</t>
  </si>
  <si>
    <t>Пароконвектомат электрический 217839</t>
  </si>
  <si>
    <t>т30</t>
  </si>
  <si>
    <t>Ручная подача воды; Объем: 1,8 л; 230-1-50 Гц; Размеры: 400x230x320 мм</t>
  </si>
  <si>
    <t>Парогенератор с утюгом baby 1.8</t>
  </si>
  <si>
    <t>т29</t>
  </si>
  <si>
    <t xml:space="preserve">Очиститель воздуха Smartmi Air Purifier P2 </t>
  </si>
  <si>
    <t>Очиститель воздуха</t>
  </si>
  <si>
    <t>т28</t>
  </si>
  <si>
    <t>Нержавеющая сталь 430; 0.03 кВт;  Параметры: 880x30x40 mm</t>
  </si>
  <si>
    <t>Освещение для вытяжки ce-dla90</t>
  </si>
  <si>
    <t>т27</t>
  </si>
  <si>
    <t>Ноутбук ASUS B1502CVA, Core i7 1355U/15,6"FHD/8GB/256GB SSD/Intel UHD/WL/BT/Cam/W11Pro</t>
  </si>
  <si>
    <t>Ноутбук</t>
  </si>
  <si>
    <t>т26</t>
  </si>
  <si>
    <t>Накладные наушники предназначены для индивидуального прослушивания аудиоматериалов, музыкального сопровождения и обучающих программ под контролем педагога. Используются в образовательной и коррекционной работе, обеспечивают комфортное и безопасное восприятие звука.</t>
  </si>
  <si>
    <t>Наушники накладные</t>
  </si>
  <si>
    <t>т25</t>
  </si>
  <si>
    <t>Хромированный; No:22; Вместимость: 400кг; 380 В; Мощность: 1.1 kW; Размеры:36x78x52 см</t>
  </si>
  <si>
    <t>Мясорубка epa 22t</t>
  </si>
  <si>
    <t>т24</t>
  </si>
  <si>
    <t>Музыкальный центр Panasonic SC-HC410ee-SАкустическая система предназначена для воспроизведения музыкального и речевого сопровождения в залах и групповых помещениях. Используется при проведении музыкальных занятий, утренников, подвижных игр и мероприятий. Конструкция обеспечивает мобильность, устойчивость и удобство перемещения. Эксплуатируется взрослыми сотрудниками ДОУ.</t>
  </si>
  <si>
    <t>Музыкальный центр (портативная акустическая система)</t>
  </si>
  <si>
    <t>т23</t>
  </si>
  <si>
    <t>Моноблок Avtech G40, Intel® Core™ i3-10100 частота 3.60-4,30 GHz 4 ядра 8 потоков, Intel HD Graphics 630, ОЗУ DDR4 8G, ПЗУ SSD 256G, Windows 10/11</t>
  </si>
  <si>
    <t xml:space="preserve">Моноблок </t>
  </si>
  <si>
    <t>т22</t>
  </si>
  <si>
    <t>МФУ Epson M2110, A4, 15 ppm,1440 x 720 dpi, USB, LAN, tray 154</t>
  </si>
  <si>
    <t>МФУ Epson M2110, A4, 15 ppm,1440 x 720 dpi, USB, LAN, tray 153</t>
  </si>
  <si>
    <t>МФУ Epson M2110, A4, 15 ppm,1440 x 720 dpi, USB, LAN, tray 152</t>
  </si>
  <si>
    <t>МФУ Epson M2110, A4, 15 ppm,1440 x 720 dpi, USB, LAN, tray 151</t>
  </si>
  <si>
    <t>МФУ Epson M2110, A4, 15 ppm,1440 x 720 dpi, USB, LAN, tray 150</t>
  </si>
  <si>
    <t>МФУ</t>
  </si>
  <si>
    <t>т21</t>
  </si>
  <si>
    <t>Микшерный пульт Razer Audio Maker предназначен для сведения и регулирования звуковых сигналов при проведении музыкальных занятий, утренников и мероприятий. Количество входных каналов — не менее 4, с отдельной регулировкой уровня громкости каждого канала для балансировки микрофонов и фонограммы. Пульт обеспечивает настройку тембра/эквализации не менее по 2 параметрам на канал либо общий эквалайзер для коррекции звучания помещения. Предусмотрена функция защиты от резких звуковых пиков (лимитер/ограничение уровня) или плавная регулировка, уменьшающая риск неприятных «всплесков» громкости. Корпус устойчивый, с читаемой маркировкой органов управления и возможностью размещения на столе/стойке в зоне педагога, вне доступа детей. Подключение осуществляется через стандартные аудиоразъёмы, питание — от сети, эксплуатация соответствует требованиям электробезопасности. Используется для создания разборчивой речи и комфортного музыкального сопровождения.</t>
  </si>
  <si>
    <t>Микшерный пульт для управления звуковыми источниками</t>
  </si>
  <si>
    <t>т20</t>
  </si>
  <si>
    <t>Акустическая система Electro-Voice ZLX12 G2 предназначена для озвучивания музыкального зала во время занятий и праздничных мероприятий. Наличие беспроводного микрофона. Обеспечивает качественное воспроизведение звука и ограничение уровня громкости в соответствии с требованиями. Корпус выполнен без острых углов и рассчитан на стационарное использование.</t>
  </si>
  <si>
    <t>Акустическая система для музыкального зала</t>
  </si>
  <si>
    <t>т2</t>
  </si>
  <si>
    <t>Микроволновая печь предназначена для разогрева готовых блюд и напитков в бытовой/служебной зоне дошкольного учреждения. Объём камеры — не менее 20 л, мощность микроволн — не менее 700 Вт, что обеспечивает быстрый разогрев стандартных порций. Управление выполняется с помощью механических или электронных регуляторов с таймером не менее 30 минут и звуковым сигналом окончания цикла. Внутренняя камера имеет покрытие, устойчивое к загрязнениям и допускающее регулярную влажную очистку. Дверца оснащена надёжным замком и ручкой, исключающей случайное самопроизвольное открывание. Устройство устанавливается на устойчивую поверхность, подключается к сети 220 В и используется взрослыми сотрудниками.</t>
  </si>
  <si>
    <t>Микроволновая печь</t>
  </si>
  <si>
    <t>т19</t>
  </si>
  <si>
    <t>Вместимость: 300 кг/час; Настольный; 5 ножей; 220 В; Мощность: 0.37 кВт; Размеры: 27x88x108 см</t>
  </si>
  <si>
    <t>Машина для резки овощей seb 210m</t>
  </si>
  <si>
    <t>т18</t>
  </si>
  <si>
    <t xml:space="preserve">Мобильная стойка для интерактивной панели на колёсах. Диагональ экрана 75 дюймов. </t>
  </si>
  <si>
    <t>Мобильная стойка</t>
  </si>
  <si>
    <t>т170</t>
  </si>
  <si>
    <t>Ламинатор GBC Fusion 1100L Офисное оборудование для ламинирования печатных материалов формата А4. Используется для защиты методических пособий, карточек и наглядных материалов от износа и загрязнений. Подходит для применения в образовательной среде.</t>
  </si>
  <si>
    <t>Ламинатор</t>
  </si>
  <si>
    <t>т17</t>
  </si>
  <si>
    <t>Кулер для воды SVC Aqua 1</t>
  </si>
  <si>
    <t>Кулер</t>
  </si>
  <si>
    <t>т16</t>
  </si>
  <si>
    <t>Объем: 80 л; 0,55 м3/15 кВт-400 В; Размеры: 700X800X850 мм</t>
  </si>
  <si>
    <t>Котел варочный электрический vpe7-23</t>
  </si>
  <si>
    <t>т15</t>
  </si>
  <si>
    <t>Вместимость: 5-10 кг; Пластиковый редуктор; 380 В; Мощность: 0.55 кВт; Размеры: 48x76x102 см</t>
  </si>
  <si>
    <t>Картофелечистка pat 650t</t>
  </si>
  <si>
    <t>т14</t>
  </si>
  <si>
    <t xml:space="preserve">Интерактивная панель SAMSUNG c диагональю 75 дюймов, 8 ядерный, с разрешением экрана 4K (3840 x 2160), встроенная внутренняя память 64 GB, оперативная память 8 GB, ОС Android 13.0 с EDLA сертификацией (Поддержка Google Play), с ПО по 3D урокам Mozaik. Программное обеспечение для демонстрации опытов по естественным наукам для преподавателя Mozaik с 3 годовым доступом. Контентное содержание программного обеспечения: Программное обеспечение предназначено для проведения демонстрационных опытов по предметам химии, биологии, физики. Имеет интерфейс и весь обучающий контент на русском, казахском и английском языках, также имеет возможность работать и управляться сенсорным экраном интерактивной панели. Программное обеспечение распознает жесты для вращения 3D объектов, увеличения 3D объектов. 
</t>
  </si>
  <si>
    <t>Интерактивная панель 75 дюймов</t>
  </si>
  <si>
    <t>т13</t>
  </si>
  <si>
    <t>Электрообогрев с термостатическим управлением; Стандартные функции включают в себя: вакуумный двигатель и поддержку PONY Baby; Напряжение: 230-1-50 Гц; Двигатель 73 Вт; Габариты: 40x140xh92 см</t>
  </si>
  <si>
    <t>Гладильный стол складной omega</t>
  </si>
  <si>
    <t>т12</t>
  </si>
  <si>
    <t>Гарнитура А4Tech HU-35</t>
  </si>
  <si>
    <t>Гарнитура</t>
  </si>
  <si>
    <t>т11</t>
  </si>
  <si>
    <t>Microlab M-106, 10Вт (2,5Вт*2+5Вт), выход 2RCA, вход 3.5 MiniJack</t>
  </si>
  <si>
    <t>Акустическая система</t>
  </si>
  <si>
    <t>т1</t>
  </si>
  <si>
    <t>Нержавеющая сталь AISI 430; С одной  раковиной без полки; Мойка: 50x40x25 см; Параметры: 1000x750x850 мм</t>
  </si>
  <si>
    <t>Стол подачи посудомойки ce-tbg100x75</t>
  </si>
  <si>
    <t>м99</t>
  </si>
  <si>
    <t>Стол обеденный предназначен для приёма пищи персонала. Конструкция устойчивая, поверхность моющаяся и устойчивая к воздействию влаги и моющих средств. Размеры 750х1000х600</t>
  </si>
  <si>
    <t>Стол обеденный</t>
  </si>
  <si>
    <t>м97</t>
  </si>
  <si>
    <t>Нержавеющая сталь AISI 430; С полкой и 4 колесами; Параметры: 1800x700x850 мм</t>
  </si>
  <si>
    <t>Стол на роликах ce-tch180x70</t>
  </si>
  <si>
    <t>м96</t>
  </si>
  <si>
    <t>Нержавеющая сталь AISI 430; С полкой и 4 колесами; Параметры: 1200x600x850 ммй</t>
  </si>
  <si>
    <t>Стол на роликах ce-tch120x60</t>
  </si>
  <si>
    <t>м95</t>
  </si>
  <si>
    <t>Стол используется для размещения медицинских инструментов и расходных материалов. (600х400х860 мм)</t>
  </si>
  <si>
    <t>Стол инструментальный</t>
  </si>
  <si>
    <t>м94</t>
  </si>
  <si>
    <t>Стол предназначен для сенсорных и исследовательских занятий. Размеры: 850×500×460 мм. Оснащён двумя цветными пластиковыми ёмкостями для воды и сыпучих материалов, нижней открытой полкой для инвентаря. Установлен на колёсных опорах диаметром 50 мм. Материал — ЛДСП 16 мм. Все углы скруглены.</t>
  </si>
  <si>
    <t>Стол для экспериментирования с песком и водой</t>
  </si>
  <si>
    <t>м93</t>
  </si>
  <si>
    <t>Нержавеющая сталь AISI 430; Раковина для мытья и сушки, c полиэтиленовой доской для резки; Параметры: 1200x700x850 мм</t>
  </si>
  <si>
    <t>Стол для обработки рыбы ce-tbh120x70</t>
  </si>
  <si>
    <t>м91</t>
  </si>
  <si>
    <t>Нержавеющая сталь AISI 430; Раковина
для мытья и сушки; Параметры:
1200x700x850 мм</t>
  </si>
  <si>
    <t>Стол для мытья овощей ce-tsy120x70</t>
  </si>
  <si>
    <t>м90</t>
  </si>
  <si>
    <t>Акриловое зеркало используется для безопасного визуального отражения в помещениях. Материал отличается малым весом и устойчивостью к повреждениям. Предназначено для размещения в проёмах и между оконными зонами.</t>
  </si>
  <si>
    <t>Зеркало акриловое настенное</t>
  </si>
  <si>
    <t>м9</t>
  </si>
  <si>
    <t>Нержавеющая сталь, с полкой, с бортами с трех сторон, полностью сварной, профильная труба ножек - 40х40 мм, столешница усилена ребром жесткости из нержавеющей стали, толщина стали - 1 мм, с отсерстием для отходов, габариты: 1200х80х850 мм</t>
  </si>
  <si>
    <t>Стол для мытья овощей с отверстием для отходов ce-tys120x80sd</t>
  </si>
  <si>
    <t>м89</t>
  </si>
  <si>
    <t>Размеры: 1500×600×750 мм.Тумба предназначена для хранения бумаги, документации и методических материалов. Оснащена выдвижными ящиками</t>
  </si>
  <si>
    <t>Стол для кабинета</t>
  </si>
  <si>
    <t>м88</t>
  </si>
  <si>
    <t>Нержавеющая сталь AISI 430; С воронкой для отходов, без полки; Параметры: 1000x700x850 мм</t>
  </si>
  <si>
    <t>Стол для грязной посуды ce-tbs100x75</t>
  </si>
  <si>
    <t>м87</t>
  </si>
  <si>
    <t>Детский стол предназначен для занятий, игр и приёма пищи в группах дошкольного учреждения. Конструкция устойчивая, с закруглёнными углами, размеры и высота соответствуют ростовой группе детей. Материал — ЛДСП или массив дерева, поверхность легко очищается.</t>
  </si>
  <si>
    <t>Стол детский</t>
  </si>
  <si>
    <t>м86</t>
  </si>
  <si>
    <t>Нержавеющая сталь 430; Толщина полиэтилена: 4 см; Без полки, с бортиком; Параметры: 1800x700x850 мм</t>
  </si>
  <si>
    <t>Стол верх пэ ce-tcp180x70</t>
  </si>
  <si>
    <t>м85</t>
  </si>
  <si>
    <t>Нержавеющая сталь AISI 430; С одной полкой и бортиком; Параметры: 1800x700x850 мм</t>
  </si>
  <si>
    <t>Стол 1 полка ce-tc1180x70</t>
  </si>
  <si>
    <t>м84</t>
  </si>
  <si>
    <t>Нержавеющая сталь AISI 430; С одной полкой и бортиком; Параметры: 1500x700x850 мм</t>
  </si>
  <si>
    <t>Стол 1 полка ce-tc1150x70</t>
  </si>
  <si>
    <t>м83</t>
  </si>
  <si>
    <t>Нержавеющая сталь AISI 430; С одной полкой и бортиком; Параметры: 1400x700x850 мм</t>
  </si>
  <si>
    <t>Стол 1 полка ce-tc1140x70</t>
  </si>
  <si>
    <t>м82</t>
  </si>
  <si>
    <t>Нержавеющая сталь 430; С одной полкой и бортиком; Параметры: 1300x700x850 мм</t>
  </si>
  <si>
    <t>Стол 1 полка ce-tc1130x70</t>
  </si>
  <si>
    <t>м81</t>
  </si>
  <si>
    <t>Нержавеющая сталь AISI 430; С одной полкой и бортиком; Параметры: 1200x700x850 мм</t>
  </si>
  <si>
    <t>Стол 1 полка ce-tc1120x70</t>
  </si>
  <si>
    <t>м80</t>
  </si>
  <si>
    <t>Прямой диван используется для сидения и кратковременного отдыха. Конструкция нераскладная, с обивкой из экокожи или винилискожи. Высота изделия составляет не менее 50 см, глубина — около 40 см. Подходит для размещения в помещениях.</t>
  </si>
  <si>
    <t>Диван прямой нераскладной</t>
  </si>
  <si>
    <t>м8</t>
  </si>
  <si>
    <t>Нержавеющая сталь 430; С одной полкой и бортиком; Параметры: 1100x700x850 мм</t>
  </si>
  <si>
    <t>Стол 1 полка ce-tc1110x70</t>
  </si>
  <si>
    <t>м79</t>
  </si>
  <si>
    <t>Нержавеющая сталь 430; С одной полкой и  бортиком; Параметры: 1000x700x850 мм</t>
  </si>
  <si>
    <t>Стол 1 полка ce-tc1100x70</t>
  </si>
  <si>
    <t>м78</t>
  </si>
  <si>
    <t xml:space="preserve">Простой стол без полок, предназначен для раскладывания и размещения предметов, материалов и принадлежностей в образовательной среде. 1200x750x750 (ШхГхВ)
</t>
  </si>
  <si>
    <t>Стол</t>
  </si>
  <si>
    <t>м77</t>
  </si>
  <si>
    <t>Подставка для размещения комнатных растений. Предназначена для организации зелёных зон в помещении, устойчивая и безопасная в использовании.</t>
  </si>
  <si>
    <t>Стойка для цветов</t>
  </si>
  <si>
    <t>м76</t>
  </si>
  <si>
    <t>Стенд предназначен для демонстрации детских поделок и творческих работ. Размер 1550×740 мм, используется в групповых помещениях и коридорах ДОУ.</t>
  </si>
  <si>
    <t>Стенд для поделок</t>
  </si>
  <si>
    <t>м75</t>
  </si>
  <si>
    <t>Стеллаж в декоративной форме ёлки предназначен для хранения книг, игрушек и наглядных материалов. Изготовлен из ЛДСП, крепится с помощью подвесной конструкции. Размеры 1350х116х950</t>
  </si>
  <si>
    <t>Стеллаж-полка «Ёлка»</t>
  </si>
  <si>
    <t>м74</t>
  </si>
  <si>
    <t>Нержавеющая сталь 430; С 4 сплошными полками; Размеры: 1800x500x1800 мм</t>
  </si>
  <si>
    <t>Стеллаж ce-ir180x50x180</t>
  </si>
  <si>
    <t>м73</t>
  </si>
  <si>
    <t>Нержавеющая сталь 430; С 4 сплошными полками; Размеры: 1700x500x1800 мм</t>
  </si>
  <si>
    <t>Стеллаж ce-ir170x50x180</t>
  </si>
  <si>
    <t>м72</t>
  </si>
  <si>
    <t>Нержавеющая сталь 430; С 4 сплошными полками; Размеры: 1400x500x1800 мм</t>
  </si>
  <si>
    <t>Стеллаж ce-ir140x50x180</t>
  </si>
  <si>
    <t>м71</t>
  </si>
  <si>
    <t>Нержавеющая сталь 430; С 4 сплошными полками; Размеры: 1300x400x1800 мм</t>
  </si>
  <si>
    <t>Стеллаж ce-ir130x40x180</t>
  </si>
  <si>
    <t>м70</t>
  </si>
  <si>
    <t>Нержавеющая сталь 430; С 4 сплошными полками; Размеры: 1200x500x1800 мм</t>
  </si>
  <si>
    <t>Стеллаж ce-ir120x50x180</t>
  </si>
  <si>
    <t>м69</t>
  </si>
  <si>
    <t>Нержавеющая сталь 430; С 4 сплошными полками; Размеры: 1200x400x1800 мм</t>
  </si>
  <si>
    <t>Стеллаж ce-ir120x40x180</t>
  </si>
  <si>
    <t>м68</t>
  </si>
  <si>
    <t>Металлический стеллаж предназначен для хранения инвентаря и материалов. Отличается прочностью, устойчивостью и долговечностью. Размеры 2500х1000х600</t>
  </si>
  <si>
    <t>Стеллаж металлический</t>
  </si>
  <si>
    <t>м67</t>
  </si>
  <si>
    <t>Размеры: Ширина 1000 мм, глубина 300 мм, высота 1280 мм</t>
  </si>
  <si>
    <t>Стеллаж для дидактических материалов</t>
  </si>
  <si>
    <t>м64</t>
  </si>
  <si>
    <t xml:space="preserve">Закрытый стеллаж. Есть 4 секции с закрывающимися дверцами и 2 выдвижных ящика. Размер: 730х434х1148 мм. (ШхГхВ)
</t>
  </si>
  <si>
    <t>Стеллаж детский игровой с выкатными ящиками</t>
  </si>
  <si>
    <t>м63</t>
  </si>
  <si>
    <t>Стеллаж. Размеры 900×340×700 мм</t>
  </si>
  <si>
    <t>Стеллаж (открытый)</t>
  </si>
  <si>
    <t>м62</t>
  </si>
  <si>
    <t>Нержавеющая сталь 430; 2-х уровневая;Размеры: 1800x400x700 мм</t>
  </si>
  <si>
    <t>Сервисная полка двухуровневая ce-sr2180x40</t>
  </si>
  <si>
    <t>м61</t>
  </si>
  <si>
    <t>Пуфик-кресло типа «груша» предназначено для зон отдыха, релаксации и индивидуальной работы с детьми. Максимальная нагрузка — 100 кг. Наполнитель — гранулы пенополистирола (0,5–3 мм). Материал внешнего чехла — ткань Оксфорд, чехол съёмный. Цвет — жёлтый.</t>
  </si>
  <si>
    <t>Пуфик-кресло с гранулами разных размеров</t>
  </si>
  <si>
    <t>м57</t>
  </si>
  <si>
    <t>Пуф-мешок предназначен для организации комфортной зоны отдыха, чтения и спокойных занятий в группе или кабинете специалистов. Размер изделия обеспечивает посадку ребёнка и поддержку корпуса: диаметр/ширина — не менее 60 см, высота в посадке — не менее 35 см. Наполнитель — гранулы или аналогичный материал, позволяющий пуфу принимать форму тела и снижать статическое напряжение при сидении. Внешний чехол выполнен из износостойкой ткани или экокожи, устойчивой к истиранию и допускающей влажную обработку. Конструкция предусматривает закрытый шов/молнию, исключающую доступ детей к наполнителю. Используется как элемент предметно-пространственной среды для создания спокойной атмосферы и удобной посадки во время индивидуальной работы и релаксации.</t>
  </si>
  <si>
    <t>Пуф-мешок напольный для зоны отдыха и чтения</t>
  </si>
  <si>
    <t>м56</t>
  </si>
  <si>
    <t xml:space="preserve">Нержавеющая сталь 430; Одинарная; Параметры: 1800x300x40 мм
</t>
  </si>
  <si>
    <t>Полка настенная ce-dr180x30</t>
  </si>
  <si>
    <t>м54</t>
  </si>
  <si>
    <t>Нержавеющая сталь 430; Размеры:1500х300х40 мм</t>
  </si>
  <si>
    <t>Полка настенная ce-dr150x30</t>
  </si>
  <si>
    <t>м53</t>
  </si>
  <si>
    <t>Нержавеющая сталь 430; Одинарная; Параметры: 1400x300x40 мм</t>
  </si>
  <si>
    <t>Полка настенная ce-dr140x30</t>
  </si>
  <si>
    <t>м52</t>
  </si>
  <si>
    <t>Настенная книжная полка. Размеры: Ширина 530 мм, Глубина120 мм, Высота 800 мм</t>
  </si>
  <si>
    <t>Полка книжная настенная</t>
  </si>
  <si>
    <t>м51</t>
  </si>
  <si>
    <t>Полка предназначена для хранения детской и методической литературы. Размеры: Ширина 540 мм
Глубина360 мм Высота 460 мм</t>
  </si>
  <si>
    <t>Полка для книг</t>
  </si>
  <si>
    <t>м49</t>
  </si>
  <si>
    <t>Нержавеющая сталь 430; Параметры: 3200x400x500 мм</t>
  </si>
  <si>
    <t>Полка для вытяжки ce-dofr320x40</t>
  </si>
  <si>
    <t>м48</t>
  </si>
  <si>
    <t>Нержавеющая сталь 430; С перфорированной полкой; Параметры: 1200x500x300 mm</t>
  </si>
  <si>
    <t>Подтоварник ce-st50120</t>
  </si>
  <si>
    <t>м47</t>
  </si>
  <si>
    <t>Размеры: 1200x574x550 мм</t>
  </si>
  <si>
    <t>Подставка vpn7-5</t>
  </si>
  <si>
    <t>м46</t>
  </si>
  <si>
    <t>Размеры: 800x574x550 мм</t>
  </si>
  <si>
    <t>Подставка vpn7-4</t>
  </si>
  <si>
    <t>м45</t>
  </si>
  <si>
    <t>Деревянная подставка для цветов предназначена для размещения растений на полу или подоконнике. Используется в дошкольном учреждении для эстетического оформления помещений и рационального размещения растений. Конструкция устойчивая и безопасная для использования в помещениях ДОУ.</t>
  </si>
  <si>
    <t>Подставка для цветов напольная / на подоконник</t>
  </si>
  <si>
    <t>м44</t>
  </si>
  <si>
    <t>Подставка для цветов предназначена для размещения комнатных растений в помещениях дошкольного учреждения. Используется для оформления интерьера и создания благоприятной, экологически ориентированной среды.</t>
  </si>
  <si>
    <t>Подставка для цветов</t>
  </si>
  <si>
    <t>м43</t>
  </si>
  <si>
    <t>Подставка используется для установки или подвешивания зеркала. Обеспечивает устойчивость и возможность изменения расположения.</t>
  </si>
  <si>
    <t>Подставка для зеркала индивидуальная</t>
  </si>
  <si>
    <t>м42</t>
  </si>
  <si>
    <t>Подставка или настенный держатель предназначены для безопасного хранения домбры в музыкальном зале ДОУ. Обеспечивают сохранность инструмента и рациональную организацию пространства. Конструкция устойчивая, с защитными элементами в местах соприкосновения с инструментом.</t>
  </si>
  <si>
    <t>Подставка для домбры / настенный держатель</t>
  </si>
  <si>
    <t>м41</t>
  </si>
  <si>
    <t>Подставка предназначена для хранения и размещения детских музыкальных инструментов (бубны, маракасы, треугольники, ксилофоны и др.). Используется в музыкальном зале дошкольного учреждения для поддержания порядка, удобного доступа и безопасного хранения инвентаря.</t>
  </si>
  <si>
    <t>Подставка для детских инструментов</t>
  </si>
  <si>
    <t>м40</t>
  </si>
  <si>
    <t>Детский стол на 4 - 5посадочных места, предназначенный для групповой работы детей. Конструкция выполнена из качественного дерева, МДФ или металла с ламинированной столешницей, что обеспечивает долговечность, устойчивость и лёгкость ухода.
Размеры изделия: высота — 480 мм, длина — 1180 мм, ширина — 580 мм.
Стол устойчивый, с безопасными округлыми кромками, рассчитан на ежедневное использование в детских учреждениях.</t>
  </si>
  <si>
    <t>Детский стол</t>
  </si>
  <si>
    <t>м4</t>
  </si>
  <si>
    <t>Шкаф стеллаж открытый 2000х300х1000мм. Корпус, полки из ЛДСП 16мм, 20 ячеек, задняя стенка из МДФ 5мм</t>
  </si>
  <si>
    <t xml:space="preserve">Открытый стеллаж </t>
  </si>
  <si>
    <t>м39</t>
  </si>
  <si>
    <t>Открытые стеллажи с контейнерами. Размеры 1800х430х620мм</t>
  </si>
  <si>
    <t>Открытые стеллажи с контейнерами</t>
  </si>
  <si>
    <t>м38</t>
  </si>
  <si>
    <t>Стеллаж 8 секций Размеры:720x390x1820 мм</t>
  </si>
  <si>
    <t>Открытая полка</t>
  </si>
  <si>
    <t>м37</t>
  </si>
  <si>
    <t>Потолочная конструкция с встроенной светодиодной подсветкой. Обеспечивает равномерное освещение и декоративный эффект в помещении.</t>
  </si>
  <si>
    <t>Натяжной потолок с подсветкой</t>
  </si>
  <si>
    <t>м36</t>
  </si>
  <si>
    <t>Настенный держатель предназначен для хранения различного игрового и спортивного инвентаря. Крепится к стене, обеспечивает устойчивость конструкции и безопасность эксплуатации в условиях ДОУ.</t>
  </si>
  <si>
    <t>Настенный держатель для инвентаря</t>
  </si>
  <si>
    <t>м35</t>
  </si>
  <si>
    <t>Настенные держатели предназначены для удобного и безопасного хранения спортивного инвентаря. Используются в спортивных и игровых зонах дошкольного учреждения, обеспечивают порядок, экономию пространства и быстрый доступ к оборудованию.</t>
  </si>
  <si>
    <t>Настенные держатели для обручей</t>
  </si>
  <si>
    <t>м34</t>
  </si>
  <si>
    <t>Настенное зеркало предназначено для использования в развивающей и коррекционной работе с детьми, а также для формирования навыков самоосознания и эмоционального восприятия. Устанавливается на стену, имеет прочную раму и безопасную конструкцию, соответствующую требованиям детских учреждений.</t>
  </si>
  <si>
    <t>Настенное зеркало в раме</t>
  </si>
  <si>
    <t>м33</t>
  </si>
  <si>
    <t>Крепится к стене. Размеры 1000х200х630</t>
  </si>
  <si>
    <t>Настенная полка для хранения дидактических материалов психолога</t>
  </si>
  <si>
    <t>м32</t>
  </si>
  <si>
    <t>Оснащена тремя крючками для удобного распределения изделий. Изготовлена из стали. Крепится к поверхности без сверления при помощи двусторонней ленты.</t>
  </si>
  <si>
    <t>Настенная вешалка для фартуков</t>
  </si>
  <si>
    <t>м30</t>
  </si>
  <si>
    <t xml:space="preserve">Модуль с открытыми полками для хранения игрушек. Габариты изделия — 900×340×700 мм. Материал корпуса — ЛДСП, с кромкой ПВХ. </t>
  </si>
  <si>
    <t>Модуль стеллажный с открытыми полками для хранения материалов</t>
  </si>
  <si>
    <t>м29</t>
  </si>
  <si>
    <t>Многофункциональный стол для чтения, рисования и настольных занятий, подходит для групповой и индивидуальной работы детей. Закруглённые углы обеспечивают безопасность. Форма — прямоугольная или модульная. Материал — ЛДСП или массив дерева. Мягкие сиденья стационарно закреплены к стене и предназначены для организации зоны чтения и отдыха. Под сиденьями размещаются мягкие пуфики, которые легко задвигаются под конструкцию, обеспечивая компактное хранение и удобство использования.</t>
  </si>
  <si>
    <t>Многофункциональный детский стол. Мягкие настенные сиденья с пуфиками — комплект</t>
  </si>
  <si>
    <t>м28</t>
  </si>
  <si>
    <t>Размеры изделия, по параметрам кровати: длина — 120 см, ширина — 60 см.
Гипоаллергенный матрас для детской кровати.</t>
  </si>
  <si>
    <t>Матрас (группа 2-х лет)</t>
  </si>
  <si>
    <t>Размеры изделия, по параметрам кровати: длина — 1400 мм, ширина — 600 мм.
Гипоаллергенный матрас для детской кровати.</t>
  </si>
  <si>
    <t xml:space="preserve">Матрас </t>
  </si>
  <si>
    <t>м27</t>
  </si>
  <si>
    <t>Размеры изделия, по параметрам кровати: длина — не менее 140 см, ширина — 60 см.
Гипоаллергенный матрас для детской кровати, предназначенный для организации дневного и ночного сна. Обеспечивает правильную поддержку тела ребёнка, комфорт и безопасность. Используемые материалы устойчивы к деформации, влаге и подходят для регулярной санитарной обработки.</t>
  </si>
  <si>
    <t>Матрас</t>
  </si>
  <si>
    <t>м26</t>
  </si>
  <si>
    <t>Кушетка предназначена для осмотров, процедур и медицинских манипуляций в медблоке ДОУ. Размеры 560х1930х670</t>
  </si>
  <si>
    <t>Кушетка процедурная</t>
  </si>
  <si>
    <t>м24</t>
  </si>
  <si>
    <t>Круглый стол используется для организации совместной деятельности. Диаметр столешницы составляет не менее 1200 мм, высота — около 550 мм. Конструкция обеспечивает удобное размещение участников вокруг стола. Предназначен для использования в помещениях.</t>
  </si>
  <si>
    <t>Круглый стол напольный (d 1200 мм)</t>
  </si>
  <si>
    <t>м23</t>
  </si>
  <si>
    <t>Стол для совместного чтения, обсуждений и игровых занятий. Способствует развитию общения между детьми. Материал — ЛДСП или дерево. Диаметр — 1000–1200 мм.</t>
  </si>
  <si>
    <t>Круглый стол</t>
  </si>
  <si>
    <t>м22</t>
  </si>
  <si>
    <t>Кровать детская односпальная, размеры 1400х600х450мм, ЛДСП 16мм, без острых углов</t>
  </si>
  <si>
    <t>Кровать для сна (группы 3+)</t>
  </si>
  <si>
    <t>м19</t>
  </si>
  <si>
    <t>Стенд объемный настенный "ГОССИМВОЛЫ РК"</t>
  </si>
  <si>
    <t>Государственная символика</t>
  </si>
  <si>
    <t>м188</t>
  </si>
  <si>
    <t>Гардеробный шкаф для верхней одежды Размеры: ширина 2.2 м, длина 3.3 м, высота 1.8м. Расстояние между крючками: 330мм</t>
  </si>
  <si>
    <t>Гардеробная на 70 мест</t>
  </si>
  <si>
    <t>м187</t>
  </si>
  <si>
    <t>Диван (мягкий), 3-х местный, с подлокотниками</t>
  </si>
  <si>
    <t>Диван (мягкий)</t>
  </si>
  <si>
    <t>м186</t>
  </si>
  <si>
    <t>Система горизонтального раздвижного занавеса с электроприводом с пультом дистанционного управления.</t>
  </si>
  <si>
    <t>Сценический занавес и карниз</t>
  </si>
  <si>
    <t>м185</t>
  </si>
  <si>
    <t>Стойка ресепшен прямая. Размеры: Ширина, 1640 мм. Глубина, 510 мм. Высота, 1150 мм</t>
  </si>
  <si>
    <t>Стойка ресепшен</t>
  </si>
  <si>
    <t>м180</t>
  </si>
  <si>
    <t>Игровая или декоративная кровать с комплектом текстильных элементов. Используется в сюжетно-ролевых играх.</t>
  </si>
  <si>
    <t>Кровать</t>
  </si>
  <si>
    <t>м18</t>
  </si>
  <si>
    <t>Ширина 109 см
Высота 179 см
Глубина 74 см
Материал Металл</t>
  </si>
  <si>
    <t>Гардеробная вешалка</t>
  </si>
  <si>
    <t>м175</t>
  </si>
  <si>
    <t>Детский стул со спинкой для 4+. 300×220×590/270</t>
  </si>
  <si>
    <t>Детский стул с спинкой (4+ лет)</t>
  </si>
  <si>
    <t>м174</t>
  </si>
  <si>
    <t>Детский стул со спинкой для 3 лет. 260×200×550/250 мм</t>
  </si>
  <si>
    <t>Детский стул с спинкой (2-3 лет)</t>
  </si>
  <si>
    <t>м173</t>
  </si>
  <si>
    <t>Ширина, мм 1480
Глубина, мм 820
Высота, мм 670</t>
  </si>
  <si>
    <t>Диван руководителя</t>
  </si>
  <si>
    <t>м172</t>
  </si>
  <si>
    <t xml:space="preserve">Диван Quick Lab Alim Sofa Длина: 1900 мм, ширина: 800 мм, высота: 850 мм. </t>
  </si>
  <si>
    <t xml:space="preserve">Диван </t>
  </si>
  <si>
    <t>м171</t>
  </si>
  <si>
    <t>Шкаф навесной, двухстворчатый, распашной. Материал: ЛДСП, ПВХ. Размеры: 800х300х720мм</t>
  </si>
  <si>
    <t>Навесной шкаф</t>
  </si>
  <si>
    <t>м170</t>
  </si>
  <si>
    <t>Мягкое бескаркасное кресло наполнено полистирольными гранулами и принимает форму тела сидящего. Используется в зонах отдыха, релаксации и индивидуальной работы. Способствует созданию комфортной, неформальной обстановки и снижению эмоционального напряжения.</t>
  </si>
  <si>
    <t>Кресло-груша с гранулами</t>
  </si>
  <si>
    <t>м17</t>
  </si>
  <si>
    <t>Скамья деревянная на металлической основе 1500х300х450 мм</t>
  </si>
  <si>
    <t>Скамья детская узкая</t>
  </si>
  <si>
    <t>м166</t>
  </si>
  <si>
    <t>Набор подушек для создания мягкой зоны, размер 30х30см</t>
  </si>
  <si>
    <t>Мягкая подушка</t>
  </si>
  <si>
    <t>м165</t>
  </si>
  <si>
    <t>Детский стол предназначен для организации совместной деятельности. Рассчитан на размещение не менее 4–5 посадочных мест. Размеры стола: высота — около 40-46 см, длина — около 118 см, ширина — около 58-60 см. Конструкция устойчивая, с безопасно обработанными кромками, подходит для ежедневного использования.</t>
  </si>
  <si>
    <t>Детский стол для 4-х, 5-ти лет</t>
  </si>
  <si>
    <t>м163</t>
  </si>
  <si>
    <t>Детский стол предназначен для организации совместной деятельности. Рассчитан на размещение не менее 4–5 посадочных мест. Размеры стола: высота — около 40 см, длина — около 110-118 см, ширина — около 55-60 см. Конструкция устойчивая, с безопасно обработанными кромками, подходит для ежедневного использования.</t>
  </si>
  <si>
    <t>Детский стол для 3-х лет</t>
  </si>
  <si>
    <t>м162</t>
  </si>
  <si>
    <t>Диспенсер для туалетной бумаги в рулонах типа Jumbo. Материал: пластик, ручная подача, открывается с помощью ключа</t>
  </si>
  <si>
    <t>Диспенсер антивандальный для туалетной бумаги</t>
  </si>
  <si>
    <t>м161</t>
  </si>
  <si>
    <t>Диспенсер для бумажных полотенец типа Vialli. Материал: пластик, Z-укладка, открывается ключом, небольшое окошко для контроля заполнения</t>
  </si>
  <si>
    <t>Диспенсер для бумажных полотенец</t>
  </si>
  <si>
    <t>м160</t>
  </si>
  <si>
    <t>Кресло FX-888 кзам АОД подл.пл.818/1(кзам),крест.пл.d680 м/п, кол JL</t>
  </si>
  <si>
    <t>Кресло руководителя</t>
  </si>
  <si>
    <t>м16</t>
  </si>
  <si>
    <t>Длина насадки 40см
Ширина насадки 12 см
Высота насадки 1,5 см
Длина ручки 130 см</t>
  </si>
  <si>
    <t>Швабра</t>
  </si>
  <si>
    <t>м159</t>
  </si>
  <si>
    <t>Крючки для хранения полотенец, фартуков. Материал крючка : Сплав металлов</t>
  </si>
  <si>
    <t>Крючки</t>
  </si>
  <si>
    <t>м158</t>
  </si>
  <si>
    <t>Ширина (см) 55
Высота (см) 80
Подсветка нет</t>
  </si>
  <si>
    <t>Зеркало</t>
  </si>
  <si>
    <t>м157</t>
  </si>
  <si>
    <t>Объем 18 л
Материал ABS плластик
Тип Ведро без крышки
Форма Прямоугольная</t>
  </si>
  <si>
    <t xml:space="preserve">Ведро </t>
  </si>
  <si>
    <t>м156</t>
  </si>
  <si>
    <t>Шкаф ШРМ-АК-У, размер 1860*500*500 мм</t>
  </si>
  <si>
    <t>Шкаф металлический для одежды и инвентаря</t>
  </si>
  <si>
    <t>м154</t>
  </si>
  <si>
    <t>Швабра с платформой</t>
  </si>
  <si>
    <t>м153</t>
  </si>
  <si>
    <t>Материа Пластик
Максимальная нагрузка на всю конструкцию 80 кг
Количество поворотных колес 4 шт
Количество ведер 2 шт</t>
  </si>
  <si>
    <t>Двухведёрная тележка</t>
  </si>
  <si>
    <t>м152</t>
  </si>
  <si>
    <t>Ведро 18л</t>
  </si>
  <si>
    <t>м151</t>
  </si>
  <si>
    <t>Ценовое предложение на строительство соляной пещеры №2. Комплектация: люкс</t>
  </si>
  <si>
    <t>Строительство соляной пещеры №2</t>
  </si>
  <si>
    <t>м150</t>
  </si>
  <si>
    <t>Ценовое предложение на строительство соляной пещеры №1. Комплектация: люкс</t>
  </si>
  <si>
    <t>Строительство соляной пещеры №1</t>
  </si>
  <si>
    <t>м149</t>
  </si>
  <si>
    <t>Ролл шторы белые однотонные. Услуги доставки и монтажа</t>
  </si>
  <si>
    <t>Ролл шторы</t>
  </si>
  <si>
    <t>м146</t>
  </si>
  <si>
    <t>Шкаф для горшков на 20 мест на ножках ШГ-20 - Азбука (Синий) ШхГхВ 135х32х113 Материал ЛДСП</t>
  </si>
  <si>
    <t>Стеллаж для горшков</t>
  </si>
  <si>
    <t>м145</t>
  </si>
  <si>
    <t>Магнитный Стиратель для маркерной доски, губка с набором маркеров и комплектом магнитов и Чистящая жидкость-спрей. КомплектацияСтиратели магнитные для магнитно-маркерной доски 107х57 мм. - 2 штуки + Набор Маркеров 6 шт. (Черный 2 шт., Синий 2 шт., Красный 2 шт.) + 12 Магнитов + Чистящая жидкость-спрей - 1 шт</t>
  </si>
  <si>
    <t>Набор/комплект для магнитно-маркерной доски</t>
  </si>
  <si>
    <t>м144</t>
  </si>
  <si>
    <t>Доска двухсторонняя 1200*2400 см (маркерная +меловая + магнитная) на подставке, передвижная на колесиках</t>
  </si>
  <si>
    <t>Доска маркерная/меловая поворотная</t>
  </si>
  <si>
    <t>м141</t>
  </si>
  <si>
    <t xml:space="preserve">Стеллаж ПРОФИ СКН-10/5С4П-01, (ВхШхГ) 1850х1000х500, каркас труба нерж 40х40, полка сплошная </t>
  </si>
  <si>
    <t xml:space="preserve">Стеллаж производственный </t>
  </si>
  <si>
    <t>м140</t>
  </si>
  <si>
    <t>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t>
  </si>
  <si>
    <t>Кресло офисное</t>
  </si>
  <si>
    <t>м14</t>
  </si>
  <si>
    <t>Кровать детская односпальная, размеры 1436х650х600мм. Каркас цельносварная рамочная. конструкция, боковины и царги кровати из ЛДСП 16 мм, все углы закруглены. Ложе 1400х600мм</t>
  </si>
  <si>
    <t>Кровать детская для изолятора</t>
  </si>
  <si>
    <t>м138</t>
  </si>
  <si>
    <t xml:space="preserve">Стол однотумбовый с 2 выдвижными ящиками, ЛДСП 16 мм, размер 1200х700х750мм
</t>
  </si>
  <si>
    <t>Стол однотумбовый с 2 выдвижными ящиками</t>
  </si>
  <si>
    <t>м137</t>
  </si>
  <si>
    <t>Нержавеющая сталь 430; С 2 дверями, 4 полками; Параметры: 1200x600x1600 мм</t>
  </si>
  <si>
    <t>Шкаф ce-dm120x60</t>
  </si>
  <si>
    <t>м135</t>
  </si>
  <si>
    <t>Шкаф предназначен для хранения хозяйственного инвентаря, уборочных принадлежностей, моющих и дезинфицирующих средств. Оснащается полками и/или отделением для швабр и ведер. Размеры 600х500х1860</t>
  </si>
  <si>
    <t>Шкаф хозяйственный</t>
  </si>
  <si>
    <t>м134</t>
  </si>
  <si>
    <t>Вместимость: 8 противней 40x60; 3.2 кВт / 230В; Размеры: 940x790x850 мм</t>
  </si>
  <si>
    <t>Шкаф расстоечный vmk-2</t>
  </si>
  <si>
    <t>м133</t>
  </si>
  <si>
    <t>Размеры (Ш×Г×В) — 600 × 314 × 360 мм; тип — навесной; механизм открывания — дверца с газлифтом; материал корпуса — ЛДСП; кромка — ПВХ; фасад — ЛДСП / МДФ; крепление — настенное, скрытое; поверхность — влагостойкая, легко моющаяся.</t>
  </si>
  <si>
    <t>Шкаф навесной с газ.лифтом.</t>
  </si>
  <si>
    <t>м132</t>
  </si>
  <si>
    <t>Шкаф закрытый. Размеры: 800×450×1200 мм.</t>
  </si>
  <si>
    <t>Шкаф закрытый</t>
  </si>
  <si>
    <t>м131</t>
  </si>
  <si>
    <t>Шкаф для тканей, закрытый. Размеры: 800×450×1200 мм.</t>
  </si>
  <si>
    <t>Шкаф для тканей        Отдельное хранение тканей</t>
  </si>
  <si>
    <t>м130</t>
  </si>
  <si>
    <t>Шкаф для одежды 2-х дверный, ЛДСП 16 мм, размеры 800х540х1930 мм</t>
  </si>
  <si>
    <t>Шкаф для одежды</t>
  </si>
  <si>
    <t>м128</t>
  </si>
  <si>
    <t>Шкаф для документации, закрытый. Размеры: 800×450×1200 мм.</t>
  </si>
  <si>
    <t>Шкаф для документов</t>
  </si>
  <si>
    <t>м125</t>
  </si>
  <si>
    <t>Шкаф для временного хранения грязного белья.Конструкция устойчивая, легко моется и дезинфицируется. Размеры 600х500х1860</t>
  </si>
  <si>
    <t>Шкаф для грязного белья</t>
  </si>
  <si>
    <t>м124</t>
  </si>
  <si>
    <t>Размеры (Ш×Г×В) — 800 × 314 × 720 мм; конструкция — стационарная; материал корпуса — ЛДСП; кромка — ПВХ; внутреннее наполнение — полки для размещения посуды и приборов; поверхность — влагостойкая, легко моющаяся</t>
  </si>
  <si>
    <t>Шкаф в буфетной ДОУ  предназначен для хранения чистой посуды и столовых приборов</t>
  </si>
  <si>
    <t>м123</t>
  </si>
  <si>
    <t>Шкаф для одежды 5-ти секционный, ЛДСП 16мм, металиический каркас, размер 1375х500х1250мм</t>
  </si>
  <si>
    <t>Шкаф 5-секционный</t>
  </si>
  <si>
    <t>м122</t>
  </si>
  <si>
    <t>Оснащён полками. Размеры 800х380х2000</t>
  </si>
  <si>
    <t>Шкаф</t>
  </si>
  <si>
    <t>м121</t>
  </si>
  <si>
    <t xml:space="preserve">Используется для лазания, упражнений на координацию, силу и гибкость. Настенное крепление, прорезиненные ступени. Максимальная нагрузка — до 100 кг. Размеры ширина 1400мм, высота 2400мм </t>
  </si>
  <si>
    <t>Шведская стенка</t>
  </si>
  <si>
    <t>м120</t>
  </si>
  <si>
    <t>Конференц-стол для проведения совещаний и рабочих встреч. Размеры 2700х1000х750мм</t>
  </si>
  <si>
    <t>Конференц-стол для совещаний</t>
  </si>
  <si>
    <t>м12</t>
  </si>
  <si>
    <t>Стол однотумбовый с 2 выдвижными ящиками, ЛДСП 16 мм, размер 1200х600х760мм</t>
  </si>
  <si>
    <t>Учительский стол</t>
  </si>
  <si>
    <t>м119</t>
  </si>
  <si>
    <t>Стул предназначен для оснащения кабинетов ДОУ. Обеспечивает комфортную посадку, устойчивую конструкцию и удобство при длительном использовании.
Материал обивки ткань/эко кожа. Металлический каркас, окрашен порошковой полимерной краской. Размер:410х560х940мм</t>
  </si>
  <si>
    <t>Стул полумягкий. Материал обивки ткань/эко кожа. Металлический каркас, окрашен порошковой полимерной краской. Размер:410х560х940мм</t>
  </si>
  <si>
    <t>Стул полумягкий</t>
  </si>
  <si>
    <t>м116</t>
  </si>
  <si>
    <t>Стул предназначен для оснащения актового зала. Размеры (ШхГхВ) 500х650х860мм</t>
  </si>
  <si>
    <t>Стул для зрителей</t>
  </si>
  <si>
    <t>м115</t>
  </si>
  <si>
    <t>Стул полумягкий. Хромированный каркас. Размер: 550x600x830мм</t>
  </si>
  <si>
    <t>Стул для воспитателя с спинкой</t>
  </si>
  <si>
    <t>м114</t>
  </si>
  <si>
    <t>Детский стул со спинкой, предназначенный для безопасного и комфортного сидения детей. Конструкция выполнена из качественного дерева или прочного пластика, обеспечивая лёгкость, устойчивость и долговечность.
Размеры изделия: высота стула — 48 см, высота сиденья — 28 см, ширина — 30 см.
Стул прочный, с тщательно обработанными краями и безопасными углами, подходит для ежедневного использования в детских учреждениях."</t>
  </si>
  <si>
    <t xml:space="preserve">Детский стул со спинкой </t>
  </si>
  <si>
    <t>м112</t>
  </si>
  <si>
    <t>Стул офисный BSB 388 со спинкой,с удобной посадкой. Размеры 530х560х820 см.</t>
  </si>
  <si>
    <t>Стул</t>
  </si>
  <si>
    <t>м111</t>
  </si>
  <si>
    <t>Пластиковый столик для игр с песком и водой с крышкой. Используется для сенсорных и развивающих занятий, устойчивый, безопасный, легко очищается.</t>
  </si>
  <si>
    <t>Столик для игры с песком и водой</t>
  </si>
  <si>
    <t>м110</t>
  </si>
  <si>
    <t xml:space="preserve">Детский стол состоит из трёх половинок, общий диаметр — 160 см. Предназначен для групповой работы и занятий. </t>
  </si>
  <si>
    <t>Стол-ромашка (3 половинки) на регулируемых ножках</t>
  </si>
  <si>
    <t>м109</t>
  </si>
  <si>
    <t>Нержавеющая сталь 430; Габариты: 800x700x850 мм</t>
  </si>
  <si>
    <t>Стол ce-tc080x70</t>
  </si>
  <si>
    <t>м108</t>
  </si>
  <si>
    <t>Стол производственный рабочий CE-TC1120X60. Нержавеющая сталь. С одной полкой и бортиком. Размер: 1200x600x850мм</t>
  </si>
  <si>
    <t>Стол с одной полкой</t>
  </si>
  <si>
    <t>м107</t>
  </si>
  <si>
    <t>Нержавеющая сталь AISI 430; С бортиком без полки; Мойка: 50x40x25 см; Параметры: 1200x700x850 мм</t>
  </si>
  <si>
    <t>Стол с 2 мойками ce-tce120x70</t>
  </si>
  <si>
    <t>м106</t>
  </si>
  <si>
    <t>Стол с двумя мойками CE-TCE120X60. Нержавеющая сталь. Размер: 1200x600x850мм</t>
  </si>
  <si>
    <t>Стол с 2 мойками</t>
  </si>
  <si>
    <t>м105</t>
  </si>
  <si>
    <t xml:space="preserve">Письменный стол, со встроенной тумбой. Столешница выполнена из ЛДСП или МДФ повышенной плотности с ламинированным покрытием, устойчивым к истиранию и влаге. Кромки обработаны ПВХ-кромкой. Опоры металлические, устойчивые, с подпятниками для защиты напольного покрытия. Размеры:  1800×800×750 мм. В комплект входит приставной стол для посетителей. </t>
  </si>
  <si>
    <t>Стол руководителя с приставной тумбой</t>
  </si>
  <si>
    <t>м104</t>
  </si>
  <si>
    <t>Нержавеющая сталь AISI 430; Без нижней  полки и бортика; Параметры: 700x750x850 мм</t>
  </si>
  <si>
    <t>Стол разгрузки посудомойки ce-tbc70x75</t>
  </si>
  <si>
    <t>м103</t>
  </si>
  <si>
    <t>Рабочий стол с металлической поверхностью. Устойчивый, легко моющийся. Размеры  1800х600х850</t>
  </si>
  <si>
    <t>Стол рабочий</t>
  </si>
  <si>
    <t>м102</t>
  </si>
  <si>
    <t xml:space="preserve">Размеры: 800X700X300 мм
</t>
  </si>
  <si>
    <t>Стол промежуточный vpn7-2</t>
  </si>
  <si>
    <t>м101</t>
  </si>
  <si>
    <t>Производственный стол предназначен для хозяйственных работ. Размеры  1800х600х850</t>
  </si>
  <si>
    <t>Стол производственный</t>
  </si>
  <si>
    <t>м100</t>
  </si>
  <si>
    <t>Настенное зеркало используется для визуального контроля внешнего вида и ориентации в пространстве. Размещается на стене в помещениях общего пользования. Размер зеркала относится к средней категории и подходит для настенного монтажа.</t>
  </si>
  <si>
    <t>Зеркало настенное среднего размера</t>
  </si>
  <si>
    <t>м10</t>
  </si>
  <si>
    <t>Напольная вешалка. Размеры высота 1700мм, кол-во крючков 8шт.</t>
  </si>
  <si>
    <t>Вешалка напольная для верхней одежды</t>
  </si>
  <si>
    <t>м1</t>
  </si>
  <si>
    <t>Инструменты для конструирования из картона для начальной школы</t>
  </si>
  <si>
    <t>д999</t>
  </si>
  <si>
    <t>LEGO® Education STEAM Park</t>
  </si>
  <si>
    <t>д998</t>
  </si>
  <si>
    <t>BricQ Motion Essential</t>
  </si>
  <si>
    <t>д997</t>
  </si>
  <si>
    <t>Набор для дошкольного изучения Computer science and AI</t>
  </si>
  <si>
    <t>д996</t>
  </si>
  <si>
    <t>Стойка для сушки работ после экспериментов</t>
  </si>
  <si>
    <t>д995</t>
  </si>
  <si>
    <t>Ковер «Космос» для занятий на полу</t>
  </si>
  <si>
    <t>д994</t>
  </si>
  <si>
    <t>Стулья для всей группы (высота сиденья 25 см)</t>
  </si>
  <si>
    <t>д993</t>
  </si>
  <si>
    <t>Набор глубоких лотков для мелких деталей</t>
  </si>
  <si>
    <t>д992</t>
  </si>
  <si>
    <t>Стеллаж для хранения STEM-наборов и лотков</t>
  </si>
  <si>
    <t>д991</t>
  </si>
  <si>
    <t>Набор демонстрационных картинок используется для расширения представлений о диких животных. Материалы применяются для наглядного показа и обсуждения особенностей животных. Комплект включает 16 демонстрационных и 16 раздаточных карточек.</t>
  </si>
  <si>
    <t>Демонстрационные картинки «Дикие животные – 2»</t>
  </si>
  <si>
    <t>д99</t>
  </si>
  <si>
    <t>Стол для демонстрации находок и коллекций</t>
  </si>
  <si>
    <t>д989</t>
  </si>
  <si>
    <t>Стол с линзами для макро-наблюдений объектов</t>
  </si>
  <si>
    <t xml:space="preserve">Стол с линзами </t>
  </si>
  <si>
    <t>д988</t>
  </si>
  <si>
    <t>Мобильный стол для экспериментов с песком и водой</t>
  </si>
  <si>
    <t>Мобильный стол</t>
  </si>
  <si>
    <t>д987</t>
  </si>
  <si>
    <t>Стол-верстак для проектной деятельности</t>
  </si>
  <si>
    <t>Стол-верстак</t>
  </si>
  <si>
    <t>д986</t>
  </si>
  <si>
    <t>Верстак для столярных работ и работы с деревом</t>
  </si>
  <si>
    <t xml:space="preserve">Верстак </t>
  </si>
  <si>
    <t>д985</t>
  </si>
  <si>
    <t>Дозатор жидкого мыла</t>
  </si>
  <si>
    <t>Дозатор для жидкого мыла</t>
  </si>
  <si>
    <t>д984</t>
  </si>
  <si>
    <t>2+ Ознакомление с окружающим миром. Раздаточный материал</t>
  </si>
  <si>
    <t>Ознакомление с окружающим миром (раздаточный материал)</t>
  </si>
  <si>
    <t>д983</t>
  </si>
  <si>
    <t>2+ Ознакомление с окружающим миром. Методическое пособие (электронная версия)</t>
  </si>
  <si>
    <t>Ознакомление с окружающим миром (электронная версия)</t>
  </si>
  <si>
    <t>д982</t>
  </si>
  <si>
    <t>Аппарат для УВЧ-терапии N=0,12квт В=220В - УВЧ-60</t>
  </si>
  <si>
    <t>УФ-устройство</t>
  </si>
  <si>
    <t>д980</t>
  </si>
  <si>
    <t>Демонстрационные картинки используются для наглядного ознакомления с дикими животными. Применяются при рассматривании, классификации и обсуждении внешнего вида животных. В набор входит 16 демонстрационных изображений и 16 раздаточных карточек.</t>
  </si>
  <si>
    <t>Демонстрационные картинки «Дикие животные – 1»</t>
  </si>
  <si>
    <t>д98</t>
  </si>
  <si>
    <t>Набор демонстрационных картинок предназначен для ознакомления с видами деревьев и кустарников. Используется при рассматривании изображений и обсуждении внешних признаков растений. В комплект входит не менее 16 демонстрационных картинок и 16 раздаточных карточек.</t>
  </si>
  <si>
    <t>Демонстрационные картинки «Деревья и кустарники»</t>
  </si>
  <si>
    <t>д97</t>
  </si>
  <si>
    <t>Холодильник предназначен для хранения медикаментов с соблюдением температурного режима, установленного санитарными требованиями.</t>
  </si>
  <si>
    <t>Холодильник фармацевтический</t>
  </si>
  <si>
    <t>д969</t>
  </si>
  <si>
    <t>Настольная мозаика предназначена для составления узоров и изображений по образцу и по замыслу ребёнка. Используется для развития мелкой моторики, зрительно-пространственного восприятия, усидчивости и умения действовать по инструкции. Комплект включает игровое поле и набор фишек/элементов не менее 100 шт., что обеспечивает разнообразие заданий. Материал деталей — безопасный пластик, устойчивый к частому использованию и влажной обработке.</t>
  </si>
  <si>
    <t>Мозаика настольная развивающая</t>
  </si>
  <si>
    <t>д967</t>
  </si>
  <si>
    <t>Миниатюрная кровать для кукол с покрывалом. Используется в сюжетно-ролевых и бытовых играх.</t>
  </si>
  <si>
    <t>Кровать для кукол</t>
  </si>
  <si>
    <t>д965</t>
  </si>
  <si>
    <t>защитная одежда с требованиями к гигиеничности (антибактериальность, гипоаллергенность), комфорту (воздухопроницаемость, эластичность), практичности (износостойкость, легкий уход, устойчивость к пятнам, влагоотталкивающие пропитки), функциональности (карманы, удобный крой) и презентабельности</t>
  </si>
  <si>
    <t>Медицинские халаты</t>
  </si>
  <si>
    <t>д961</t>
  </si>
  <si>
    <t>Измерительная лента</t>
  </si>
  <si>
    <t>д960</t>
  </si>
  <si>
    <t>Набор демонстрационных картинок используется для наглядного ознакомления с видами грибов и их классификацией. Материалы применяются при рассматривании изображений и обсуждении отличительных признаков. В набор входит не менее 16 демонстрационных картинок размером около 173×220 мм и 16 раздаточных карточек.</t>
  </si>
  <si>
    <t>Демонстрационные картинки «Грибы съедобные и несъедобные»</t>
  </si>
  <si>
    <t>д96</t>
  </si>
  <si>
    <t>оптометрические таблицы с уменьшающимися символами по строкам для определения остроты зрения, где расстояние до объекта и его размер сопоставляются, показывая остроту зрения (V=0.1, 1.0 и т.д.)</t>
  </si>
  <si>
    <t>Таблица для проверки зрения</t>
  </si>
  <si>
    <t>д959</t>
  </si>
  <si>
    <t>Ростомер механический 400х398х2360</t>
  </si>
  <si>
    <t xml:space="preserve">Ростомер механический </t>
  </si>
  <si>
    <t>д958</t>
  </si>
  <si>
    <t>Бесконтактный термометр идеален для измерения температуры тела у взрослых, детей и новорожденных</t>
  </si>
  <si>
    <t>Бесконтактный инфракрасный термометр</t>
  </si>
  <si>
    <t>д956</t>
  </si>
  <si>
    <t>Шкаф медицинский двухстворчатый из полипропилена, размер 800х400х1800 мм
МЕДИЦИНСКИЙ ШКАФ HILFE МД 2 1780/SG</t>
  </si>
  <si>
    <t>Шкаф медицинский</t>
  </si>
  <si>
    <t>д954</t>
  </si>
  <si>
    <t>Комплексный образовательный набор, предназначенный для использования в условиях дошкольного учреждения. Используется для организации познавательной, исследовательской и конструкторской деятельности детей. Способствует развитию инженерного мышления, логики, воображения, навыков экспериментирования, командной работы и решения задач. Включает элементы для конструирования, моделирования, простых опытов и STEAM-занятий. Материалы набора безопасны для детей, адаптированы для индивидуальной и групповой работы, соответствуют требованиям эксплуатации в ДОУ.</t>
  </si>
  <si>
    <t>XXL НАБОР ДЛЯ ДЕТСКОГО САДА: "ЮНЫЙ ИЗОБРЕТАТЕЛЬ"</t>
  </si>
  <si>
    <t>д953</t>
  </si>
  <si>
    <t>Б. Оспанова</t>
  </si>
  <si>
    <t>Welcome, Nauryz!</t>
  </si>
  <si>
    <t>д952</t>
  </si>
  <si>
    <t>А. Сужикова, М. Кайрамбаева</t>
  </si>
  <si>
    <t>The Great Abai</t>
  </si>
  <si>
    <t>д951</t>
  </si>
  <si>
    <t>Игровое программируемое поле, предназначенное для работы с интерактивным роботом Tale-Bot Pro. Используется для построения маршрутов, выполнения алгоритмических заданий и моделирования различных игровых ситуаций. Позволяет детям осваивать основы программирования, развивать логическое и пространственное мышление, навыки планирования и решения задач. Поле имеет разметку для перемещения робота и подходит для индивидуальной и групповой работы в образовательной среде.</t>
  </si>
  <si>
    <t>Tale map</t>
  </si>
  <si>
    <t>д950</t>
  </si>
  <si>
    <t>Набор демонстрационных картинок используется для наглядного ознакомления с видами головных уборов. Каждая карточка содержит изображение и текстовую информацию на обороте. Размер карточек — не менее 174×220 мм. Применяются при рассматривании и обсуждении.</t>
  </si>
  <si>
    <t>Демонстрационные картинки «Головные уборы»</t>
  </si>
  <si>
    <t>д95</t>
  </si>
  <si>
    <t>Tale-Bot Pro - это новейшая разработка от MATATALAB.
Это интерактивный робот, сочетающий в себе обучение
в игровой форме, способствующий развитию
креативности, критического мышления и навыков
поиска решения проблем.
Яркие и удобные в использовании модули помогают
разнообразить вид заданий что очень важно
для сохранения концентрации у детей.
Милый и интуитивно понятный дизайн способен
покорить внимание каждого ребенка.</t>
  </si>
  <si>
    <t>Tale Bot</t>
  </si>
  <si>
    <t>д949</t>
  </si>
  <si>
    <t>Развивающий набор предназначен для освоения основ инженерного мышления, конструирования и командной работы. Используется в образовательной деятельности детей дошкольного возраста.</t>
  </si>
  <si>
    <t>STEAM-набор для конструирования</t>
  </si>
  <si>
    <t>д946</t>
  </si>
  <si>
    <t>Сужикова А. (перевод Асанова М.)</t>
  </si>
  <si>
    <t>Shokan.The Lodestar of the East</t>
  </si>
  <si>
    <t>д945</t>
  </si>
  <si>
    <t>Matatalab Pro Set представляет собой универсальный набор для
изучения основ программирования.
Включает в себя робота, блоки программирования и различные
аксессуары для создания множества увлекательных проектов.
Программа для робота создается используя физические
программные блоки. Учащиеся не используют никакие дисплеи,
тем самым защищают свои глаза от синего излучения мониторов.
Набор обучает основам алгоритмического мышления, полученные
знания облегчают дальнейшее обучение программированию.</t>
  </si>
  <si>
    <t>Matata Pro Set Coding</t>
  </si>
  <si>
    <t>д944</t>
  </si>
  <si>
    <t>Образовательный набор для конструирования и первичного программирования, предназначенный для детей дошкольного и младшего школьного возраста. Используется для развития логического мышления, навыков решения задач, командной работы и базовых инженерных представлений. Подходит для индивидуальной и групповой работы.</t>
  </si>
  <si>
    <t>LEGO® Education SPIKE™ Essential</t>
  </si>
  <si>
    <t>д943</t>
  </si>
  <si>
    <t>А. Сужикова</t>
  </si>
  <si>
    <t>Kazakhstan, My Native Land (юрта)</t>
  </si>
  <si>
    <t>д942</t>
  </si>
  <si>
    <t>Жанузакова М.Т</t>
  </si>
  <si>
    <t>DIMASH ҚҰДАЙБЕРГЕН.VIP.ШЕКСІЗ МУЗЫКА.ФОТОАЛЬБОМ (КАЗ.РУСС.АНГЛ)</t>
  </si>
  <si>
    <t>д941</t>
  </si>
  <si>
    <t>DIMASH ҚҰДАЙБЕРГЕН.ШЕКСІЗ МУЗЫКА.ФОТОАЛЬБОМ (КАЗ.РУСС.АНГЛ)</t>
  </si>
  <si>
    <t>д940</t>
  </si>
  <si>
    <t>Демонстрационное пособие предназначено для использования на уроках труда начальной школе при обучении работе с текстилем и изучением его разнообразия. Набор представляет собой собрание примеров сырьевых и готовых материалов, оформленное на планшетах. Использовать комплект можно как наглядный и раздаточный материал. Коллекция обеспечит соблюдение принципа наглядности на уроках, посвященных значению и применению тканей. В материале представлены текстильные материалы: животного происхождения (шёлк натуральный, шерстяные ткани) растительного (хлопчатобумажные, льняные, а также их волокна и исходные продукты) искусственные (вискоза, лавсан, ацетат) образцы ниток и изделий из них (ленты, шнурки, кружева и т.д.) Пособие представляет собой складную папку с планшетками, на которых прикреплены образцы. Экспонаты пронумерованы и выложены согласно прилагаемому списку. Назначение набора – познакомить учащихся с различными видами текстиля. В состав входят: 1 складная папка 2 паспарту (планшета) паспорт В целях безопасной транспортировки и хранения изделие поставляется в упаковке размером 40х30х1,5 см в термоусадочной пленке. Вес пособия не превышает 0,5 кг.</t>
  </si>
  <si>
    <t>Демонстрационное пособие</t>
  </si>
  <si>
    <t>д94</t>
  </si>
  <si>
    <t>Туреханова З.</t>
  </si>
  <si>
    <t>Astana - the heart of our Motherland</t>
  </si>
  <si>
    <t>д939</t>
  </si>
  <si>
    <t>Эстафетные палочки предназначены для проведения подвижных и спортивных игр. Длина — около 300 мм, диаметр — около 30 мм. Выполнены в виде ярко окрашенных полых цилиндров с гладкой поверхностью. Материал — алюминий. Используются для эстафет и командных игр в спортивном зале и на улице.</t>
  </si>
  <si>
    <t>Эстафетные палочки</t>
  </si>
  <si>
    <t>д938</t>
  </si>
  <si>
    <t>Энциклопедия содержит иллюстрированную информацию о животных. Используется для рассматривания и ознакомления с представителями животного мира. Предназначена для познавательной деятельности.</t>
  </si>
  <si>
    <t>Энциклопедия «Жануарлар»</t>
  </si>
  <si>
    <t>д937</t>
  </si>
  <si>
    <t>Набор стикеров предназначен для работы с эмоциональной сферой детей. Используется для обозначения настроения, анализа чувств, выполнения игровых, коррекционных и диагностических заданий. Подходит для индивидуальной и групповой работы.</t>
  </si>
  <si>
    <t>Эмоциональные стикеры</t>
  </si>
  <si>
    <t>д936</t>
  </si>
  <si>
    <t>Эмоциональное яйцо предназначено для интерактивных занятий с детьми дошкольного возраста. Используется для выражения, распознавания и обсуждения эмоций в игровой форме. Способствует развитию эмоционального интеллекта, саморегуляции и коммуникативных навыков.</t>
  </si>
  <si>
    <t>Эмоциональное яйцо</t>
  </si>
  <si>
    <t>д935</t>
  </si>
  <si>
    <t>Электронная игра включает режимы заданий на запоминание и реакцию с использованием световых и звуковых сигналов. В процессе игры выполняется повторение последовательностей и реагирование на сигналы в заданном темпе. Такая деятельность развивает внимание, память и скорость реакции. Предусмотрено не менее трёх режимов игры. Игрушка оснащена световыми и звуковыми эффектами.</t>
  </si>
  <si>
    <t>Электронная игра на память с музыкой и светом</t>
  </si>
  <si>
    <t>д934</t>
  </si>
  <si>
    <t>Оспанов М., Утельбаева С.</t>
  </si>
  <si>
    <t>Ыбырай. Чистый родник степи</t>
  </si>
  <si>
    <t>д933</t>
  </si>
  <si>
    <t>Оспанов М., Өтелбаева С. (И.Алтынсарин туралы)</t>
  </si>
  <si>
    <t>Ыбырай. Даланың таза бұлагы</t>
  </si>
  <si>
    <t>д932</t>
  </si>
  <si>
    <t>Ахметова З.</t>
  </si>
  <si>
    <t>Шуакты кундер (Б.Момышұлы туралы)</t>
  </si>
  <si>
    <t>д931</t>
  </si>
  <si>
    <t>Искусственная сосновая шишка используется как декоративный элемент для оформления тематических композиций и природных уголков. Изделие выполнено из безопасного материала, сохраняющего форму при длительной эксплуатации. Подходит для размещения в вазах, корзинах, на полках и в витринных композициях. Поверхность имитирует фактуру природной шишки. Предназначена для многократного использования в помещении.</t>
  </si>
  <si>
    <t>Декоративный элемент «Шишка сосновая» (искусственная)</t>
  </si>
  <si>
    <t>д93</t>
  </si>
  <si>
    <t>Сужикова А.</t>
  </si>
  <si>
    <t>Шоқан. Шығыстың жарық жұлдызы</t>
  </si>
  <si>
    <t>д929</t>
  </si>
  <si>
    <t>Бірмагамбетов Ә.</t>
  </si>
  <si>
    <t>Шоқан Уәлиханов - географ және саяхатшы</t>
  </si>
  <si>
    <t>д928</t>
  </si>
  <si>
    <t>Деревянная развивающая шнуровка предназначена для детей дошкольного возраста. Используется для развития мелкой моторики, координации движений, внимания и логического мышления. Представляет собой набор фигурок животных и шнурок для нанизывания. Материал — дерево.</t>
  </si>
  <si>
    <t>Шнуровка для малышей</t>
  </si>
  <si>
    <t>д927</t>
  </si>
  <si>
    <t>Развивающая шнуровка предназначена для формирования мелкой моторики, усидчивости и навыков сортировки. В комплект входит шнуровка и около 40 крупных пуговиц. Материалы — пластик и текстиль. Детали безопасного размера, подходят для использования под контролем взрослого.</t>
  </si>
  <si>
    <t>Шнуровка «Развивающие пуговки»</t>
  </si>
  <si>
    <t>д926</t>
  </si>
  <si>
    <t>Набор праздничных шляп предназначен для использования в театрализованных играх, утренниках, праздниках и фотосессиях в дошкольном учреждении. В комплект входит 10 штук. Цвета и узоры — в случайном ассортименте. Изготовлены из лёгкого безопасного материала.</t>
  </si>
  <si>
    <t>Шляпки</t>
  </si>
  <si>
    <t>д925</t>
  </si>
  <si>
    <t>Детская театральная ширма предназначена для проведения кукольных и теневых представлений. Изготовлена из экологичного дерева. Габариты — около 50×2×40 см. Безопасна для использования детьми.</t>
  </si>
  <si>
    <t>Ширма для театра</t>
  </si>
  <si>
    <t>д924</t>
  </si>
  <si>
    <t>Деревянная ширма используется для организации театрализованных игр и постановок с куклами. Конструкция формирует игровую сцену и отделяет пространство «сцены» от зрительной зоны. В процессе спектаклей выполняется разыгрывание ролей и диалогов, что способствует развитию воображения и связной речи. Высота ширмы составляет не менее 50 см, ширина — не менее 80 см. Размер окна — не менее 20×30 см. Материал — фанера толщиной не менее 6 мм.</t>
  </si>
  <si>
    <t>Ширма деревянная для кукольного театра</t>
  </si>
  <si>
    <t>д923</t>
  </si>
  <si>
    <t>Комнатное декоративно-лиственное растение с крупными выразительными листьями. Используется для озеленения помещений и ознакомления детей с формами листьев. Подходит для детских учреждений.</t>
  </si>
  <si>
    <t>Шеффлера</t>
  </si>
  <si>
    <t>д922</t>
  </si>
  <si>
    <t>Развивающая мозаика предназначена для детей дошкольного возраста. Набор включает 170 элементов шестигранной формы. Используется для развития мелкой моторики, логического мышления, цветовосприятия и воображения.</t>
  </si>
  <si>
    <t>Шестигранная детская мозаика</t>
  </si>
  <si>
    <t>д921</t>
  </si>
  <si>
    <t>Прозрачные шарики предназначены для наполнения сухого бассейна. Диаметр одного шарика — около 7 см. Количество — 1500 шт. Используются для сенсорной и игровой активности детей.</t>
  </si>
  <si>
    <t>Шарики для бассейна прозрачные</t>
  </si>
  <si>
    <t>д920</t>
  </si>
  <si>
    <t>Декоративные модели фруктов и овощей используются для оформления интерьера и тематических зон. Применяются как наглядные и декоративные элементы. Изделия выполнены из пластика и не требуют ухода. Подходят для размещения в помещениях.</t>
  </si>
  <si>
    <t>Декоративные фрукты и овощи</t>
  </si>
  <si>
    <t>д92</t>
  </si>
  <si>
    <t>Пластиковые шарики предназначены для использования в сухом бассейне, сенсорных и подвижных играх. Количество в наборе — 100 шт. Цвета разноцветные. Материал — лёгкий пластик.</t>
  </si>
  <si>
    <t>Шарики</t>
  </si>
  <si>
    <t>д919</t>
  </si>
  <si>
    <t>Карнавальные шапочки предназначены для театрализованных игр, утренников и праздничных мероприятий в дошкольном учреждении. Изготовлены из мягкого текстильного материала, комфортны и безопасны для детей.</t>
  </si>
  <si>
    <t>Шапочка (Медвежонок, Волчонок, Тигр, Серый заяц, Бельчонок/Белочка)</t>
  </si>
  <si>
    <t>д918</t>
  </si>
  <si>
    <t>без автора</t>
  </si>
  <si>
    <t>Чудесное путешествие. Хрестоматия для 2-4 классов</t>
  </si>
  <si>
    <t>д917</t>
  </si>
  <si>
    <t>Чокан. Путеводная звезда востока</t>
  </si>
  <si>
    <t>д916</t>
  </si>
  <si>
    <t>Часы настенные, предназначены для контроля времени в рабочем кабинете. Обеспечивают четкую и видимую индикацию времени, устойчивы к воздействию окружающей среды, для офисного использования.</t>
  </si>
  <si>
    <t>Часы настенные</t>
  </si>
  <si>
    <t>д915</t>
  </si>
  <si>
    <t>Чайник электрический</t>
  </si>
  <si>
    <t>Чайник</t>
  </si>
  <si>
    <t>д914</t>
  </si>
  <si>
    <t>Набор декоративных и декоративно-лиственных растений, безопасных для детей. Используются для озеленения помещений, экологического воспитания и ознакомления с формами листьев и разнообразием растений.</t>
  </si>
  <si>
    <t>Цветы (комнатные растения)</t>
  </si>
  <si>
    <t>д913</t>
  </si>
  <si>
    <t>Демонстрационный материал для развития речи, воображения и художественного восприятия детей дошкольного возраста. Используется педагогами в образовательной деятельности.</t>
  </si>
  <si>
    <t>Художественная литература</t>
  </si>
  <si>
    <t>д912</t>
  </si>
  <si>
    <t>М.Лейси (перевод Сужикова А., Пернебекова Н.)</t>
  </si>
  <si>
    <t>Христофор Колумб. Christopher Columbus (каз., рус., англ.яз.)</t>
  </si>
  <si>
    <t>д911</t>
  </si>
  <si>
    <t>Горшечные растения с ароматными травами используются для декоративного оформления помещений и создания благоприятной визуальной среды. Применяются как элемент озеленения интерьера. Размещаются в контейнерах и не требуют сложного ухода. Предназначены для использования в помещениях.</t>
  </si>
  <si>
    <t>Декоративные ароматные травы в горшках</t>
  </si>
  <si>
    <t>д91</t>
  </si>
  <si>
    <t>Комнатное растение, очищающее воздух. Используется для озеленения помещений дошкольного учреждения и формирования у детей экологических представлений.</t>
  </si>
  <si>
    <t>Хлорофитум</t>
  </si>
  <si>
    <t>д909</t>
  </si>
  <si>
    <t>под ред. М. Рамасвами (перевод Қарт Ұ.М.)</t>
  </si>
  <si>
    <t>Химия. Просто и легко</t>
  </si>
  <si>
    <t>д908</t>
  </si>
  <si>
    <t>Химия. Оңай әрі жеңіл</t>
  </si>
  <si>
    <t>д907</t>
  </si>
  <si>
    <t>Бертолет К.</t>
  </si>
  <si>
    <t>Ханшайымның 10 оқиғасы</t>
  </si>
  <si>
    <t>д906</t>
  </si>
  <si>
    <t>Набор формочек предназначен для лепки и моделирования. Используется для работы с пластилином, тестом и другими материалами. Развивает мелкую моторику и воображение.</t>
  </si>
  <si>
    <t>Формочки</t>
  </si>
  <si>
    <t>д905</t>
  </si>
  <si>
    <t>Фонарь ручной, предназначен для временного локального освещения при выполнении хозяйственных, технических и аварийных работ. Удобен в эксплуатации, компактный, безопасный в использовании.</t>
  </si>
  <si>
    <t>Фонарь</t>
  </si>
  <si>
    <t>д904</t>
  </si>
  <si>
    <t>Набор фломастеров предназначен для рисования, оформления работ и творческих занятий. Используется в изобразительной деятельности детей дошкольного возраста.</t>
  </si>
  <si>
    <t>Фломастеры</t>
  </si>
  <si>
    <t>д903</t>
  </si>
  <si>
    <t>Большой тканевый фланелеграф с карманами для хранения элементов. Используется для творческих, обучающих и игровых занятий с детьми.</t>
  </si>
  <si>
    <t>Фланелеграф тканевый</t>
  </si>
  <si>
    <t>д901</t>
  </si>
  <si>
    <t>Фланелеграф из фетра используется для разыгрывания сказочных сюжетов с применением съёмных фигур персонажей. Работа с элементами позволяет выстраивать последовательность событий и воспроизводить содержание знакомых сказок. Такая деятельность направлена на развитие связной речи, навыков пересказа и воображения. Печатные изображения выполнены на фетре толщиной не менее 2 мм. Размер листов составляет не менее 20×30 см. Съёмные элементы могут крепиться на фетровую поверхность с использованием кнопок или липучек.</t>
  </si>
  <si>
    <t>Фланелеграф из фетра с комплектом съёмных персонажей по мотивам сказок</t>
  </si>
  <si>
    <t>д900</t>
  </si>
  <si>
    <t>Декоративное растение используется для оформления интерьера и создания эстетичной среды. Применяется как элемент озеленения помещений. Размещается в горшке и не требует активного ухода. Предназначено для использования в помещениях.</t>
  </si>
  <si>
    <t>Декоративное растение алоказия</t>
  </si>
  <si>
    <t>д90</t>
  </si>
  <si>
    <t xml:space="preserve">Игра предназначена для развития
логического мышления
посредством объединения дорог
по знакам. </t>
  </si>
  <si>
    <t>«Жол бағдар» (Интеллектум)</t>
  </si>
  <si>
    <t>д9</t>
  </si>
  <si>
    <t>Дидактическое пособие для крепления фигурок и карточек из фетра. Используется в образовательной деятельности для визуализации учебного материала.</t>
  </si>
  <si>
    <t>Фланелеграф</t>
  </si>
  <si>
    <t>д899</t>
  </si>
  <si>
    <t>Тематический фланеграф с набором фигурок домашних животных. Используется для занятий по ознакомлению с окружающим миром, развитию речи и сюжетно-ролевых игр.</t>
  </si>
  <si>
    <t>Фланеграф «Домашние животные»</t>
  </si>
  <si>
    <t>д898</t>
  </si>
  <si>
    <t>Настенный фланелеграф с набором фетровых фигурок предназначен для наглядно-дидактической работы с детьми. Используется для развития речи, мышления и представлений об окружающем мире.</t>
  </si>
  <si>
    <t>Фланеграф</t>
  </si>
  <si>
    <t>д897</t>
  </si>
  <si>
    <t>Разноцветный флажок предназначен для подвижных и музыкально-ритмических игр, праздников и занятий физической культурой. Материалы — ткань и дерево. Лёгкий и безопасный в использовании.</t>
  </si>
  <si>
    <t>Флажок разноцветный</t>
  </si>
  <si>
    <t>д896</t>
  </si>
  <si>
    <t>Набор цветных флажков и лент предназначен для занятий ритмикой, танцами и музыкально-двигательной деятельностью. Используется для развития чувства ритма, координации и выразительности движений.</t>
  </si>
  <si>
    <t>Флажки, ленты для ритмики</t>
  </si>
  <si>
    <t>д895</t>
  </si>
  <si>
    <t>Фитбол массажный с ручкой, диаметр не менее 55 см, максимальная нагрузка не менее 60 кг, вес не менее 420 г, материал PVC, цвет микс, индивидуальная упаковка — пакет. Предназначен для развивающих и физических занятий в детском саду, способствует развитию координации движений, равновесия, силы и общей физической активности детей от 3 лет.</t>
  </si>
  <si>
    <t>Фитбол</t>
  </si>
  <si>
    <t>д893</t>
  </si>
  <si>
    <t>Комнатное декоративно-лиственное растение с крупными листьями. Используется для озеленения помещений и ознакомления детей с формой листьев. Неприхотлив в уходе, подходит для детских учреждений.</t>
  </si>
  <si>
    <t>Фикус</t>
  </si>
  <si>
    <t>д892</t>
  </si>
  <si>
    <t>Методическое руководство для организации занятий по физической культуре с детьми дошкольного возраста. Используется педагогами для планирования и проведения образовательной деятельности.</t>
  </si>
  <si>
    <t>Физическая культура</t>
  </si>
  <si>
    <t>д891</t>
  </si>
  <si>
    <t>под ред. Б. Морган (перевод Кедрук Е.Ю.)</t>
  </si>
  <si>
    <t>Физика. Просто и легко</t>
  </si>
  <si>
    <t>д890</t>
  </si>
  <si>
    <t>Растение используется для оформления интерьера и создания озеленённой среды. Размещается в помещении в напольном или настольном горшке. Не требует сложного ухода и используется как элемент декоративного оформления.</t>
  </si>
  <si>
    <t>Декоративное растение «Драцена»</t>
  </si>
  <si>
    <t>д89</t>
  </si>
  <si>
    <t>под ред. Б. Морган (перевод Мусатай С.)</t>
  </si>
  <si>
    <t>Физика. Оңай әрі жеңіл</t>
  </si>
  <si>
    <t>д889</t>
  </si>
  <si>
    <t>Набор фигур предназначен для творческой деятельности детей. Используется для рисования, оформления персонажей и развития воображения, мелкой моторики и эмоционального самовыражения. Применяется в индивидуальной и групповой работе.</t>
  </si>
  <si>
    <t>Фигуры-персонажи для самостоятельного рисования</t>
  </si>
  <si>
    <t>д888</t>
  </si>
  <si>
    <t>Набор фигур предназначен для работы с эмоциональной сферой, социальными и семейными ролями детей. Используется в проективных, сюжетно-ролевых и коррекционных играх. Комплект включает фигурки членов семьи. Материалы безопасные, края закруглённые.</t>
  </si>
  <si>
    <t>Фигуры семейных персонажей</t>
  </si>
  <si>
    <t>д887</t>
  </si>
  <si>
    <t>Мягкий сенсорный тоннель предназначен для занятий в сенсорной комнате. Оснащён фиброоптическими волокнами и LED-подсветкой, создающими эффект «звёздного неба». Используется для сенсорной стимуляции, релаксации и эмоциональной разгрузки детей. Размер 1200×900×800 мм. Материалы: винилискожа, пенополиуретан, карпет.</t>
  </si>
  <si>
    <t>Фиброоптический тоннель</t>
  </si>
  <si>
    <t>д886</t>
  </si>
  <si>
    <t>Комплект защитных фартуков для организации дежурств детей. Используется для формирования навыков самообслуживания, ответственности и трудовой деятельности.</t>
  </si>
  <si>
    <t>Фартуки для дежурных</t>
  </si>
  <si>
    <t>д885</t>
  </si>
  <si>
    <t>Фартук предназначен для защиты одежды ребёнка во время занятий рисованием, лепкой, экспериментирования и труда. Изготовлен из водостойкого материала. Фиксируется на талии и шее с помощью регулируемых ремней. В комплект входят нарукавники из плащевой ткани с резинками. Размер фартука — 51×44 см, нарукавников — 11×25 см.</t>
  </si>
  <si>
    <t>Фартук детский из водостойкого материала (с нарукавниками)</t>
  </si>
  <si>
    <t>д884</t>
  </si>
  <si>
    <t>Защитный фартук предназначен для занятий творчеством, изобразительной деятельностью, трудовыми и игровыми видами деятельности. Водонепроницаемый материал защищает одежду ребёнка от загрязнений.</t>
  </si>
  <si>
    <t>Фартук</t>
  </si>
  <si>
    <t>д883</t>
  </si>
  <si>
    <t>Мамраимов А.</t>
  </si>
  <si>
    <t>Ұлы Жібек жолы. Великий Шелковый путь. The Great Silk Road (каз., рус., англ.яз.)</t>
  </si>
  <si>
    <t>д882</t>
  </si>
  <si>
    <t>Д.Бингхэм (перевод Сужикова А., Пернебекова Н.)</t>
  </si>
  <si>
    <t>Ұлы Ескендір. Александр Великий. Alexander the Great (каз., рус., англ.яз.)</t>
  </si>
  <si>
    <t>д881</t>
  </si>
  <si>
    <t>Обучающая раскраска на казахском языке, предназначенная для ознакомления детей с домашними животными. Используется для развития речи, словарного запаса, мелкой моторики и познавательного интереса. Подходит для индивидуальной и групповой работы с детьми дошкольного возраста.</t>
  </si>
  <si>
    <t>Үй жануарларын білесің бе? Ақылды боямақ</t>
  </si>
  <si>
    <t>д880</t>
  </si>
  <si>
    <t>Доска используется для рисования, письма и демонстрации детских работ. Оснащена магнитно-маркерной поверхностью, зоной для выставки и местом хранения материалов. Конструкция передвижная, на колёсных опорах со стопорами. Может использоваться как перегородка или элемент игрового пространства. Габариты стенда — не менее 1000×480×1420 мм.</t>
  </si>
  <si>
    <t>Двусторонняя доска для творчества с зоной выставки</t>
  </si>
  <si>
    <t>д88</t>
  </si>
  <si>
    <t>Учимся вместе с героями - витаминами. Мистер Яблоко.</t>
  </si>
  <si>
    <t>д879</t>
  </si>
  <si>
    <t>Учимся вместе с героями - витаминами. Мистер Картофель.</t>
  </si>
  <si>
    <t>д878</t>
  </si>
  <si>
    <t>Учимся вместе с героями - витаминами. Мисс Морковка.</t>
  </si>
  <si>
    <t>д877</t>
  </si>
  <si>
    <t>Учимся вместе с героями - витаминами. Малышка Клубника.</t>
  </si>
  <si>
    <t>д876</t>
  </si>
  <si>
    <t>Учебный микроскоп предназначен для проведения наблюдений и простых опытов в зоне экспериментов и занятий по познавательному развитию. Оптическая система обеспечивает увеличение не менее 100×, с возможностью переключения режимов увеличения для рассмотрения различных объектов. Конструкция включает предметный столик с фиксацией образца и механизм плавной фокусировки, позволяющий точно настраивать изображение. В комплекте предусмотрены принадлежности для опытов и подготовки образцов (не менее 1 набора аксессуаров для наблюдений). Корпус выполнен из прочного материала, устойчивого к частому перемещению и очистке, без острых кромок. Используется под контролем педагога для формирования интереса к исследованию, развитию наблюдательности и умения сравнивать признаки объектов.</t>
  </si>
  <si>
    <t>Учебный микроскоп для демонстрационных и исследовательских опытов</t>
  </si>
  <si>
    <t>д875</t>
  </si>
  <si>
    <t>Утяжелители для рук и ног, вес одного не менее 0,5 кг, комплект из 2 штук, форма браслетов на липучках, материал нейлон и полиэстер. Предназначены для использования в развивающих и спортивных занятиях в детском саду, увеличивают нагрузку при упражнениях, способствуют развитию силы, выносливости, координации движений и общей физической активности детей.</t>
  </si>
  <si>
    <t>Утяжелители для рук и ног</t>
  </si>
  <si>
    <t>д874</t>
  </si>
  <si>
    <t>Дидактический набор карточек предназначен для развития связной речи, логического мышления, эмоционального интеллекта и воображения. Используется в индивидуальной и групповой работе с детьми дошкольного и младшего школьного возраста.</t>
  </si>
  <si>
    <t>Умные игры с картами. Рассказы по картинкам</t>
  </si>
  <si>
    <t>д873</t>
  </si>
  <si>
    <t>Игровая зона «кухня» предназначена для сюжетно-ролевых игр детей. Используется для развития бытовых навыков, речи, воображения и социальных умений. Конструкция стационарная, материалы безопасные, поверхности легко очищаются.</t>
  </si>
  <si>
    <t>Уголок-кухня</t>
  </si>
  <si>
    <t>д872</t>
  </si>
  <si>
    <t>Комплекс для релаксации и психологического комфорта детей. Включает бескаркасное кресло, подвесной шатёр, плед и мягкие подушки. Используется для отдыха, релаксации и коррекционной работы. Материалы мягкие, безопасные, износостойкие.</t>
  </si>
  <si>
    <t>Уголок уюта</t>
  </si>
  <si>
    <t>д871</t>
  </si>
  <si>
    <t>Развивающая зона, предназначенная для эмоциональной разгрузки и уединения ребёнка. Конструкция разборная, с системой защиты от самопроизвольного складывания. В комплект входят палатка, опоры и матрасик. Материалы — текстиль и дерево. Используется детьми с раннего возраста.</t>
  </si>
  <si>
    <t>Уголок уединения</t>
  </si>
  <si>
    <t>д870</t>
  </si>
  <si>
    <t>Дәрумен кейіпкерлермен бірге оқып - ұйренеміз. Картоп мырза.</t>
  </si>
  <si>
    <t>д87</t>
  </si>
  <si>
    <t>Ш.Күмісбаев</t>
  </si>
  <si>
    <t>Тұнғыштар</t>
  </si>
  <si>
    <t>д869</t>
  </si>
  <si>
    <t>Набор разноцветных элементов предназначен для развивающих игр и занятий. Используется для формирования цветового восприятия, логического мышления, навыков сортировки и конструирования у детей дошкольного возраста.</t>
  </si>
  <si>
    <t>Түрлі түсті бөлшектер</t>
  </si>
  <si>
    <t>д868</t>
  </si>
  <si>
    <t>Стол-тумба купе СРО-К-8/6СНК (800*600*850-870 мм)</t>
  </si>
  <si>
    <t>Тумба для кухонного гарнитура с полкой</t>
  </si>
  <si>
    <t>д867</t>
  </si>
  <si>
    <t>Тумба предназначена для хранения материалов и инструментов для творчества. Оснащена ячейками и колёсными опорами со стопором. Высота изделия позволяет использовать его без помощи взрослых.</t>
  </si>
  <si>
    <t>Тумба для ИЗО-деятельности</t>
  </si>
  <si>
    <t>д866</t>
  </si>
  <si>
    <t>Набор предназначен для формирования у детей навыков самообслуживания и гигиены в игровой форме. В комплект входят элементы, имитирующие санитарно-гигиеническое оборудование и принадлежности. Используется в сюжетно-ролевых играх и образовательной деятельности. Материалы безопасные, легко очищаемые.</t>
  </si>
  <si>
    <t>Туалетный набор</t>
  </si>
  <si>
    <t>д865</t>
  </si>
  <si>
    <t>Три задачи. Сказка</t>
  </si>
  <si>
    <t>д864</t>
  </si>
  <si>
    <t>Игрушечный трактор предназначен для сюжетно-ролевых игр детей дошкольного возраста. Используется для развития воображения, координации движений и социальных навыков. Материал — пластик, конструкция прочная.</t>
  </si>
  <si>
    <t>Трактор</t>
  </si>
  <si>
    <t>д863</t>
  </si>
  <si>
    <t>Комнатное растение с декоративными листьями, используется для озеленения помещений дошкольного учреждения. Способствует формированию эстетического восприятия и ознакомлению с живой природой.</t>
  </si>
  <si>
    <t>Традесканция</t>
  </si>
  <si>
    <t>д862</t>
  </si>
  <si>
    <t>Елубаев Е.</t>
  </si>
  <si>
    <t>Төрт түлік сөздігі</t>
  </si>
  <si>
    <t>д861</t>
  </si>
  <si>
    <t>Прибор для измерения артериального давления, используется при медицинских осмотрах детей и персонала.</t>
  </si>
  <si>
    <t>Тонометр</t>
  </si>
  <si>
    <t>д860</t>
  </si>
  <si>
    <t>Набор губок используется при работе с глиной и пластичными материалами. Применяется для увлажнения поверхности, сглаживания формы и удаления мелких неровностей на разных этапах лепки. Использование отдельных губок для каждого этапа позволяет сохранять чистоту изделий. В комплект входит не менее 12 губок.</t>
  </si>
  <si>
    <t>Губки для сглаживания (набор)</t>
  </si>
  <si>
    <t>д86</t>
  </si>
  <si>
    <t>Мягкие тканевые тоннели предназначены для подвижных игр, физкультурных занятий и ЛФК. Используются для развития координации, ловкости, равновесия и общей моторики. Изготовлены из прочной влагостойкой ткани с мягким наполнителем, безопасны для детей.</t>
  </si>
  <si>
    <t>Тоннели тканевые</t>
  </si>
  <si>
    <t>д859</t>
  </si>
  <si>
    <t>Цветной фетр предназначен для изготовления аппликаций, поделок и развивающих пособий. Легко режется, клеится, безопасен для детского творчества. Используется в образовательной деятельности ДОУ.</t>
  </si>
  <si>
    <t>Ткани фетр</t>
  </si>
  <si>
    <t>д858</t>
  </si>
  <si>
    <t>Ткань предназначена для творческой деятельности: аппликаций, пошива игрушек, квилтинга, пэчворка, скрапбукинга. Размер полотна — 50×50 см, ширина — 50 см. Используется в образовательной и художественно-творческой работе.</t>
  </si>
  <si>
    <t>Ткани</t>
  </si>
  <si>
    <t>д857</t>
  </si>
  <si>
    <t>Развивающая фетровая книга предназначена для сенсорного, познавательного и речевого развития детей дошкольного возраста. Используется в индивидуальных и подгрупповых занятиях. Способствует развитию мелкой моторики, внимания, самостоятельности. Материалы мягкие, безопасные, износостойкие.</t>
  </si>
  <si>
    <t>Тихая книга</t>
  </si>
  <si>
    <t>д856</t>
  </si>
  <si>
    <t>Нержавеющая сталь AISI 430; Мойка 40x40x25 см; Параметры: 500x580x800 мм</t>
  </si>
  <si>
    <t>Техническая раковина ce-me50x58</t>
  </si>
  <si>
    <t>д855</t>
  </si>
  <si>
    <t>Прибор для измерения температуры тела. Используется в медицинском кабинете ДОУ.</t>
  </si>
  <si>
    <t>Термометр</t>
  </si>
  <si>
    <t>д854</t>
  </si>
  <si>
    <t>Контейнер для временного хранения и транспортировки медикаментов с поддержанием температурного режима.</t>
  </si>
  <si>
    <t>Термоконтейнер</t>
  </si>
  <si>
    <t>д853</t>
  </si>
  <si>
    <t>Телескопический складной стаканчик предназначен для использования в быту и образовательной деятельности. Компактный, удобен для хранения и переноски. Материал — пластик. Объём — 100 мл. Может использоваться для воды, занятий творчеством и хозяйственных нужд.</t>
  </si>
  <si>
    <t>Телескопический стаканчик с крышкой</t>
  </si>
  <si>
    <t>д852</t>
  </si>
  <si>
    <t>Развивающая игра для детей дошкольного возраста. Набор включает цветные фигурки жирафов с телескопическим механизмом. Используется для развития мелкой моторики, координации движений, цветового восприятия и логического мышления. Материал — безопасный пластик.</t>
  </si>
  <si>
    <t>Телескопический жираф</t>
  </si>
  <si>
    <t>д851</t>
  </si>
  <si>
    <t>Нержавеющая сталь AISI 430; С 2 полками  и 4 колесами; Параметры: 550x860x900 mm</t>
  </si>
  <si>
    <t>Тележка сервисная 2-ур. ce-asi55x86x2</t>
  </si>
  <si>
    <t>д850</t>
  </si>
  <si>
    <t>Гуашь используется для выполнения живописных и декоративных работ. Применяется при рисовании кистью и создании цветовых композиций. Позволяет получать плотное матовое покрытие и смешивать цвета. Подходит для занятий по изобразительной деятельности и творческих работ.</t>
  </si>
  <si>
    <t>Гуашь художественная (набор)</t>
  </si>
  <si>
    <t>д85</t>
  </si>
  <si>
    <t>Тележка предназначена для хранения и перемещения мелкого хозяйственного, игрового или спортивного инвентаря в помещениях ДОУ. Обеспечивает удобную организацию пространства и мобильность. Конструкция устойчивая, материалы износостойкие и безопасные.</t>
  </si>
  <si>
    <t>Тележка для мелкого инвентаря</t>
  </si>
  <si>
    <t>д849</t>
  </si>
  <si>
    <t>Нержавеющая сталь AISI 430; Вместимость тележки: 16; Размеры подноса: GN 1/1; Параметры: 383x530x1650 mm</t>
  </si>
  <si>
    <t>Тележка для гастроемкостей 1-1 ce-agn1-1x16</t>
  </si>
  <si>
    <t>д848</t>
  </si>
  <si>
    <t>Внешние размеры: 640x1040x790h мм; Внутренние размеры: 590x930x515h мм; Грузоподъемность: 250 кг</t>
  </si>
  <si>
    <t>Тележка для белья tekne 2700k</t>
  </si>
  <si>
    <t>д847</t>
  </si>
  <si>
    <t>Тележка предназначена для сбора, хранения и транспортировки чистого и использованного белья в помещениях дошкольной организации. Конструкция устойчивая, мобильная, оснащена колёсами для удобного перемещения. Материалы прочные, моющиеся, безопасные для эксплуатации в детских учреждениях.</t>
  </si>
  <si>
    <t>Тележка для белья</t>
  </si>
  <si>
    <t>д846</t>
  </si>
  <si>
    <t>Интеллектум</t>
  </si>
  <si>
    <t xml:space="preserve">тез тап </t>
  </si>
  <si>
    <t>д845</t>
  </si>
  <si>
    <t>Театр теней предназначен для организации театрализованной и образовательной деятельности детей дошкольного возраста. Используется для инсценировки русской народной сказки «Колобок», развития речи, воображения, эмоциональной выразительности и коммуникативных навыков. В комплект входят экран для теневого театра и набор фигур персонажей сказки. Материалы безопасные, прочные, адаптированы для использования в детских учреждениях.</t>
  </si>
  <si>
    <t>Театр теней «Колобок»</t>
  </si>
  <si>
    <t>д844</t>
  </si>
  <si>
    <t xml:space="preserve">Таяқшалар </t>
  </si>
  <si>
    <t>д843</t>
  </si>
  <si>
    <t xml:space="preserve">Интеллектум. </t>
  </si>
  <si>
    <t>Таяқшалар</t>
  </si>
  <si>
    <t>д842</t>
  </si>
  <si>
    <t>Б.Тогысбаев, А.Сужикова</t>
  </si>
  <si>
    <t>Тарихи тулғалар</t>
  </si>
  <si>
    <t>д841</t>
  </si>
  <si>
    <t>Набор тактильных мешочков предназначен для развития мелкой моторики, тактильного восприятия и координации движений. Размер мешочков — 9×9 см, количество — 3 шт., общий вес — 60 г. Дополнительно в комплекте кинезио-мячи диаметром 6 см — 2 шт. Материалы безопасные и прочные.</t>
  </si>
  <si>
    <t>Тактильные мешочки разноцветные</t>
  </si>
  <si>
    <t>д840</t>
  </si>
  <si>
    <t>Грузовые машинки с веревкой, длина не менее 18 см, высота не менее 11 см, в комплекте разноцветные игрушки (красный, голубой, желтый). Предназначены для сюжетно-ролевых и развивающих игр в детском саду, способствуют формированию мелкой моторики, воображения, координации движений и навыков взаимодействия между детьми.</t>
  </si>
  <si>
    <t>Грузовые машинки с веревкой</t>
  </si>
  <si>
    <t>д84</t>
  </si>
  <si>
    <t>Тактильные карточки используются для развития сенсорного восприятия, речи и мелкой моторики у детей дошкольного возраста.</t>
  </si>
  <si>
    <t>Тактильные карточки</t>
  </si>
  <si>
    <t>д839</t>
  </si>
  <si>
    <t>Сенсорные дорожки с различными поверхностями предназначены для развития тактильного восприятия, координации движений и баланса. Материал покрытия — текстиль.</t>
  </si>
  <si>
    <t>Тактильные дорожки</t>
  </si>
  <si>
    <t>д838</t>
  </si>
  <si>
    <t>Игравой набор сенсорной- тактильных мячиков 6 штук. Материал резина</t>
  </si>
  <si>
    <t>Тактильные "Мячики-пищалки"</t>
  </si>
  <si>
    <t>д837</t>
  </si>
  <si>
    <t>Настенная тактильно-сенсорная панель из дерева, предназначена для детей от 3 лет. Состоит из 4 модулей: акриловые зеркала, лабиринты для движения по прорези, магнитный лабиринт, тактильные элементы, цепочки, кисточки, колесики, шершавые поверхности.</t>
  </si>
  <si>
    <t>Тактильно-развивающая панель «Гусеница»</t>
  </si>
  <si>
    <t>д836</t>
  </si>
  <si>
    <t>Таза мінсіз асыл сөз (XV-XVII ғасырлардағы жыраулардың)</t>
  </si>
  <si>
    <t>д835</t>
  </si>
  <si>
    <t>Пособие с сюжетными картинками для детей 2–3 лет. Используется для формирования навыков рассматривания, беседы и рассказывания по картинкам, развития речи, внимания и познавательных представлений.</t>
  </si>
  <si>
    <t>Сюжетные картинки для детей раннего возраста</t>
  </si>
  <si>
    <t>д834</t>
  </si>
  <si>
    <t>Набор сюжетных картинок по теме «Окружающий мир». Материал — бумага, картон. Используется в образовательной деятельности ДОУ.</t>
  </si>
  <si>
    <t>Сюжетные картинки / комплекты</t>
  </si>
  <si>
    <t>д833</t>
  </si>
  <si>
    <t>Набор сюжетных картинок используется для развития речи, мышления и воображения детей. Применяется в индивидуальной и групповой работе.</t>
  </si>
  <si>
    <t>Сюжетные картинки</t>
  </si>
  <si>
    <t>д832</t>
  </si>
  <si>
    <t>Счёты используются для выполнения упражнений на счёт и наглядное представление количества. В процессе работы выполняется перемещение косточек по направляющим и составление числовых комбинаций. Такая деятельность способствует освоению операций счёта и развитию внимания. Конструкция рассчитана на многократное использование.</t>
  </si>
  <si>
    <t>Счёты учебные для формирования навыков счёта</t>
  </si>
  <si>
    <t>д830</t>
  </si>
  <si>
    <t>Горшечные растения с ароматными травами используются для проведения экспериментов и изучения растений для детей ДОУ. Применяются для визуального и сенсорного восприятия запахов натуральных растений. Размещаются в помещениях в декоративных ёмкостях. Не требуют сложного ухода и подходят для эксплуатации в закрытых пространствах.</t>
  </si>
  <si>
    <t>Горшечные растения с ароматными травами (базилик, тимьян, розмарин, мята, орегано, шалфей)</t>
  </si>
  <si>
    <t>д83</t>
  </si>
  <si>
    <t>Счётный материал используется для выполнения упражнений на счёт и сравнение количества. В процессе работы выполняется группировка и пересчёт фигурок. Набор включает не менее 10 деревянных элементов. Применяется в учебно-игровой деятельности.</t>
  </si>
  <si>
    <t>Счётный материал «Матрёшки» (деревянный набор)</t>
  </si>
  <si>
    <t>д829</t>
  </si>
  <si>
    <t>Касса цифр и счётных материалов предназначена для обучения детей основам счёта. Материал — пластик, элементы безопасны для использования в ДОУ.</t>
  </si>
  <si>
    <t>Счётный материал</t>
  </si>
  <si>
    <t>д828</t>
  </si>
  <si>
    <t>Счётные палочки в количестве 50 шт. Используются для обучения счёту, развитию математических представлений и логического мышления. Материал — безопасный пластик.</t>
  </si>
  <si>
    <t>Счётные палочки</t>
  </si>
  <si>
    <t>д827</t>
  </si>
  <si>
    <t>Құрастарған Сужикова А.</t>
  </si>
  <si>
    <t>Сұр көжек. Ертегі.Боямақ</t>
  </si>
  <si>
    <t>д826</t>
  </si>
  <si>
    <t>Угловой сухой бассейн с подсветкой. Материал — поролон с покрытием из винилискожи. Радиус — 1,7 м. Оснащён гибкой мультиколорной подсветкой с пультом дистанционного управления и различными режимами свечения.</t>
  </si>
  <si>
    <t>Сухой интерактивный бассейн угловой</t>
  </si>
  <si>
    <t>д825</t>
  </si>
  <si>
    <t>Сухой бассейн предназначен для сенсорной стимуляции, развития моторики и эмоциональной разгрузки детей. Используется в групповых и индивидуальных занятиях.</t>
  </si>
  <si>
    <t>Сухой бассейн с шариками</t>
  </si>
  <si>
    <t>д824</t>
  </si>
  <si>
    <t>Многофункциональный логопедический комплект, предназначенный для коррекционно-развивающей работы с детьми. Включает программное обеспечение на USB-носителе, мобильный короб с двумя ящиками плавного хода, безопасное акриловое зеркало, встроенный отсек для песочной терапии, настольную пошаговую игру, беспроводную музыкальную систему, логопедические зонды из медицинской стали, методические пособия, набор для логомассажа, логопедические карточки, мотивационные элементы.</t>
  </si>
  <si>
    <t>Сундучок логопеда</t>
  </si>
  <si>
    <t>д822</t>
  </si>
  <si>
    <t>Декоративный сундук для хранения книг, настольных игр и текстильных элементов. Используется также как интерьерный элемент. Материал — дерево или ЛДСП.</t>
  </si>
  <si>
    <t>Сундук (сандық)</t>
  </si>
  <si>
    <t>д821</t>
  </si>
  <si>
    <t>Набор детских сумочек (3 или 6 шт.) для творческих и сюжетно-ролевых игр. Изготовлены из нетканого материала, украшены мультяшными изображениями животных и цветов. Используются для развития воображения и мелкой моторики.</t>
  </si>
  <si>
    <t>Сумочки</t>
  </si>
  <si>
    <t>д820</t>
  </si>
  <si>
    <t>Гончарный круг используется для выполнения лепных и формовочных работ с глиной. Представляет собой низкооборотное устройство, обеспечивающее плавное вращение. Применяется для создания простых изделий: сосудов, тарелок и форм. Работа с кругом способствует развитию координации движений и творческого мышления. Конструкция рассчитана на безопасное использование.</t>
  </si>
  <si>
    <t>Гончарный круг детский</t>
  </si>
  <si>
    <t>д82</t>
  </si>
  <si>
    <t>Детская сумка с ручками предназначена для использования в детском саду (переноска личных вещей, сменной одежды, пособий). Материал — ПВХ. Размер — 22×23 см.</t>
  </si>
  <si>
    <t>Сумка с ручками</t>
  </si>
  <si>
    <t>д819</t>
  </si>
  <si>
    <t>Детская сумка предназначена для сюжетно-ролевых игр и повседневного использования в детском саду. Материал — экокожа, ПВХ. Цвет — розовый, серебристый. Размер — 16×7×14 см.</t>
  </si>
  <si>
    <t>Сумка для девочек</t>
  </si>
  <si>
    <t>д818</t>
  </si>
  <si>
    <t>Строительный набор включает крупные элементы для сборки различных построек и конструкций. В процессе игры выполняется соединение и комбинирование деталей между собой. Такая деятельность направлена на развитие пространственного мышления и координации движений. В комплект входит не менее 49 элементов различной формы и цвета. Материал изготовления — пластик.</t>
  </si>
  <si>
    <t>Строительный набор из крупных кубиков, 49 элементов</t>
  </si>
  <si>
    <t>д817</t>
  </si>
  <si>
    <t>Два набора строительных блоков по 60 штук. Используются для конструирования, развития воображения, координации рук и глаз. Материал — безопасный пластик, формы разнообразные и цветные.</t>
  </si>
  <si>
    <t>Строительные блоки</t>
  </si>
  <si>
    <t>д816</t>
  </si>
  <si>
    <t>Игровой стол предназначен для занятий с конструктором. Используется для развития логики, мелкой моторики и пространственного мышления. В комплекте 502 пластиковых элемента. Подходит для индивидуальных и групповых игр.</t>
  </si>
  <si>
    <t>Стол игровой развивающий для конструктора</t>
  </si>
  <si>
    <t>д815</t>
  </si>
  <si>
    <t>Медицинский инструмент для прослушивания дыхания и сердечных тонов.</t>
  </si>
  <si>
    <t>Стетоскоп</t>
  </si>
  <si>
    <t>д814</t>
  </si>
  <si>
    <t>Детская степ-платформа размером 45×28 см. Используется для физических упражнений, развития координации, выносливости и двигательной активности.</t>
  </si>
  <si>
    <t>Степ-платформа детская</t>
  </si>
  <si>
    <t>д813</t>
  </si>
  <si>
    <t>Информационные стенды предназначены для размещения объявлений и наглядной информации для педагогов и родителей. Изготавливаются из лёгких и прочных материалов.</t>
  </si>
  <si>
    <t>Стенды для обьявления</t>
  </si>
  <si>
    <t>д812</t>
  </si>
  <si>
    <t>Стенды для объявлений</t>
  </si>
  <si>
    <t>д811</t>
  </si>
  <si>
    <t>Детский стеллаж с открытыми нишами и закрытыми полками. Конструкция без выступающих ручек, безопасная для детей. Оснащён высокими опорами для удобства уборки.</t>
  </si>
  <si>
    <t>Стеллаж «Чудо домик»</t>
  </si>
  <si>
    <t>д810</t>
  </si>
  <si>
    <t>Головоломка представляет собой набор элементов для сборки фигур животных. В процессе работы выполняется соединение деталей и подбор по форме. Такая деятельность способствует развитию пространственного мышления и внимания. Элементы выполнены из дерева.</t>
  </si>
  <si>
    <t>Головоломка с животными</t>
  </si>
  <si>
    <t>д81</t>
  </si>
  <si>
    <t>Детский набор стеков для лепки, 4 штуки. Предназначен для работы с пластилином, тестом и глиной. Развивает мелкую моторику, координацию движений и творческие способности. Материал — безопасный пластик.</t>
  </si>
  <si>
    <t>Стеки для лепки</t>
  </si>
  <si>
    <t>д809</t>
  </si>
  <si>
    <t>Комнатное растение с крупными листьями, используется для озеленения помещений и изучения формы листа. Способствует улучшению микроклимата и формированию экологических представлений у детей.</t>
  </si>
  <si>
    <t>Спатифиллум</t>
  </si>
  <si>
    <t>д808</t>
  </si>
  <si>
    <t>Набор предназначен для обучения сортировке и захвату предметов. Включает деревянные стаканчики, шары, ложку и пинцет.</t>
  </si>
  <si>
    <t>Сортировочный набор</t>
  </si>
  <si>
    <t>д807</t>
  </si>
  <si>
    <t>Деревянный сортер с платформой и геометрическими фигурками. Используется для развития логического мышления и моторики.</t>
  </si>
  <si>
    <t>Сортер фигур</t>
  </si>
  <si>
    <t>д806</t>
  </si>
  <si>
    <t>Сортер предназначен для обучения сортировке по цвету и форме. Развивает внимание и мелкую моторику.</t>
  </si>
  <si>
    <t>Сортер разноцветные фигурки</t>
  </si>
  <si>
    <t>д805</t>
  </si>
  <si>
    <t>Деревянный сортер предназначен для развития координации движений, внимания и навыков сортировки.</t>
  </si>
  <si>
    <t>Сортер для шариков</t>
  </si>
  <si>
    <t>д804</t>
  </si>
  <si>
    <t>Многофункциональный развивающий набор предназначен для обучения сортировке, распознаванию форм, цветов и выполнению заданий. Используется в образовательной и коррекционной работе.</t>
  </si>
  <si>
    <t>Сортер деревянный «Волшебный сундучок»</t>
  </si>
  <si>
    <t>д803</t>
  </si>
  <si>
    <t>Магнитный сортер предназначен для развития координации рук, внимания и точности движений.</t>
  </si>
  <si>
    <t>Сортер «Рыбалка»</t>
  </si>
  <si>
    <t>д802</t>
  </si>
  <si>
    <t>Развивающая игра в форме дерева с фигурками животных и птиц. Используется для развития логики, моторики и познавательных навыков.</t>
  </si>
  <si>
    <t>Сортер «Лесное дерево»</t>
  </si>
  <si>
    <t>д801</t>
  </si>
  <si>
    <t>Деревянный сортер предназначен для развития логического мышления, мелкой моторики и навыков сортировки по цвету и форме.</t>
  </si>
  <si>
    <t>Сортер «Гномики»</t>
  </si>
  <si>
    <t>д800</t>
  </si>
  <si>
    <t>Глобус используется для наглядного ознакомления с физической картой Земли. Отражает расположение материков, океанов и географических объектов. Диаметр глобуса составляет не менее 32 см. Корпус выполнен из пластика и предназначен для настольного размещения.</t>
  </si>
  <si>
    <t>Глобус физический</t>
  </si>
  <si>
    <t>д80</t>
  </si>
  <si>
    <t xml:space="preserve">Игра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соответВ КОРОБКЕ
 - разноцветные треугольники – 36 шт.
- оранжевые – 6 шт.
- зеленые – 6 шт.
- желтые – 6 шт.
- синие – 6 шт.
- розовые – 6 шт.
- красные – 6 шт.
- инструкция – 1 шт
ствии с инструкцией. </t>
  </si>
  <si>
    <t>«3Д ұшбұрыш» (Интеллектум)</t>
  </si>
  <si>
    <t>д8</t>
  </si>
  <si>
    <t>Специальная очищенная соль для оформления и заполнения соляной комнаты. Используется для создания декоративного и функционального солевого покрытия.</t>
  </si>
  <si>
    <t>Соль для монтажа. Высший сорт. (с
доставкой)</t>
  </si>
  <si>
    <t>д799</t>
  </si>
  <si>
    <t>Соль для монтажа (высший сорт)</t>
  </si>
  <si>
    <t>д798</t>
  </si>
  <si>
    <t>Набор из 100 соединяющихся кубиков разных цветов (фиолетовые, жёлтые, красные, голубые, салатовые, тёмно-зелёные, оранжевые, коричневые, чёрные, белые — по 10 шт.). Используется для обучения счёту, сортировке, моделированию и развитию мелкой моторики.</t>
  </si>
  <si>
    <t>Соединяющиеся кубики (100 элементов)</t>
  </si>
  <si>
    <t>д797</t>
  </si>
  <si>
    <t>Эластичная верёвка предназначена для групповых сенсомоторных и кооперативных игр. Развивает чувство баланса, координацию движений и навыки взаимодействия.</t>
  </si>
  <si>
    <t>Совместная эластичная верёвка</t>
  </si>
  <si>
    <t>д796</t>
  </si>
  <si>
    <t>Скоро в школу</t>
  </si>
  <si>
    <t>д795</t>
  </si>
  <si>
    <t>Скейтборд предназначен для активного отдыха и развития координации движений. Используется под контролем взрослых в специально отведённых зонах.</t>
  </si>
  <si>
    <t>Скейтборд (пенниборд)</t>
  </si>
  <si>
    <t>д794</t>
  </si>
  <si>
    <t>Скатерть предназначена для защиты поверхности стола и оформления пространства. Изготовлена из износостойкого материала, легко очищается.</t>
  </si>
  <si>
    <t>Скатерть на стол</t>
  </si>
  <si>
    <t>д793</t>
  </si>
  <si>
    <t>Скалка предназначена для лепки из пластилина, теста и глины. Изготовлена из безопасных материалов, используется в творческой и изобразительной деятельности.</t>
  </si>
  <si>
    <t>Скалка для творчества</t>
  </si>
  <si>
    <t>д791</t>
  </si>
  <si>
    <t>Скакалки предназначены для занятий физической культурой и подвижных игр. Подбираются по возрасту детей, способствуют развитию координации, выносливости и моторики.</t>
  </si>
  <si>
    <t>Скакалки (по возрасту)</t>
  </si>
  <si>
    <t>д790</t>
  </si>
  <si>
    <t>Глина используется для лепки и формообразования. Подходит для ручной работы и использования на гончарном круге. Материал самозатвердевающий, нетоксичный и готовый к применению. Применяется при выполнении творческих и художественных работ.</t>
  </si>
  <si>
    <t>Глина для лепки</t>
  </si>
  <si>
    <t>д79</t>
  </si>
  <si>
    <t>Болл Дж.</t>
  </si>
  <si>
    <t>Сиқырлы математика. Математика өмірдің барлық саласында</t>
  </si>
  <si>
    <t>д789</t>
  </si>
  <si>
    <t>Серия "Мектеп кiтапханасы" - "Школьная библиотека"</t>
  </si>
  <si>
    <t>д788</t>
  </si>
  <si>
    <t>Дидактический комплект предназначен для формирования представлений о временах года, природе, жизни животных и деятельности людей. Используется в образовательной работе, соответствует возрастным особенностям детей.</t>
  </si>
  <si>
    <t>Серии картинок «Времена года»</t>
  </si>
  <si>
    <t>д787</t>
  </si>
  <si>
    <t>Сенсорный стол с песком используется в психологической и коррекционной работе. Развивает тактильную чувствительность, мелкую моторику, внимание и способствует эмоциональной стабилизации.</t>
  </si>
  <si>
    <t>Сенсорный стол с песком</t>
  </si>
  <si>
    <t>д786</t>
  </si>
  <si>
    <t>Сенсорный лоток используется для организации настольных и тактильных игровых занятий. Применяется для размещения сыпучих, мелких и формообразующих материалов. В процессе работы выполняются действия по пересыпанию, сортировке и выкладыванию. Конструкция выполнена из дерева и рассчитана на совместную деятельность.</t>
  </si>
  <si>
    <t>Сенсорный лоток для настольных игр</t>
  </si>
  <si>
    <t>д784</t>
  </si>
  <si>
    <t>Сенсорные звуковые цилиндры предназначены для развития слухового восприятия, внимания и различения звуков. Используются в сенсорных и коррекционных занятиях.</t>
  </si>
  <si>
    <t>Сенсорные звуковые цилиндры</t>
  </si>
  <si>
    <t>д783</t>
  </si>
  <si>
    <t>Несгораемый сейф предназначен для хранения важных документов и ценностей. Обеспечивает защиту содержимого от огня и механических воздействий.</t>
  </si>
  <si>
    <t>Сейф несгораемый</t>
  </si>
  <si>
    <t>д780</t>
  </si>
  <si>
    <t>Гимнастическая скамейка используется при выполнении физических упражнений и двигательных заданий. Представляет собой устойчивую опорную конструкцию. Длина изделия —240 см, ширина — 24 см, высота — 30 см. Рассчитана на нагрузку до 100 кг.</t>
  </si>
  <si>
    <t>Гимнастическая скамейка</t>
  </si>
  <si>
    <t>д78</t>
  </si>
  <si>
    <t>Свисток предназначен для подачи звуковых сигналов во время подвижных игр, занятий по физическому развитию и организации дисциплины. Изготовлен из безопасных материалов, прост в использовании, устойчив к частому применению.</t>
  </si>
  <si>
    <t>Свисток</t>
  </si>
  <si>
    <t>д778</t>
  </si>
  <si>
    <t>Декоративная LED-подсветка с возможностью смены цветов и режимов свечения. Управляется дистанционным пультом. Используется для создания расслабляющей атмосферы.</t>
  </si>
  <si>
    <t>Светодиодная лента RGB с пультом</t>
  </si>
  <si>
    <t>д777</t>
  </si>
  <si>
    <t>Светодиодная лента для оформления с пультом RGB</t>
  </si>
  <si>
    <t>д776</t>
  </si>
  <si>
    <t>Светлые дни (о Б.Момышулы)</t>
  </si>
  <si>
    <t>д775</t>
  </si>
  <si>
    <t>Тажибаев А.</t>
  </si>
  <si>
    <t>Сборник стихов к 110-летию поэта. Тажибаев А. (Рухани жаңғыру)</t>
  </si>
  <si>
    <t>д774</t>
  </si>
  <si>
    <t>Игра «Сәулетші» включает в себя 200 шт палочки, инструкцию</t>
  </si>
  <si>
    <t xml:space="preserve">Сәулетші </t>
  </si>
  <si>
    <t>д773</t>
  </si>
  <si>
    <t>Хинаят Б.</t>
  </si>
  <si>
    <t>Саятшылық. Қазақтың дәстурлі аншылығы (каз., англ.)</t>
  </si>
  <si>
    <t>д772</t>
  </si>
  <si>
    <t>Саят. Казахская традиционная охота. (рус., англ.)</t>
  </si>
  <si>
    <t>д771</t>
  </si>
  <si>
    <t>под ред. П. Френсис, Р. Хьюстон (перевод Шарипова А.)</t>
  </si>
  <si>
    <t>Сан сауалдың жауабы. Энциклопедиясы</t>
  </si>
  <si>
    <t>д770</t>
  </si>
  <si>
    <t>Гидропонная установка используется для наглядного выращивания растений без использования грунта. Позволяет наблюдать процесс развития корневой системы и надземной части растений. Габаритные размеры установки составляют не менее 205×205×50 мм. Конструкция рассчитана на эксплуатацию в помещениях.</t>
  </si>
  <si>
    <t>Гидропонная установка учебно-демонстрационная</t>
  </si>
  <si>
    <t>д77</t>
  </si>
  <si>
    <t>Салфетки влажные и сухие предназначены для санитарно-гигиенических нужд, ухода за поверхностями и соблюдения чистоты в помещениях дошкольного учреждения.</t>
  </si>
  <si>
    <t>Салфетки</t>
  </si>
  <si>
    <t>д769</t>
  </si>
  <si>
    <t>Ручные куклы животных предназначены для сюжетно-ролевых игр, театрализованных занятий и развития речи. Используются в коррекционной, игровой и образовательной деятельности.</t>
  </si>
  <si>
    <t>Ручная кукла животных</t>
  </si>
  <si>
    <t>д768</t>
  </si>
  <si>
    <t>Нержавеющая сталь 430; Параметры: 500X400X310 mm</t>
  </si>
  <si>
    <t>Рукомойник с коленным управлением ce-dke50x40</t>
  </si>
  <si>
    <t>д767</t>
  </si>
  <si>
    <t>Ростомер используется для измерения роста. Изготовлен в виде наклеек, размещаемых на стене. Высота шкалы составляет около 135 см. Материал — плёнка.</t>
  </si>
  <si>
    <t>Ростомер настенный</t>
  </si>
  <si>
    <t>д766</t>
  </si>
  <si>
    <t>Используется для измерения роста детей. Устойчивый, простой в эксплуатации, соответствует требованиям ДОУ.</t>
  </si>
  <si>
    <t>Ростомер механический напольный РП «Эконом»</t>
  </si>
  <si>
    <t>д765</t>
  </si>
  <si>
    <t>Логопедический тренажёр предназначен для формирования и автоматизации звуков [Р], [Р’], [Л], [Л’], развития фонематического слуха и навыков анализа звуков в словах. Используется в индивидуальной и подгрупповой логопедической работе. Перекидные карточки соединены пружиной, что предотвращает их потерю. Цветовая маркировка твёрдых и мягких согласных облегчает восприятие материала.</t>
  </si>
  <si>
    <t>ренажёр логопедический, перекидной. Звукотренировка. Чистоговорки, игры</t>
  </si>
  <si>
    <t>д763</t>
  </si>
  <si>
    <t>Образовательный набор предназначен для детей 3–6 лет. Включает 126 элементов для создания букетов и садовых композиций. Используется для развития творческого мышления, мелкой моторики и познавательных навыков в формате STEM-обучения.</t>
  </si>
  <si>
    <t>Растения, набор</t>
  </si>
  <si>
    <t>д762</t>
  </si>
  <si>
    <t>Растения с крупными выразительными листьями предназначены для наглядного изучения формы, размера и структуры листа в образовательной деятельности. Используются в экологическом воспитании, сенсорном развитии и ознакомлении с окружающим миром. Подбираются нетоксичные, безопасные для детей виды, устойчивые к комнатным условиям.</t>
  </si>
  <si>
    <t>Растения с крупными листьями для изучения формы</t>
  </si>
  <si>
    <t>д761</t>
  </si>
  <si>
    <t>Неприхотливые в уходе, безопасные для детей растения, не имеющие острых элементов и токсичных свойств. Высота растений — 400–800 мм, диаметр горшка — 180–250 мм.</t>
  </si>
  <si>
    <t>Растения (цветы)</t>
  </si>
  <si>
    <t>д760</t>
  </si>
  <si>
    <t>Гигрометр 0-25 градусов</t>
  </si>
  <si>
    <t>Гигрометр</t>
  </si>
  <si>
    <t>д76</t>
  </si>
  <si>
    <t>Раскраска предназначена для развития мелкой моторики, воображения и знакомства детей с архитектурой и культурными объектами. Используется в изобразительной деятельности.</t>
  </si>
  <si>
    <t>Раскраска «Kazakhstan. Astana»</t>
  </si>
  <si>
    <t>д759</t>
  </si>
  <si>
    <t>Раскраска используется для раскрашивания изображений диких животных. В процессе работы выполняется закрашивание контуров и рассматривание изображений. Применяется в творческой деятельности.</t>
  </si>
  <si>
    <t>Раскраска «Жабайы жануарларды білесің бе?»</t>
  </si>
  <si>
    <t>д758</t>
  </si>
  <si>
    <t>Рамка-вкладыш представляет собой деревянную основу с фигурными элементами по тематике среды обитания животных. В процессе работы выполняется подбор и размещение деталей в соответствующие отверстия. Такая деятельность способствует развитию наглядно-образного мышления и навыков соотнесения. Набор включает не менее 11 элементов.</t>
  </si>
  <si>
    <t>Рамка-вкладыш «Кто где живёт»</t>
  </si>
  <si>
    <t>д757</t>
  </si>
  <si>
    <t>Натуральные морские ракушки предназначены для декоративных, сенсорных и творческих занятий. Тип — природные материалы. Вес набора — 85 г. Количество в упаковке — 15 шт. Используются в оформлении, арт-терапии и развивающих играх.</t>
  </si>
  <si>
    <t>Ракушки морские натуральные для декора</t>
  </si>
  <si>
    <t>д756</t>
  </si>
  <si>
    <t>Пластиковые разделители с индексами предназначены для систематизации документов, методических материалов и рабочей документации. Используются в папках формата А4, обеспечивают удобство навигации и хранения.</t>
  </si>
  <si>
    <t>Разделитель для папки</t>
  </si>
  <si>
    <t>д755</t>
  </si>
  <si>
    <t>Раздаточные материалы применяются при выполнении заданий, связанных с речевой деятельностью и работой с текстами. Используются для индивидуальной и подгрупповой работы. Позволяют закреплять содержание произведений и речевые упражнения. Материалы рассчитаны на использование в образовательной практике.</t>
  </si>
  <si>
    <t>Раздаточные материалы по развитию речи и художественной литературе</t>
  </si>
  <si>
    <t>д754</t>
  </si>
  <si>
    <t>Раздаточные материалы предназначены для выполнения аппликационных заданий и практических работ. Используются при освоении приёмов наклеивания и комбинирования элементов. Задания направлены на формирование представлений о форме, цвете и композиции. Применяются в индивидуальной и групповой работе.</t>
  </si>
  <si>
    <t>Раздаточные материалы по аппликации 2+ лет</t>
  </si>
  <si>
    <t>д753</t>
  </si>
  <si>
    <t>Игрушечный автомобиль используется для сюжетно-ролевых игр с моделированием дорожных и бытовых ситуаций. В процессе игры воспроизводятся действия с транспортным средством. Такая деятельность способствует развитию воображения и представлений о транспорте. Изделие выполнено из прочных материалов.</t>
  </si>
  <si>
    <t>Раздаточные материалы используются при выполнении аппликационных заданий в рамках творческой деятельности. Содержат элементы и заготовки для практической работы с формой, цветом и композицией. Применяются при выполнении заданий по наклеиванию и комбинированию деталей. Материалы рассчитаны на многократное использование в учебных и практических работах.</t>
  </si>
  <si>
    <t>д752</t>
  </si>
  <si>
    <t>Раздаточные материалы предназначены для выполнения практических заданий по рисованию. Используются при освоении различных изобразительных приёмов и техник. Применяются в индивидуальной и групповой работе. Материалы рассчитаны на использование в образовательном процессе.</t>
  </si>
  <si>
    <t>Раздаточные материалы для занятий по рисованию</t>
  </si>
  <si>
    <t>д751</t>
  </si>
  <si>
    <t>Хрестоматия предназначена для детей от 2 лет. Используется для развития речи, расширения словарного запаса, формирования интереса к художественной литературе и навыков слушания. Применяется в образовательной деятельности дошкольного учреждения.</t>
  </si>
  <si>
    <t>Развитие речи и художественная литература</t>
  </si>
  <si>
    <t>д750</t>
  </si>
  <si>
    <t>Геометрическая головоломка используется для сборки фигуры из отдельных элементов. В процессе работы выполняется подбор деталей по форме и расположению. Такая деятельность способствует развитию пространственного мышления и логического анализа. Элементы выполнены из прочных материалов.</t>
  </si>
  <si>
    <t>Геометрическая головоломка «Цветок»</t>
  </si>
  <si>
    <t>д75</t>
  </si>
  <si>
    <t>Развивающий набор предназначен для развития мелкой моторики, логического мышления и сенсорного восприятия у детей дошкольного возраста. Выполнен в форме кубика с элементами мозаики, привлекает внимание ярким и трогательным дизайном. Способствует длительной самостоятельной игровой деятельности и развитию познавательных навыков.</t>
  </si>
  <si>
    <t>Развивающий набор «Кубик с мозаикой»</t>
  </si>
  <si>
    <t>д749</t>
  </si>
  <si>
    <t>Развивающий набор предназначен для развития моторики, воображения и навыков счёта. В комплект входят 50 светящихся камешков и 5 двусторонних карточек. Камешки заряжаются от света и светятся в темноте. Рекомендован детям от 3 лет.</t>
  </si>
  <si>
    <t>Развивающий набор «Волшебная мозаика»</t>
  </si>
  <si>
    <t>д748</t>
  </si>
  <si>
    <t>Развивающий набор предназначен для тренировки слуха, памяти и мышления. Используется в образовательной и коррекционной деятельности с детьми дошкольного возраста.</t>
  </si>
  <si>
    <t>Развивающий набор «Весёлые звуки»</t>
  </si>
  <si>
    <t>д747</t>
  </si>
  <si>
    <t>Тактильные карточки предназначены для сенсорного развития и раннего обучения. Используются для знакомства с животными и стимуляции тактильного восприятия.</t>
  </si>
  <si>
    <t>Развивающие карточки для малышей IQ-ZABIAKA</t>
  </si>
  <si>
    <t>д746</t>
  </si>
  <si>
    <t>Набор включает двусторонние карточки с первыми словами и изображениями для работы над словарём. В процессе занятий выполняется называние, группировка по темам и составление простых предложений. В комплект входит не менее 50 карточек и буклет с заданиями. Материал подходит для индивидуальной и подгрупповой работы. Рассчитан на многократное использование.</t>
  </si>
  <si>
    <t>Развивающие карточки «Начинаю говорить» (набор)</t>
  </si>
  <si>
    <t>д745</t>
  </si>
  <si>
    <t>Развивающие карточки предназначены для запуска и развития речи у детей дошкольного возраста. Используются в логопедической и коррекционной работе.</t>
  </si>
  <si>
    <t>Развивающие карточки</t>
  </si>
  <si>
    <t>д744</t>
  </si>
  <si>
    <t>Сенсорная развивающая игрушка предназначена для стимуляции тактильных ощущений и мелкой моторики. Материал — пластик. Используется в индивидуальных и групповых играх.</t>
  </si>
  <si>
    <t>Развивающие игрушки «Милый ёжик»</t>
  </si>
  <si>
    <t>д743</t>
  </si>
  <si>
    <t>Деревянная пирамидка с шариками предназначена для развития моторики, внимания и слухового восприятия. Шарик, скатываясь, издаёт мелодичные звуки. Материал — натуральное дерево, безопасные краски.</t>
  </si>
  <si>
    <t>Развивающая пирамидка</t>
  </si>
  <si>
    <t>д742</t>
  </si>
  <si>
    <t>Обучающая игра предназначена для формирования экологического мышления. Бренд «Десятое королевство». Развивает моторику, внимание и кругозор. Количество игроков — от 2 до 5.</t>
  </si>
  <si>
    <t>Развивающая настольная магнитная игра «Учимся сортировать мусор»</t>
  </si>
  <si>
    <t>д741</t>
  </si>
  <si>
    <t>Логопедическая игра предназначена для формирования связной речи. Включает карточки на липучках для составления фраз. Используется в работе логопеда с детьми от 3 до 7 лет.</t>
  </si>
  <si>
    <t>Развивающая настольная логопедическая игра «Я говорю» (фразовый конструктор)</t>
  </si>
  <si>
    <t>д740</t>
  </si>
  <si>
    <t>Детские гантели используются для выполнения простых физических упражнений. Представляют собой неразборную конструкцию с пластиковым покрытием. Вес одной гантели составляет не более 0,5 кг. Применяются при организации двигательной активности.</t>
  </si>
  <si>
    <t>Гантели детские пластмассовые</t>
  </si>
  <si>
    <t>д74</t>
  </si>
  <si>
    <t>Набор предназначен детей от 3 лет для занятий по развитию пространственного, логического, критического, математического мышления без применения компьютера и мобильных устройств</t>
  </si>
  <si>
    <t>Развивающая настольная игра для развития пространственного мышленпия</t>
  </si>
  <si>
    <t>д739</t>
  </si>
  <si>
    <t>Настольная игра для нескольких игроков, предназначенная для развития логического мышления, координации и распознавания цветов. Используется в игровой и развивающей деятельности.</t>
  </si>
  <si>
    <t>Развивающая настольная игра «Chair stack»</t>
  </si>
  <si>
    <t>д738</t>
  </si>
  <si>
    <t>Настольная игра предназначена для развития логического мышления, внимания и навыков сравнения. В набор входит 28 карточек. Предусмотрены варианты игры: «Домино», «Командное домино», «Кто быстрее».</t>
  </si>
  <si>
    <t>Развивающая настольная игра «Домино. Фрукты и овощи»</t>
  </si>
  <si>
    <t>д737</t>
  </si>
  <si>
    <t>Развивающий игровой набор, предназначенный для формирования навыков счёта, сортировки, распознавания цветов и форм. Используется в сюжетно-ролевых и дидактических играх. Способствует развитию логического мышления и математических представлений.</t>
  </si>
  <si>
    <t>Развивающая игрушка «Ягодный пирог» (68 элементов)</t>
  </si>
  <si>
    <t>д736</t>
  </si>
  <si>
    <t>Набор для экспериментальной и познавательной деятельности. В комплект входят: мерный стакан, лупа, воронка, пипетка, колба, пинцет, защитные очки, большая пробирка с крышкой и подставкой, две малые пробирки с крышками, карточки с заданиями. Используется для развития исследовательских навыков и познавательного интереса.</t>
  </si>
  <si>
    <t>Развивающая игрушка «Моя первая лаборатория. Юный исследователь» (22 элемента)</t>
  </si>
  <si>
    <t>д735</t>
  </si>
  <si>
    <t>Набор для первичного знакомства с исследовательской и экспериментальной деятельностью. Включает колбы и подставку. Используется для развития познавательного интереса, мелкой моторики и элементарных представлений о свойствах веществ. Материалы безопасны для детей.</t>
  </si>
  <si>
    <t>Развивающая игрушка «Моя первая лаборатория. Колбы с подставкой» (6 элементов)</t>
  </si>
  <si>
    <t>д734</t>
  </si>
  <si>
    <t>Развивающий набор для формирования навыков счёта, логического мышления, сравнения и сортировки. Используется в индивидуальной и групповой работе с детьми дошкольного возраста.</t>
  </si>
  <si>
    <t>Развивающая игрушка «Весёлые совята» (37 элементов)</t>
  </si>
  <si>
    <t>д733</t>
  </si>
  <si>
    <t>Игра предназначена для развития цветового восприятия, координации движений, логического мышления и моторики у детей дошкольного возраста.</t>
  </si>
  <si>
    <t>Развивающая игра с разноцветными стаканами</t>
  </si>
  <si>
    <t>д732</t>
  </si>
  <si>
    <t>Деревянная развивающая игра предназначена для обучения распознаванию цветов и направлений. Включает доску с рыбками и карточки направлений. Развивает внимание, координацию движений и логическое мышление.</t>
  </si>
  <si>
    <t>Развивающая игра «Цветные рыбки»</t>
  </si>
  <si>
    <t>д731</t>
  </si>
  <si>
    <t>Настольная развивающая игра для формирования навыков счёта и сравнения. В комплект входят двусторонние карточки-задания, фигурки, элементы весов и основа. Используется для развития логического мышления и математических представлений.</t>
  </si>
  <si>
    <t>Развивающая игра «Считай и проверяй»</t>
  </si>
  <si>
    <t>д730</t>
  </si>
  <si>
    <t>Восковые карандаши используются для рисования и раскрашивания. Обеспечивают плотное нанесение цвета и плавное скольжение по поверхности бумаги. В набор входит не менее 24 карандашей различных цветов. Подходят для художественных и творческих работ.</t>
  </si>
  <si>
    <t>Восковые карандаши</t>
  </si>
  <si>
    <t>д73</t>
  </si>
  <si>
    <t>Обучающая игра предназначена для формирования представлений о цифрах и счёте. В комплект входят 20 двусторонних карточек, деревянные фишки с цифрами и знаками, игровое поле. Используется в образовательной деятельности ДОУ.</t>
  </si>
  <si>
    <t>Развивающая игра «Математика для дошкольников»</t>
  </si>
  <si>
    <t>д729</t>
  </si>
  <si>
    <t>Настольная развивающая игра предназначена для формирования логического мышления, речи и навыков классификации. В комплект входят мнемокарточки с липучками (велькро). Ребёнок соотносит объекты с карточками и закрепляет их, развивая внимание, память и координацию движений.</t>
  </si>
  <si>
    <t>Развивающая игра «Кто что ест?»</t>
  </si>
  <si>
    <t>д728</t>
  </si>
  <si>
    <t>Игра включает магнитную доску и набор магнитных элементов. В процессе игры выполняется размещение и перемещение элементов на магнитном поле. Материалы деталей — вспененный полимер и магнитный винил.</t>
  </si>
  <si>
    <t>Развивающая игра «Всякая всячина»</t>
  </si>
  <si>
    <t>д727</t>
  </si>
  <si>
    <t>Нейротренажёр предназначен для развития мелкой моторики, координации движений и речевых навыков. Может использоваться как стандартный пальцеход и как база для логопедических упражнений. Размер основы: 7,5×23 см. В комплекте 31 фишка.</t>
  </si>
  <si>
    <t>Развивающая игра — нейротренажёр «Логопедический пальцеход»</t>
  </si>
  <si>
    <t>д726</t>
  </si>
  <si>
    <t>Чуковский К.</t>
  </si>
  <si>
    <t>Пұшайман Федора</t>
  </si>
  <si>
    <t>д725</t>
  </si>
  <si>
    <t>Используется для местного охлаждения при ушибах и других медицинских показаниях.</t>
  </si>
  <si>
    <t>Пузырь для льда</t>
  </si>
  <si>
    <t>д724</t>
  </si>
  <si>
    <t>Мягкие стеновые панели предназначены для защиты стен и обеспечения безопасности детей в зонах активного движения. Основа — амортизирующий наполнитель (поролон, ППУ). Покрытие — износостойкий влагостойкий материал (ПВХ-ткань, винилискожа, экокожа). Крепление скрытое, края закруглённые. Устойчивы к дезинфекции, гипоаллергенные, соответствуют требованиям использования в ДОУ.</t>
  </si>
  <si>
    <t>Протектор стеновой мягкий, м²</t>
  </si>
  <si>
    <t>д723</t>
  </si>
  <si>
    <t xml:space="preserve">Прозрачные пластиковые контейнеры предназначены для хранения и систематизации дидактических материалов, игрушек и принадлежностей. </t>
  </si>
  <si>
    <t>Прозрачные контейнеры</t>
  </si>
  <si>
    <t>д722</t>
  </si>
  <si>
    <t>Световой проектор предназначен для создания расслабляющей и эмоционально-комфортной атмосферы в помещениях дошкольного учреждения. Оснащён RGB-светодиодами и лазерами, поддерживает до 13 режимов цветовых эффектов. Имеет пульт дистанционного управления, встроенный Bluetooth Hi-Fi динамик, воспроизводит звуки природы (прибой, дождь, гроза, ночной лес). Используется в сенсорных, релаксационных и психологических зонах.</t>
  </si>
  <si>
    <t>Проектор «Звёздное небо / Северное сияние»</t>
  </si>
  <si>
    <t>д721</t>
  </si>
  <si>
    <t>Комплект предназначен для игровой и трудовой деятельности на участке ДОУ. Включает тачку, лопаты, грабли, метлу, ведро, совок. Материал — полипропилен. Способствует развитию трудовых навыков и координации движений.</t>
  </si>
  <si>
    <t>Принадлежности для работы на участке (комплект)</t>
  </si>
  <si>
    <t>д720</t>
  </si>
  <si>
    <t>Воздушно-пузырьковая колонна используется как декоративный и световой элемент интерьера. Представляет собой акриловую трубу, заполненную водой с подачей воздуха, создающей движение пузырьков. Оснащена RGB-подсветкой с возможностью выбора режимов. Диаметр колонны — не менее 10 см, высота — не менее 120 см.</t>
  </si>
  <si>
    <t>Воздушно-пузырьковая колонна с подсветкой</t>
  </si>
  <si>
    <t>д72</t>
  </si>
  <si>
    <t>Набор предметных картинок предназначен для развития зрительного восприятия, речи и классификации предметов по форме. Используется в образовательной деятельности дошкольного учреждения.</t>
  </si>
  <si>
    <t>Предметные картинки разной формы</t>
  </si>
  <si>
    <t>д719</t>
  </si>
  <si>
    <t>Сенсорный потолочный модуль в виде облака предназначен для создания расслабляющей атмосферы. Оснащён 600 фибероптическими волокнами длиной 2,2 м, управляется пультом ДУ. Размер 120×120 см. Используется в сенсорных и релаксационных зонах ДОУ.</t>
  </si>
  <si>
    <t>Потолочный фиберооптический модуль «Тучка»</t>
  </si>
  <si>
    <t>д718</t>
  </si>
  <si>
    <t>Потолочный светильник в форме раскрытой книги, предназначен для общего освещения библиотечного пространства. Декоративный элемент поддерживает тематику чтения и обучения, создаёт уютную атмосферу.</t>
  </si>
  <si>
    <t>Потолочный светильник в виде книги</t>
  </si>
  <si>
    <t>д717</t>
  </si>
  <si>
    <t>Игровой набор металлической посуды предназначен для сюжетно-ролевых игр. В комплект входит 11 предметов (кастрюли, сковорода, дуршлаг, кухонные принадлежности). Возраст 3+. Материал — металл. Способствует развитию воображения и социальных навыков.</t>
  </si>
  <si>
    <t>Посуда, игровой набор металлический (11 предметов)</t>
  </si>
  <si>
    <t>д716</t>
  </si>
  <si>
    <t>Детское полотенце предназначено для индивидуального использования детьми в условиях дошкольного учреждения. Изготовлено из гигиеничных, безопасных и легко очищаемых материалов.</t>
  </si>
  <si>
    <t>Полотенце детское</t>
  </si>
  <si>
    <t>д715</t>
  </si>
  <si>
    <t>Модульный набор используется для организации двигательной активности с упражнениями на преодоление препятствий. В процессе прохождения выполняются действия на баланс, шагание, перелезание и проползание. Такая активность способствует развитию координации движений и общей моторики. Комплект включает не менее 4 элементов. Конструкция предназначена для использования в помещениях.</t>
  </si>
  <si>
    <t>Полоса препятствий модульная (4 элемента)</t>
  </si>
  <si>
    <t>д714</t>
  </si>
  <si>
    <t>Игрушечный полицейский вертолёт предназначен для сюжетно-ролевых игр. Оснащён инерционным механизмом, музыкальными эффектами, выполнен из прочных материалов. Способствует развитию воображения, моторики и интереса к профессиям.</t>
  </si>
  <si>
    <t>Полицейский вертолет трансформер</t>
  </si>
  <si>
    <t>д713</t>
  </si>
  <si>
    <t>Обучающие карточки «Полевые цветы» предназначены для ознакомления детей с окружающим миром. Используются для развития речи, внимания и познавательных навыков. Подходят для детей 3–7 лет. Материал безопасный, соответствует требованиям ДОУ.</t>
  </si>
  <si>
    <t>Полевые цветы (обучающие карточки)</t>
  </si>
  <si>
    <t>д712</t>
  </si>
  <si>
    <t>Инерционная пожарная машинка предназначена для сюжетно-ролевых игр. Оснащена водяной пушкой, выполнена из пластика ABS и металла. Используется для развития воображения, речи и представлений о профессиях экстренных служб.</t>
  </si>
  <si>
    <t>Пожарная машинка</t>
  </si>
  <si>
    <t>д711</t>
  </si>
  <si>
    <t>Игрушечная пожарная машина предназначена для сюжетно-ролевых игр детей дошкольного возраста. Оснащена подвижными колёсами, вращающейся или выдвижной лестницей, кабиной водителя с деталями интерьера. Возможны световые и звуковые эффекты. Цвет — красный с тематическими обозначениями.</t>
  </si>
  <si>
    <t>Пожарная машина</t>
  </si>
  <si>
    <t>д710</t>
  </si>
  <si>
    <t>Виброплатформа используется для выполнения упражнений с вибрационной нагрузкой. Применяется при занятиях, направленных на активацию мышц и поддержание физической активности. Работает от сети 220 В, мощность устройства — не менее 200 Вт. Рассчитана на нагрузку до 150 кг.</t>
  </si>
  <si>
    <t>Виброплатформа</t>
  </si>
  <si>
    <t>д71</t>
  </si>
  <si>
    <t>Деревянный поезд предназначен для сюжетно-ролевых и развивающих игр детей дошкольного возраста. Способствует развитию воображения, логического мышления, мелкой моторики и координации движений. Изготовлен из натурального дерева, безопасен для использования в ДОУ.</t>
  </si>
  <si>
    <t>Поезд (деревянный)</t>
  </si>
  <si>
    <t>д709</t>
  </si>
  <si>
    <t>Детская подушка предназначена для использования в групповых помещениях и зонах отдыха дошкольного учреждения. Обеспечивает комфорт и поддержку во время отдыха. Изготовлена из гипоаллергенных материалов, подходит для регулярного использования.</t>
  </si>
  <si>
    <t>Подушка детская</t>
  </si>
  <si>
    <t>д708</t>
  </si>
  <si>
    <t>Плед или покрывало предназначено для использования в групповых помещениях дошкольного учреждения. Применяется в зонах отдыха, релаксации или во время дневного сна. Обеспечивает комфорт и уют, подходит для регулярного использования.</t>
  </si>
  <si>
    <t>Плед / покрывало</t>
  </si>
  <si>
    <t>д707</t>
  </si>
  <si>
    <t>Набор пластилина с большим количеством цветов предназначен для творческой деятельности детей. Используется в образовательной и развивающей среде ДОУ для лепки, моделирования и художественного самовыражения. Материал безопасен при соблюдении правил эксплуатации.</t>
  </si>
  <si>
    <t>Пластилины (набор)</t>
  </si>
  <si>
    <t>д706</t>
  </si>
  <si>
    <t>Детский мягкий пластилин предназначен для лепки и художественно-творческой деятельности. Используется для развития мелкой моторики, воображения и сенсорных навыков у детей дошкольного возраста. Подходит для индивидуальных и групповых занятий.</t>
  </si>
  <si>
    <t>Пластилин</t>
  </si>
  <si>
    <t>д705</t>
  </si>
  <si>
    <t>Развивающий планшет предназначен для обучения и развлечения детей дошкольного возраста. Используется для развития речи, слухового восприятия, памяти и внимания. Содержит стихи, песни, звуки, задания по буквам и цифрам. Оснащён регулировкой громкости и выключателем, безопасен для использования в ДОУ.</t>
  </si>
  <si>
    <t>Планшет развивающий</t>
  </si>
  <si>
    <t>д704</t>
  </si>
  <si>
    <t>Плакаты предназначены для формирования правильного произношения звуков (в том числе [Р], [Л], [С] и других). Используются в логопедической практике для визуальной поддержки артикуляционных упражнений и развития фонематического слуха у детей.</t>
  </si>
  <si>
    <t>Плакаты с правильным произношением звуков</t>
  </si>
  <si>
    <t>д703</t>
  </si>
  <si>
    <t>Демонстрационные плакаты предназначены для проведения артикуляционной гимнастики и логопедических занятий. Наглядно отображают положение языка, губ и зубов при выполнении упражнений. Используются в коррекционной и развивающей работе с детьми дошкольного возраста.</t>
  </si>
  <si>
    <t>Плакаты артикуляционной гимнастики</t>
  </si>
  <si>
    <t>д702</t>
  </si>
  <si>
    <t>Піл мен жолбарыс.Ертегі.Боямақ</t>
  </si>
  <si>
    <t>д701</t>
  </si>
  <si>
    <t>Разнообразные пирамидки используются в развивающих играх для формирования сенсорных представлений, логического мышления и моторных навыков у детей дошкольного возраста. Подходят для систематического использования в образовательной среде детского сада.</t>
  </si>
  <si>
    <t>Пирамидки разные</t>
  </si>
  <si>
    <t>д700</t>
  </si>
  <si>
    <t>Грузоподъемность: 10 кг; Чувствительность: 5 г</t>
  </si>
  <si>
    <t>Весы sw-10 dd</t>
  </si>
  <si>
    <t>д70</t>
  </si>
  <si>
    <t>"Өзің жаса"Топтамасы. Үй жануарлары. Серия "Сделай сам!" Домашние животные из картона</t>
  </si>
  <si>
    <t>д7</t>
  </si>
  <si>
    <t>Деревянные пирамидки-бусы предназначены для сортировки, нанизывания и сравнения форм и цветов. Используются для развития мелкой моторики, координации рук и внимания. Подходят для индивидуальной и подгрупповой работы в ДОУ.</t>
  </si>
  <si>
    <t>Пирамидки деревянные бусы</t>
  </si>
  <si>
    <t>д699</t>
  </si>
  <si>
    <t>Набор пирамидок различного размера предназначен для развития навыков сравнения, классификации и логического мышления. Используется в дидактических и игровых занятиях с детьми дошкольного возраста.</t>
  </si>
  <si>
    <t>Пирамидка разного размера</t>
  </si>
  <si>
    <t>д698</t>
  </si>
  <si>
    <t>Деревянная пирамидка в форме радуги предназначена для развития пространственного мышления, воображения и сенсорного восприятия. Используется в свободной игре и образовательных занятиях. Натуральный материал и плавные формы обеспечивают безопасность и долговечность изделия.</t>
  </si>
  <si>
    <t>Пирамидка радуга из дерева</t>
  </si>
  <si>
    <t>д697</t>
  </si>
  <si>
    <t>Логическая пирамидка с разноцветными геометрическими фигурками предназначена для развития логического мышления, мелкой моторики, зрительного восприятия и навыков сортировки у детей дошкольного возраста. Используется в игровой и образовательной деятельности. Элементы размещаются на устойчивой подставке. Изготовлена из дерева, безопасна и долговечна для использования в условиях ДОУ.</t>
  </si>
  <si>
    <t>Пирамидка логическая «Фигурки»</t>
  </si>
  <si>
    <t>д696</t>
  </si>
  <si>
    <t>Конусная пирамидка предназначена для развития логического мышления, мелкой моторики и навыков сортировки у детей дошкольного возраста. Используется в игровой и обучающей деятельности. Конструкция безопасна, элементы легко удерживаются детской рукой.</t>
  </si>
  <si>
    <t>Пирамидка конусная</t>
  </si>
  <si>
    <t>д695</t>
  </si>
  <si>
    <t>Классическая развивающая пирамидка предназначена для обучения детей сравнению размеров, цветов и последовательности. Используется для развития моторики, координации движений и зрительного восприятия. Подходит для индивидуальных и подгрупповых занятий в ДОУ.</t>
  </si>
  <si>
    <t>Пирамидка</t>
  </si>
  <si>
    <t>д694</t>
  </si>
  <si>
    <t>Развивающая пирамида с шестерёнками предназначена для формирования причинно-следственных связей, развития логического мышления и мелкой моторики. Используется в игровой и образовательной деятельности детей дошкольного возраста. Элементы яркие, подвижные, безопасные и удобные для детского восприятия.</t>
  </si>
  <si>
    <t>Пирамида из шести шестерёнок</t>
  </si>
  <si>
    <t>д693</t>
  </si>
  <si>
    <t>Применяется для медицинских манипуляций, захвата и удержания материалов.</t>
  </si>
  <si>
    <t>Пинцет анатомический</t>
  </si>
  <si>
    <t>д692</t>
  </si>
  <si>
    <t>Синтезатор Medeli A810 Музыкальный инструмент предназначен для сопровождения музыкальных занятий, развития слуха, ритма и вокальных навыков у детей дошкольного возраста. Используется в музыкальном зале и на праздничных мероприятиях. Конструкция устойчивая, поверхности безопасны для детей, эксплуатация соответствует требованиям использования музыкального оборудования в ДОУ.</t>
  </si>
  <si>
    <t>Синтезатор</t>
  </si>
  <si>
    <t>д691</t>
  </si>
  <si>
    <t>Песочный набор предназначен для игр с песком в помещении и на улице. Используется для развития мелкой моторики, воображения, тактильного восприятия и сюжетно-ролевой деятельности. Подходит для индивидуальных и групповых игр детей дошкольного возраста. Изделие безопасно и устойчиво к регулярной эксплуатации.</t>
  </si>
  <si>
    <t>Песочный набор</t>
  </si>
  <si>
    <t>д690</t>
  </si>
  <si>
    <t>_Грузоподъемность: 200 кг; Чувствительность: 50/100 г</t>
  </si>
  <si>
    <t>Весы db-200h</t>
  </si>
  <si>
    <t>д69</t>
  </si>
  <si>
    <t>Таймер с песочным механизмом используется для наглядного отсчёта времени в процессе занятий, игр и режимных моментов. Способствует развитию навыков планирования, ожидания и соблюдения временных рамок. Применяется в индивидуальной и групповой работе с детьми дошкольного возраста.</t>
  </si>
  <si>
    <t>Песочные часы / таймер</t>
  </si>
  <si>
    <t>д689</t>
  </si>
  <si>
    <t>Песочные часы предназначены для формирования у детей представлений о времени, развития концентрации внимания и саморегуляции. Используются в образовательной, игровой и коррекционной деятельности для ограничения и контроля времени выполнения заданий. Конструкция устойчивая, с безопасными краями, подходит для эксплуатации в детских учреждениях.</t>
  </si>
  <si>
    <t>Песочные часы</t>
  </si>
  <si>
    <t>д688</t>
  </si>
  <si>
    <t>Стол для песочной терапии предназначен для проведения развивающих, коррекционных и релаксационных занятий с детьми дошкольного возраста. Используется в психологической и арт-терапевтической практике. Занятия с песком способствуют развитию мелкой моторики, воображения, эмоциональной регуляции и снятию психоэмоционального напряжения. Конструкция устойчивая, адаптирована для детского роста и безопасна для использования в ДОУ.</t>
  </si>
  <si>
    <t>Песочная терапия. Стол</t>
  </si>
  <si>
    <t>д687</t>
  </si>
  <si>
    <t>Передвижная книжная стойка с полками для размещения детской литературы. Оснащена меловой доской для рисования и обозначения тематических подборок. Имеет колёса с фиксаторами для удобного перемещения и устойчивости. Материал — дерево или ЛДСП. Размер — 410 × 410 × 950 мм. Назначение — оформление мобильных книжных зон и тематических выставок.</t>
  </si>
  <si>
    <t>Передвижные книжные держатели (мобильные)</t>
  </si>
  <si>
    <t>д686</t>
  </si>
  <si>
    <t>Игрушечная модель круизного парома предназначена для сюжетно-ролевых игр детей дошкольного возраста. Используется для формирования представлений о транспорте, путешествиях и социальной среде. Способствует развитию воображения, речи и навыков моделирования игровых ситуаций. Конструкция безопасна и устойчива к регулярному использованию в условиях ДОУ.</t>
  </si>
  <si>
    <t>Паром круизный «Silja Symphony»</t>
  </si>
  <si>
    <t>д684</t>
  </si>
  <si>
    <t>Игровой парашют предназначен для проведения подвижных и групповых игр с детьми дошкольного возраста. Используется для развития координации движений, командного взаимодействия, внимания и чувства ритма. Применяется в физкультурных занятиях, игровых паузах и коррекционно-развивающей работе. Изготовлен из прочного текстильного материала, безопасен и удобен для использования в помещении и на улице.</t>
  </si>
  <si>
    <t>Парашют игровой (групповые игры)</t>
  </si>
  <si>
    <t>д683</t>
  </si>
  <si>
    <t>Декоративные папоротники предназначены для оформления предметно-пространственной среды дошкольного учреждения. Используются для создания благоприятной, спокойной и экологически ориентированной атмосферы в групповых помещениях, кабинетах специалистов и зонах отдыха. Способствуют формированию у детей эстетического восприятия и интереса к миру растений.</t>
  </si>
  <si>
    <t>Папоротники</t>
  </si>
  <si>
    <t>д682</t>
  </si>
  <si>
    <t>Папка-регистратор формата А4 предназначена для хранения, систематизации и архивирования документации, методических материалов, планов занятий и отчётных документов. Используется в административной, педагогической и методической деятельности дошкольного учреждения. Обеспечивает удобный доступ к документам, их сохранность и аккуратное размещение. Подходит для эксплуатации в условиях ДОУ.</t>
  </si>
  <si>
    <t>Папка</t>
  </si>
  <si>
    <t>д681</t>
  </si>
  <si>
    <t>Комплект весов с набором измерительных предметов используется для наглядного сравнения массы объектов. В процессе работы выполняются действия по взвешиванию и сопоставлению результатов. Применяется для формирования представлений о весе и соотношении величин. Элементы набора рассчитаны на многократное использование.</t>
  </si>
  <si>
    <t>Весы с предметами для измерения</t>
  </si>
  <si>
    <t>д68</t>
  </si>
  <si>
    <t>Пальчиковый театр из фетра предназначен для театрализованной, игровой и коррекционно-развивающей деятельности с детьми. Используется для развития речи, воображения, эмоциональной выразительности и мелкой моторики. Позволяет детям разыгрывать сказочные и собственные сюжеты, способствует формированию связной речи и социального взаимодействия. Изготовлен из фетра, безопасен и удобен для использования в дошкольных учреждениях.</t>
  </si>
  <si>
    <t>Пальчиковый театр из фетра</t>
  </si>
  <si>
    <t>д679</t>
  </si>
  <si>
    <t>Комплект пальчикового театра предназначен для организации театрализованных и сюжетно-ролевых игр с детьми дошкольного возраста. Используется в образовательной, коррекционной и развивающей деятельности для формирования речи, воображения и коммуникативных навыков. Куклы подходят для пальчиковых и настольных постановок, изготовлены из мягких и безопасных материалов, устойчивы к регулярной эксплуатации в ДОУ.</t>
  </si>
  <si>
    <t>Пальчиковый театр (сказки, 5 в 1)</t>
  </si>
  <si>
    <t>д678</t>
  </si>
  <si>
    <t>Пальчиковые игровые персонажи предназначены для развития мелкой моторики, речи, воображения и коммуникативных навыков у детей дошкольного возраста. Используются в сюжетно-ролевых играх, сказкотерапии, арт- и коррекционно-развивающих занятиях. Изготовлены из мягких, нетоксичных и гипоаллергенных материалов, легко очищаются и устойчивы к частому использованию в условиях ДОУ.</t>
  </si>
  <si>
    <t>Пальчиковые персонажи</t>
  </si>
  <si>
    <t>д677</t>
  </si>
  <si>
    <t>Пальчиковые краски предназначены для изобразительной и арт-терапевтической деятельности с детьми дошкольного возраста. Используются для развития сенсорного восприятия, мелкой моторики, творческого мышления и эмоционального самовыражения. Применяются в индивидуальных и групповых занятиях. Краски безопасны для детей, легко смываются, имеют яркие цвета и подходят для использования в условиях детских учреждений.</t>
  </si>
  <si>
    <t>Пальчиковые краски</t>
  </si>
  <si>
    <t>д676</t>
  </si>
  <si>
    <t>Палка гимнастическая предназначена для использования в физкультурно-оздоровительной и коррекционно-развивающей работе с детьми. Применяется для выполнения упражнений на координацию движений, развитие осанки, равновесия и общей моторики. Используется в подвижных играх, гимнастике и физкультурных занятиях. Изготовлена из прочного и безопасного материала, имеет гладкую поверхность, удобна для детского хвата и соответствует требованиям эксплуатации в ДОУ.</t>
  </si>
  <si>
    <t>Палка гимнастическая</t>
  </si>
  <si>
    <t>д675</t>
  </si>
  <si>
    <t>Развивающие пазлы с фигурными элементами животных и транспорта предназначены для формирования представлений об окружающем мире, развития мелкой моторики, логики и пространственного мышления. Используются в образовательной и игровой деятельности детей дошкольного возраста. Изготовлены из древесного материала, элементы имеют чёткие формы и безопасные края, что обеспечивает удобство и безопасность использования в детских учреждениях.</t>
  </si>
  <si>
    <t>Пазлы с формами животных и транспорта</t>
  </si>
  <si>
    <t>д674</t>
  </si>
  <si>
    <t>Пазлы используются для сборки изображений из частей по контуру и рисунку. В процессе работы выполняется подбор фрагментов по форме, цвету и деталям изображения. Количество элементов в наборе — не менее 26 и до 60 шт. Материал — картон, рассчитанный на многократную сборку. Тематика может включать сказочных персонажей, транспорт, животных и сюжетные сцены.</t>
  </si>
  <si>
    <t>Пазлы картонные классические (наборы 26–60 элементов)</t>
  </si>
  <si>
    <t>д673</t>
  </si>
  <si>
    <t>Наборы пазлов включают деревянные и магнитные элементы по тематическим сериям (ферма, транспорт, космос и др.). В процессе сборки выполняется подбор деталей по форме и изображению, а также составление целостной картинки. Такая деятельность развивает зрительное восприятие, внимание и навыки анализа. Пазлы предназначены для многократного использования.</t>
  </si>
  <si>
    <t>Пазлы деревянные и магнитные (тематические наборы)</t>
  </si>
  <si>
    <t>д672</t>
  </si>
  <si>
    <t>Деревянная развивающая доска с элементами для составления образов. Используется для развития мелкой моторики, логического мышления и воображения. Подходит для самостоятельной игры.</t>
  </si>
  <si>
    <t>Пазл-переодевание «Медвежонок»</t>
  </si>
  <si>
    <t>д671</t>
  </si>
  <si>
    <t>Пазл-палочки представляет собой набор планок с фрагментами изображения для сборки рисунка в правильной последовательности. В процессе сборки выполняется сопоставление частей по рисунку и размещение в нужном порядке. Такая деятельность развивает внимание и зрительный анализ. Количество элементов — не менее 10 шт. Размер в собранном виде — не менее 19×14 см. Материал — фанера/ХДФ.</t>
  </si>
  <si>
    <t>Пазл-палочки деревянный (10 элементов)</t>
  </si>
  <si>
    <t>д670</t>
  </si>
  <si>
    <t>Весы предназначены для измерения массы тела детей и взрослых, используются в медицинском кабинете.</t>
  </si>
  <si>
    <t>Весы напольные</t>
  </si>
  <si>
    <t>д67</t>
  </si>
  <si>
    <t>Пазл на липучках включает карточки-основы и фигурные элементы на велкро для составления пар по смыслу «взрослый — детёныш». В процессе работы выполняется подбор соответствующих пар и закрепление фигурок на карточках. Такая деятельность развивает внимание и навыки соотнесения. В набор входит не менее 10 карточек размером около 15,5×11 см и не менее 20 фигурок на липучках.</t>
  </si>
  <si>
    <t>Пазл на липучках «Мама и малыш»</t>
  </si>
  <si>
    <t>д669</t>
  </si>
  <si>
    <t>Картонный фигурный пазл предназначен для развивающих занятий с детьми дошкольного возраста. Набор включает несколько пазлов с разным количеством элементов, что позволяет постепенно усложнять задания и учитывать индивидуальные возможности ребёнка. Используется для развития логического мышления, внимания, зрительного восприятия и навыков анализа. Изготовлен из плотного картона, безопасен при эксплуатации, подходит для индивидуальной и подгрупповой работы в условиях ДОУ.</t>
  </si>
  <si>
    <t>Пазл картонный фигурный (3–8 элементов, 4 в 1)</t>
  </si>
  <si>
    <t>д668</t>
  </si>
  <si>
    <t>Деревянный пазл предназначен для использования в образовательной и игровой деятельности с детьми дошкольного возраста. Применяется как первая головоломка для развития мелкой моторики рук, координации движений, зрительного восприятия и логического мышления. В процессе сборки ребёнок осваивает формы, соотнесение элементов и последовательность действий, что способствует развитию познавательной активности и усидчивости. Изготовлен из древесного материала, имеет безопасные закруглённые края и устойчив к регулярному использованию в условиях ДОУ.</t>
  </si>
  <si>
    <t>Пазл деревянный «Зверюшки»</t>
  </si>
  <si>
    <t>д667</t>
  </si>
  <si>
    <t>Мамирова Ғ.Б.</t>
  </si>
  <si>
    <t>Өнер. Түсіндірмесімен</t>
  </si>
  <si>
    <t>д666</t>
  </si>
  <si>
    <t>Ортопедический массажный коврик предназначен для профилактики плоскостопия, развития сенсорного восприятия, координации движений и формирования правильного двигательного стереотипа у детей дошкольного возраста. Используется в физкультурно-оздоровительной и коррекционной работе. Коврик состоит из модульных элементов, позволяет изменять форму и размер поверхности, изготовлен из безопасных, антискользящих и легко очищаемых материалов.</t>
  </si>
  <si>
    <t>Ортопедический коврик / массажный коврик модульный</t>
  </si>
  <si>
    <t>д665</t>
  </si>
  <si>
    <t>Яркий массажный коврик разработан специально для здоровья детских ножек. Он состоит из 10 разноцветных модулей и растет вместе с вашим малышом! Можно регулировать размер и форму площадки. Это отличный массажер для маленьких ножек, которые еще только начинают формироваться. Коврик показан деткам с плоскостопием и плоско-вальгусной деформацией стопы, а также для профилактики этих состояний. Он способствует формированию правильного двигательного стереотипа</t>
  </si>
  <si>
    <t>Ортодон Коврик массажный модульный</t>
  </si>
  <si>
    <t>д664</t>
  </si>
  <si>
    <t>Казенас В., Митяев И., Ященко Р.</t>
  </si>
  <si>
    <t>Опасные животные Казахстана</t>
  </si>
  <si>
    <t>д663</t>
  </si>
  <si>
    <t>Кумисбаев Ш.</t>
  </si>
  <si>
    <t>Они были первыми</t>
  </si>
  <si>
    <t>д662</t>
  </si>
  <si>
    <t>Ж.Калжанова</t>
  </si>
  <si>
    <t>Ойсана әліппесі. Шуақты шумақтар</t>
  </si>
  <si>
    <t>д661</t>
  </si>
  <si>
    <t>В набор входит:
• весы с двумя лотками;
• 6 грузов различного веса.
Цвет в ассортименте без возможности выбора.
Размер игрушки: 28 x 13 x 12,7 см.
Материал: пластик.</t>
  </si>
  <si>
    <t>Весы детские</t>
  </si>
  <si>
    <t>д66</t>
  </si>
  <si>
    <t>Детское одеяло предназначено для использования в условиях дошкольного учреждения во время дневного сна и отдыха детей. Изготовлено из безопасных, гипоаллергенных материалов, обеспечивает комфортный микроклимат и соответствует санитарно-гигиеническим требованиям, предъявляемым к изделиям для детских учреждений.</t>
  </si>
  <si>
    <t>Одеяло детское</t>
  </si>
  <si>
    <t>д659</t>
  </si>
  <si>
    <t>Обучающий набор предназначен для развития речевых и познавательных навыков детей дошкольного возраста. Используется в образовательной деятельности для изучения окружающего мира, расширения словарного запаса и формирования многоязычной среды. Карточки сгруппированы по тематическим разделам и содержат наименования предметов на казахском, русском и английском языках. Набор способствует развитию памяти, внимания и коммуникативных навыков. Материалы безопасны и соответствуют условиям эксплуатации в ДОУ.</t>
  </si>
  <si>
    <t>Обучающий набор развивающих карточек на казахском языке</t>
  </si>
  <si>
    <t>д657</t>
  </si>
  <si>
    <t>Набор обучающих плакатов предназначен для оформления развивающей предметно-пространственной среды в группах ДОУ. Используется для наглядного обучения и систематизации знаний детей дошкольного возраста. Тематика плакатов охватывает основные образовательные направления: цвета и формы, алфавит, счёт, животные, времена года, сутки и часы. Плакаты выполнены в наглядной и доступной форме, безопасны и удобны для размещения в помещениях детского сада.</t>
  </si>
  <si>
    <t>Обучающие плакаты для дошкольников</t>
  </si>
  <si>
    <t>д656</t>
  </si>
  <si>
    <t>Дидактический набор обучающих карточек предназначен для формирования у детей дошкольного возраста представлений о временах года, сезонных изменениях в природе и окружающем мире. Используется в образовательной, развивающей и коррекционной работе. Карточки способствуют развитию речи, памяти, внимания и логического мышления. Материал плотный, устойчивый к износу, безопасный для использования в детских учреждениях.</t>
  </si>
  <si>
    <t>Обучающие карточки «Времена года» (дидактический материал)</t>
  </si>
  <si>
    <t>д655</t>
  </si>
  <si>
    <t>Набор карточек используется для выполнения заданий на разложение чисел и закрепление сложения и вычитания. В процессе работы выполняется подбор карточек и составление правильных комбинаций по условию задания. Такая деятельность способствует развитию логического мышления и навыков счёта. Материалы набора включают бумажные карточки и элементы из дерева.</t>
  </si>
  <si>
    <t>Обучающая игра «Состав числа» (набор карточек)</t>
  </si>
  <si>
    <t>д654</t>
  </si>
  <si>
    <t>Комплект обручей различных диаметров предназначен для организации разнообразных подвижных и спортивных игр в условиях ДОУ. Используется для упражнений на координацию, развитие гибкости, ориентации в пространстве, а также в эстафетах и сюжетных играх. Обручи подходят для детей разного возраста, безопасны в использовании, устойчивы к износу и обеспечивают комфортную эксплуатацию в помещениях и на открытых площадках детского сада.</t>
  </si>
  <si>
    <t>Обручи разных размеров</t>
  </si>
  <si>
    <t>д653</t>
  </si>
  <si>
    <t>Образовательные карточки предназначены для использования в образовательной деятельности с детьми дошкольного возраста. Применяются для развития речи, расширения словарного запаса, формирования представлений об окружающем мире, классификации объектов и развития зрительного восприятия. Карточки содержат изображения по тематическим категориям (домашние и дикие животные, морские обитатели, насекомые, птицы, фрукты, овощи и др.). Материал карточек плотный, износостойкий, безопасный для детей, обеспечивает удобство использования и долговечность при эксплуатации в условиях ДОУ.</t>
  </si>
  <si>
    <t>Образовательные карточки</t>
  </si>
  <si>
    <t>д652</t>
  </si>
  <si>
    <t>Оборудование используется для организации двигательной активности с элементами лазания и преодоления препятствий. В процессе выполнения упражнений задействуются координация движений и ориентировка в пространстве. Предназначено для размещения в помещениях.</t>
  </si>
  <si>
    <t>Оборудование для лазания и координации движений</t>
  </si>
  <si>
    <t>д651</t>
  </si>
  <si>
    <t xml:space="preserve">Бакт. Эффективность: 99,9% - 99,0% - 95,0%_Производительность: 100 - 150 - 230  м3/час_Бактерицидные лампы: 2 х 30 Вт_Параметры: 1090х150х100 мм
</t>
  </si>
  <si>
    <t>Облучатель бактерицидный obn-150-kront</t>
  </si>
  <si>
    <t>д650</t>
  </si>
  <si>
    <t>Вертушки используются в подвижных играх на открытом воздухе. В процессе игры выполняются действия, связанные с вращением изделия под воздействием ветра или движения. Применяются для организации активной деятельности. Изготовлены из пластика и предназначены для уличного использования.</t>
  </si>
  <si>
    <t>Вертушки для подвижных игр на улице</t>
  </si>
  <si>
    <t>д65</t>
  </si>
  <si>
    <t>Используются для медицинских и хозяйственных нужд. Безопасны за счёт закруглённых концов.</t>
  </si>
  <si>
    <t>Ножницы тупоконечные</t>
  </si>
  <si>
    <t>д648</t>
  </si>
  <si>
    <t>Медицинские ножницы для проведения процедур, требующих точности.</t>
  </si>
  <si>
    <t>Ножницы с одним острым концом прямые</t>
  </si>
  <si>
    <t>д647</t>
  </si>
  <si>
    <t>Детские ножницы предназначены для занятий по изобразительной деятельности и ручному труду. Используются для развития мелкой моторики и координации движений. Конструкция адаптирована для безопасного использования детьми.</t>
  </si>
  <si>
    <t>Ножницы</t>
  </si>
  <si>
    <t>д646</t>
  </si>
  <si>
    <t>Набор ниток предназначен для использования в творческой и учебной деятельности детей. Применяется на занятиях по ручному труду, аппликации и шитью под контролем педагога.</t>
  </si>
  <si>
    <t>Нитки</t>
  </si>
  <si>
    <t>д645</t>
  </si>
  <si>
    <t>М.Лейси (перевод Сужикова А., Асанова М.)</t>
  </si>
  <si>
    <t>Нельсон. Nelson (каз., рус., англ.яз.)</t>
  </si>
  <si>
    <t>д644</t>
  </si>
  <si>
    <t>Развивающий нейротренажер предназначен для стимуляции сенсомоторных зон кистей, развития координации движений, речи и межполушарного взаимодействия. Используется в коррекционно-развивающей работе с детьми дошкольного возраста, в том числе в логопедической практике.</t>
  </si>
  <si>
    <t>Нейротренажер для рук</t>
  </si>
  <si>
    <t>д643</t>
  </si>
  <si>
    <t>Балансировочная доска на колесиках (роллерборд), цвет бежевый, выполнен из фанеры. Предназначен для развивающих и игровых занятий в детском саду, способствует развитию логики, внимания, координации движений, баланса и мелкой моторики у детей дошкольного возраста.</t>
  </si>
  <si>
    <t>Нейроскутер</t>
  </si>
  <si>
    <t>д642</t>
  </si>
  <si>
    <t>Декоративный элемент в виде казахского шаңырака для оформления этнокультурной атмосферы детской библиотеки. Устанавливается стационарно в углу помещения, крепится к стене, служит интерьерным акцентом. Материал — дерево или облегчённый композит. Размещение — настенное, угловое.</t>
  </si>
  <si>
    <t>Национальный элемент «Шаңырақ» (декоративный)</t>
  </si>
  <si>
    <t>д641</t>
  </si>
  <si>
    <t>Карнавальный и праздничный костюм предназначен для участия детей в культурных, тематических и национальных мероприятиях. Используется в сюжетно-ролевых играх, театрализованных постановках и праздниках. Способствует формированию интереса к традиционной культуре и развитию эмоциональной выразительности.</t>
  </si>
  <si>
    <t>Национальный костюм для мальчиков</t>
  </si>
  <si>
    <t>д640</t>
  </si>
  <si>
    <t>Әбубәкір Ж., Сужикова А., Кайрамбаева М.</t>
  </si>
  <si>
    <t>Великий Абай. Энциклопедия</t>
  </si>
  <si>
    <t>д64</t>
  </si>
  <si>
    <t>Представляем вашему вниманию национальное платье для девочки в голубом цвете, в комплекте с головным убором. Изготовлено из легкой и практичной ткани, обеспечивающей комфорт и долговечность. Идеально подходит для выступлений, праздничных мероприятий и национальных празднико</t>
  </si>
  <si>
    <t>Национальный костюм для девочек</t>
  </si>
  <si>
    <t>д639</t>
  </si>
  <si>
    <t>Набор для национальной игры «Асық» используется в игровой деятельности с элементами традиционной культуры. В процессе игры выполняются действия по метанию, подбору и сортировке игровых элементов. Такая форма игры способствует развитию координации движений и интереса к народным играм. Игровые элементы изготовлены из прочных материалов.</t>
  </si>
  <si>
    <t>Национальная игра «Асық»</t>
  </si>
  <si>
    <t>д638</t>
  </si>
  <si>
    <t>Натуральный кристаллический гравий предназначен для использования в условиях дошкольного учреждения в соответствии с функциональным назначением изделия. Применяется при оформлении аквариумов, сенсорных зон, тематических уголков, а также в образовательной и предметно-пространственной среде детского сада. Может использоваться в познавательных, исследовательских и сенсорных занятиях под контролем педагога для развития тактильного восприятия, мелкой моторики, внимания и наблюдательности детей. Материал экологически безопасен, не имеет острых краёв, устойчив к влаге и механическому воздействию. Характеристики изделия обеспечивают безопасную и удобную эксплуатацию в помещениях ДОУ. Конструкция и материалы соответствуют требованиям использования в детских учреждениях.</t>
  </si>
  <si>
    <t>Натуральный кристаллический гравий для аквариумов (разноцветные мини-камешки, 65 г)</t>
  </si>
  <si>
    <t>д637</t>
  </si>
  <si>
    <t>Настольный фонтан используется как элемент интерьерного оформления. Создаёт визуальный эффект движения воды и мягкий фоновый звук. Применяется для формирования спокойной атмосферы в помещении. Конструкция рассчитана на установку на горизонтальной поверхности.</t>
  </si>
  <si>
    <t>Настольный декоративный фонтан с эффектом водопада</t>
  </si>
  <si>
    <t>д636</t>
  </si>
  <si>
    <t>Развивающие настольные игры направлены на тренировку логики, памяти, внимания, стратегического мышления и речи у детей</t>
  </si>
  <si>
    <t>Настольные развивающие игры</t>
  </si>
  <si>
    <t>д635</t>
  </si>
  <si>
    <t xml:space="preserve">Игра предназначена для расширения познания ребенка и ознакомления его со средой обитания
животных.
- желтые карты – 16 шт.
- оранжевые карты – 24 шт.
- зеленые карты – 20 шт.
- синие карты – 16 шт.
- фиолетовые карты – 16 шт.
- карточки для формирования игрового поля – 9 шт.
- инструкция -1 шт.
</t>
  </si>
  <si>
    <t>Настольноразвивающая игра "Тез Тап"</t>
  </si>
  <si>
    <t>д634</t>
  </si>
  <si>
    <t>Игра предназначена для развития
логического мышления посредством нахождения соответствующих по форме и виду бабочек
• Концентрацию внимания
• Память
• Визуальное восприятие
• Логическое мышление
• Различие цветов
• Скорость
-бабочки трех цветов – 20 шт.
- карточки с силуэтами бабочек -
11 шт
-бабочка одного цвета – 6 шт.
-кубики - 3 шт.
-бабочки двух цветов – 15 шт.
-коврик - 1 шт.
-инструкция – 1 шт.
- карточки с бабочками с узорами - 36 шт</t>
  </si>
  <si>
    <t>Настольно-развивающая игра "КӨБЕЛЕКТЕР"</t>
  </si>
  <si>
    <t>д633</t>
  </si>
  <si>
    <t>Настольная дидактическая игра предназначена для развития внимания, зрительной памяти, навыков счета и элементарных математических представлений. Используется в подгрупповой работе с детьми дошкольного возраста. Формирует навыки соблюдения правил игры, очередности ходов и сотрудничества.</t>
  </si>
  <si>
    <t>Настольная развивающая игра «Собери урожай»</t>
  </si>
  <si>
    <t>д632</t>
  </si>
  <si>
    <t>Учебно-дидактическое пособие предназначено для формирования и закрепления навыков счета, сравнения чисел и решения простых арифметических задач. Используется в образовательной и коррекционной деятельности с детьми дошкольного возраста. Способствует развитию логического мышления, внимания и самостоятельности.</t>
  </si>
  <si>
    <t>Настольная развивающая игра «Математический тренажер на липучках»</t>
  </si>
  <si>
    <t>д631</t>
  </si>
  <si>
    <t>Настольная рабочая станция предназначена для организации рабочего места музыкального руководителя в музыкальном зале ДОУ. Используется для подготовки и проведения музыкальных занятий, воспроизведения и записи звука, сопровождения утренников и праздничных мероприятий. Обеспечивает удобное размещение оборудования и способствует повышению качества музыкально-педагогической работы.</t>
  </si>
  <si>
    <t>Настольная рабочая станция (музыкальная студия)</t>
  </si>
  <si>
    <t>д630</t>
  </si>
  <si>
    <t>Эш Р.</t>
  </si>
  <si>
    <t>Великие чудеса света</t>
  </si>
  <si>
    <t>д63</t>
  </si>
  <si>
    <t>Развивающая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Используется в коррекционно-развивающей и обучающей работе с детьми дошкольного возраста. Игра способствует подготовке руки к письму и развитию самостоятельности.</t>
  </si>
  <si>
    <t>Настольная игра со шнуровками, пуговицами, ремешками, замочками</t>
  </si>
  <si>
    <t>д629</t>
  </si>
  <si>
    <t>Деревянная развивающая настольная игра, направленная на распознавание цветов, развитие памяти и внимания. Используется для совместной игры детей и взрослых, способствует развитию когнитивных навыков.</t>
  </si>
  <si>
    <t>Настольная игра «Candy»</t>
  </si>
  <si>
    <t>д628</t>
  </si>
  <si>
    <t>Развивающая игра в форме предмета быта предназначена для развития мелкой моторики, координации движений и зрительно-моторной согласованности. Используется в индивидуальной и подгрупповой работе с детьми дошкольного возраста. Материалы безопасны, шнурки удобны для детской руки.</t>
  </si>
  <si>
    <t>Настольная игра «Шнуровка»</t>
  </si>
  <si>
    <t>д627</t>
  </si>
  <si>
    <t>Игра предназначена для развития фантазии, пространственного и умственного мышления ребенка. • Внимательность • Логическое мышление • Фантазию • Различие цветов • Визуальное восприятие • Концентрацию - белые карты - 6 шт. - желтые карты - 15 шт. - светло-зеленые карты - 16 шт. - темно-зеленые карты - 4 шт. - инструкция - 1 шт</t>
  </si>
  <si>
    <t>Настольная игра «ТҮРЛІ-ТҮСТІ БӨЛШЕКТЕР»</t>
  </si>
  <si>
    <t>д626</t>
  </si>
  <si>
    <t>Игра предназначена для расшире ния познания ребенка и ознакомления его со средой обитания животных. В коробке - желтые карты – 16 шт. - оранжевые карты – 24 шт. - зеленые карты – 20 шт. - синие карты – 16 шт. - фиолетовые карты – 16 шт. - карточки для формирования игрового поля – 9 шт. ТЕЗ ТАП - инструкция -1 шт</t>
  </si>
  <si>
    <t>Настольная игра «ТЕЗ ТАП»</t>
  </si>
  <si>
    <t>д625</t>
  </si>
  <si>
    <t>Игра предназначена для тренировки определения места предмета в пространстве, сравнения, сопоставления и развития логического мышления ребенка. • Различие цветов • Концентрацию • Внимательность • Логическое мышление • Визуальное восприятие • Терпение • Фантазию - оранжевые палочки – 8 шт. - инструкция – 1 шт. - желтые палочки – 8 шт. - зеленые палочки – 12 шт. - красно-пестрые палочки - 8 шт. - синие палочки – 8 шт.</t>
  </si>
  <si>
    <t>Настольная игра «ТАЯҚШАЛАР»</t>
  </si>
  <si>
    <t>д624</t>
  </si>
  <si>
    <t>Игра предназначена для расширения познания и для развития пространственного мышления ребенка. • Внимательность • Терпение • Визуальное восприятие • Различие цветов • Логическое мышление - карточки – 32 шт. - дощечка – 1 шт. - разноцветные детали – 27 шт. - красные детали – 5 шт. - розовые детали - 5 шт. - синие детали - 6 шт. - желтые детали – 6 шт. - зеленые детали – 5 шт.</t>
  </si>
  <si>
    <t>Настольная игра «СӘУЛЕТШІ»</t>
  </si>
  <si>
    <t>д623</t>
  </si>
  <si>
    <t>Настольная развивающая игра предназначена для детей дошкольного возраста и взрослых. Используется для развития координации движений, точности, мелкой моторики, логического мышления и навыков самоконтроля. В процессе игры участники поочередно выстраивают и модифицируют конструкцию из деревянных элементов, соблюдая равновесие башни. Игра способствует формированию усидчивости, концентрации внимания и навыков командного взаимодействия. Материалы безопасны для использования детьми, элементы имеют устойчивую форму и гладкую поверхность.</t>
  </si>
  <si>
    <t>Настольная игра «Построй башню»</t>
  </si>
  <si>
    <t>д622</t>
  </si>
  <si>
    <t>Игровой набор предназначен для организации активных настольных игр с детьми от 3 лет. В процессе игры дети поочередно выбивают элементы льдины, стараясь не уронить фигурку, что развивает координацию движений, точность, аккуратность и причинно-следственное мышление. Игра формирует навыки соблюдения правил и очередности действий, подходит для групповой и индивидуальной деятельности.</t>
  </si>
  <si>
    <t>Настольная игра «Пингвин на льдине»</t>
  </si>
  <si>
    <t>д621</t>
  </si>
  <si>
    <t>Дидактическая настольная игра предназначена для развития памяти, внимания, зрительного восприятия и навыков сопоставления у детей дошкольного возраста. Используется в индивидуальной и подгрупповой работе. Игра способствует тренировке кратковременной и долговременной памяти, развитию логического мышления и усидчивости. Подходит для регулярного применения в образовательной деятельности ДОУ.</t>
  </si>
  <si>
    <t>Настольная игра «Мемори»</t>
  </si>
  <si>
    <t>д620</t>
  </si>
  <si>
    <t>Веер набор, касса букв и цифр, на казахском языке, Пчелка Н-1 №904</t>
  </si>
  <si>
    <t>Веер набор</t>
  </si>
  <si>
    <t>д62</t>
  </si>
  <si>
    <t>Игра предназначена для расширения познания и для развития пространственного мышления  Состав  карточки – 32 шт. - дощечка – 1 шт. - разноцветные детали – 27 шт. - красные детали – 5 шт. - розовые детали - 5 шт. - синие детали - 6 шт. - желтые детали – 6 шт. - зеленые детали – 5 шт.</t>
  </si>
  <si>
    <t>Настольная игра «КӨРКЕМ ӨРНЕК»</t>
  </si>
  <si>
    <t>д619</t>
  </si>
  <si>
    <t>Игра предназначена для развития логического мышления посредством нахождения соответствую- • Концентрацию внимания • Память • Визуальное восприятие • Логическое мышление • Различие цветов • Скорость КӨБЕЛЕКТЕР ИГРА РАЗВИВАЕТ В КОРОБКЕ щих по форме и виду бабочек. -бабочки трех цветов – 20 шт. - карточки с силуэтами бабочек - 11 шт -бабочка одного цвета – 6 шт. -кубики - 3 шт. -бабочки двух цветов – 15 шт. -коврик - 1 шт. -инструкция – 1 шт. - карточки с бабочками с узорам</t>
  </si>
  <si>
    <t>Настольная игра «КӨБЕЛЕКТЕР»</t>
  </si>
  <si>
    <t>д618</t>
  </si>
  <si>
    <t>Настольная игра включает игровое поле и карточки для выполнения заданий на умножение в игровой форме. В процессе игры выполняются вычисления и подбор правильных ответов по правилам. Такая деятельность способствует закреплению таблицы умножения и развитию навыков счёта. Размер игрового поля составляет не менее 19,5×19,5 см. Материалы: дерево и бумажные карточки.</t>
  </si>
  <si>
    <t>Настольная игра «Доска умножения» (учебная)</t>
  </si>
  <si>
    <t>д617</t>
  </si>
  <si>
    <t>Игра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соответВ КОРОБКЕ - разноцветные треугольники – 36 шт. - оранжевые – 6 шт. - зеленые – 6 шт. - желтые – 6 шт. - синие – 6 шт. - розовые – 6 шт. - красные – 6 шт. - инструкция – 1 шт</t>
  </si>
  <si>
    <t>Настольная игра «3D ҮШБҰРЫШ»</t>
  </si>
  <si>
    <t>д616</t>
  </si>
  <si>
    <t>Настенный флипчарт предназначен для использования в кабинете детского психолога при диагностической, коррекционной и арт-терапевтической работе. Оснащён отрывным бумажным блоком, позволяющим детям рисовать, выполнять задания и выражать эмоции. Крепление к стене обеспечивает устойчивость, безопасность и экономию пространства.</t>
  </si>
  <si>
    <t>Настенный флипчарт с бумажным блоком</t>
  </si>
  <si>
    <t>д615</t>
  </si>
  <si>
    <t>Развивающий модуль предназначен для тренировки движений кисти и запястья, развития координации и мелкой моторики. Используется в коррекционной и развивающей работе с детьми от 3 лет. Изготовлен из дерева, имеет настенное крепление и устойчивую конструкцию, подходит для применения в ДОУ.</t>
  </si>
  <si>
    <t>Настенный модуль для упражнений в развитии запястья (движение по прорези)</t>
  </si>
  <si>
    <t>д614</t>
  </si>
  <si>
    <t>Игровой настенный модуль предназначен для комплексного развития детей. Панель выполнена в виде медвежонка и включает лабиринты, шестерёнки, бусины и безопасное акриловое зеркало. Используется для развития моторики, сенсорного восприятия, внимания и координации движений. Материал — дерево.</t>
  </si>
  <si>
    <t>Настенный модуль «Медведь»</t>
  </si>
  <si>
    <t>д613</t>
  </si>
  <si>
    <t>Тканевые нарукавники предназначены для защиты одежды детей во время занятий творчеством, изобразительной деятельностью и экспериментированием. Оснащены резинкой для удобной фиксации, выполнены из водоотталкивающего материала. В комплект входят два нарукавника и кармашек. Подходят для использования детьми разного возраста.</t>
  </si>
  <si>
    <t>Нарукавники тканевые</t>
  </si>
  <si>
    <t>д612</t>
  </si>
  <si>
    <t>Л.Ледбридж (перевод Сужикова А., Асанова М. )</t>
  </si>
  <si>
    <t>Наполеон. Napoleon (каз., рус., англ.яз.)</t>
  </si>
  <si>
    <t>д611</t>
  </si>
  <si>
    <t>Детские напёрстки предназначены для использования в занятиях по ручному труду, шитью и развитию мелкой моторики. Используются для защиты пальцев и формирования навыков аккуратной работы с иглой и нитками. Подходят для применения в кружковой и творческой деятельности в ДОУ.</t>
  </si>
  <si>
    <t>Напёрстки</t>
  </si>
  <si>
    <t>д610</t>
  </si>
  <si>
    <t>Р.Уинстон</t>
  </si>
  <si>
    <t>Бұл өте оңай! Қызықты химия</t>
  </si>
  <si>
    <t>д61</t>
  </si>
  <si>
    <t>Пособие используется для занятий по лексическим темам «Фрукты» и «Овощи». Включает предметные изображения, которые применяются для называния, классификации и описания. Материал дополняется заданиями (загадки, игры), что позволяет проводить упражнения разной сложности. Подходит для индивидуальной и подгрупповой работы. Используется как демонстрационный и раздаточный материал.</t>
  </si>
  <si>
    <t>Наглядный материал «Картотека предметных картинок: Фрукты и овощи»</t>
  </si>
  <si>
    <t>д609</t>
  </si>
  <si>
    <t>Образовательный набор предназначен для знакомства детей с основами конструирования и простых механизмов. Используется в развивающих занятиях для формирования инженерного мышления, логики, навыков анализа и решения задач. В комплект входит 121 элемент, позволяющий собирать различные модели механизмов. Подходит для организованной образовательной деятельности под руководством педагога.</t>
  </si>
  <si>
    <t>Набор-конструктор робототехники для изучения простых механизмов (121 предмет)</t>
  </si>
  <si>
    <t>д608</t>
  </si>
  <si>
    <t>Развивающий набор предназначен для раннего STEM-обучения и сенсорных игр. Используется для развития логического мышления, навыков сортировки, сопоставления цветов и форм. В комплект входят 12 яиц и 12 фигур в 6 различных цветах. Элементы безопасны для детей и подходят для использования в образовательной среде дошкольного учреждения.</t>
  </si>
  <si>
    <t>Набор яиц</t>
  </si>
  <si>
    <t>д607</t>
  </si>
  <si>
    <t>Дидактический набор предназначен для изучения мира насекомых в процессе игровых и познавательных занятий. Используется для развития наблюдательности, внимания, логического мышления и познавательного интереса. В комплект входит 12 статичных фигурок насекомых, выполненных из прочного полимерного материала. Подходит для индивидуальной и групповой работы в ДОУ.</t>
  </si>
  <si>
    <t>Набор фигурок насекомых с реалистичными изображениями и пропорциями</t>
  </si>
  <si>
    <t>д606</t>
  </si>
  <si>
    <t>Игровой и обучающий набор фигурок животных предназначен для ознакомления детей с животным миром разных континентов. Используется в образовательной и сюжетно-ролевой деятельности для формирования представлений о природе, расширения кругозора, развития речи и воображения. Фигурки выполнены с реалистичными пропорциями и внешним обликом, удобны для детской руки и безопасны при использовании в условиях дошкольного учреждения.</t>
  </si>
  <si>
    <t>Набор фигурок животных Африки, Америки, Австралии, Европы и Азии</t>
  </si>
  <si>
    <t>д605</t>
  </si>
  <si>
    <t>Тематический игровой набор предназначен для использования в образовательной и игровой деятельности дошкольного учреждения. Применяется для ознакомления детей с различными видами транспорта, развития классификации, логического мышления и сюжетно-ролевых навыков. Подходит для организации предметно-пространственной среды ДОУ. Материалы и конструкция обеспечивают безопасную и удобную эксплуатацию в детских учреждениях.</t>
  </si>
  <si>
    <t>Набор транспорта (легковой, грузовой, воздушный, водный, специальный)</t>
  </si>
  <si>
    <t>д604</t>
  </si>
  <si>
    <t>Игровой набор фигурок предназначен для сюжетно-ролевых и творческих игр. Используется для развития воображения, речи, навыков взаимодействия и проигрывания социальных ситуаций. В набор входят 5 статичных фигурок супергероев высотой около 12 см, выполненных в ярком цветовом оформлении. Подходит для свободной игровой деятельности детей.</t>
  </si>
  <si>
    <t>Набор супергероев (5 фигурок)</t>
  </si>
  <si>
    <t>д603</t>
  </si>
  <si>
    <t>Набор строительных блоков с крупными элементами для конструирования. Используется для развития пространственного мышления, логики, мелкой моторики и воображения. Подходит для самостоятельной и совместной игровой деятельности.</t>
  </si>
  <si>
    <t>Набор строительных блоков с крупными элементами для конструирования. (крупные строительные блоки)</t>
  </si>
  <si>
    <t>д602</t>
  </si>
  <si>
    <t>Органайзер предназначен для систематизации и хранения игрушек, дидактических материалов и пособий. Используется в групповых помещениях и кабинетах ДОУ. Корзины компактно складываются, устойчивы, лёгкие и безопасные. Обеспечивают порядок и доступность материалов для детей.</t>
  </si>
  <si>
    <t>Набор стекаемых пластиковых корзин для хранения</t>
  </si>
  <si>
    <t>д601</t>
  </si>
  <si>
    <t>Игровой набор пупсов предназначен для сюжетно-ролевых игр детей дошкольного возраста. Используется для формирования навыков заботы, развития эмоциональной сферы, воображения и коммуникативных умений. В набор входят 6 пупсов высотой около 11 см. Куклы выполнены из безопасного пластика, одежда изготовлена из текстильных материалов. Подходит для групповых и индивидуальных игр.</t>
  </si>
  <si>
    <t>Набор пупсов</t>
  </si>
  <si>
    <t>д600</t>
  </si>
  <si>
    <t>Бұл менікі емес...Жапсырма - кітапша. Ферма</t>
  </si>
  <si>
    <t>д60</t>
  </si>
  <si>
    <t>"Өзің жаса"Топтамасы. Жабайы аңдар. Серия "Сделай сам!" Домашние животные из картона</t>
  </si>
  <si>
    <t>д6</t>
  </si>
  <si>
    <t>Образовательный набор предназначен для проведения опытов и наблюдений с детьми дошкольного возраста. Используется для изучения насекомых и мелких природных объектов, развития познавательного интереса, внимания, логического мышления, воображения и мелкой моторики. В комплект входят смотровой ящик, ловушка для насекомых, пинцет и инструкция по эксплуатации. Все элементы изготовлены из безопасных материалов и подходят для использования под контролем педагога.</t>
  </si>
  <si>
    <t>Набор принадлежностей для наблюдения за насекомыми и мелкими объектами</t>
  </si>
  <si>
    <t>д599</t>
  </si>
  <si>
    <t>Дидактический набор предметных картинок предназначен для использования в образовательной деятельности дошкольного учреждения. Применяется при проведении занятий по развитию речи, формированию словарного запаса, классификации предметов и ознакомлению с окружающим миром. Используется в индивидуальной и групповой работе с детьми. Картинки удобны для размещения в предметно-пространственной среде ДОУ, безопасны в эксплуатации и соответствуют требованиям использования в детских учреждениях.</t>
  </si>
  <si>
    <t>Набор предметных картинок по темам</t>
  </si>
  <si>
    <t>д598</t>
  </si>
  <si>
    <t>Возрастное ограничение 3+, материал метал, в наборе 13 предметов, размер упаковки 22*32*9 см, производство Китай.</t>
  </si>
  <si>
    <t>Набор посуды в коробке</t>
  </si>
  <si>
    <t>д597</t>
  </si>
  <si>
    <t>Игровой набор посудки. набор чайный. Материал металл.</t>
  </si>
  <si>
    <t>Набор посудок</t>
  </si>
  <si>
    <t>д596</t>
  </si>
  <si>
    <t xml:space="preserve">Набор из 4-38 шт. редких кристаллов, камень минерал, кристаллический кластер, отдельный кристаллический минеральный камень, </t>
  </si>
  <si>
    <t>Набор полезных ископаемых</t>
  </si>
  <si>
    <t>д595</t>
  </si>
  <si>
    <t>Карнавально-игровой набор предназначен для сюжетно-ролевых игр, связанных с профессией повара. Используется для развития социальных навыков, речи и воображения. Материалы лёгкие, комфортные и безопасные для детей.</t>
  </si>
  <si>
    <t>Набор повара детский</t>
  </si>
  <si>
    <t>д594</t>
  </si>
  <si>
    <t>Дидактический набор предназначен для раннего развития, знакомства с базовыми понятиями и расширения словарного запаса. Используется в наглядной форме при работе с детьми раннего возраста.</t>
  </si>
  <si>
    <t>Набор плакатов для малыша (0–3 года)</t>
  </si>
  <si>
    <t>д593</t>
  </si>
  <si>
    <t>Сюжетно-ролевой набор предназначен для игр салонной тематики. Используется для развития мелкой моторики, воображения, эстетического вкуса и коммуникативных навыков. Элементы безопасны и адаптированы для детских рук.</t>
  </si>
  <si>
    <t>Набор парикмахера детский</t>
  </si>
  <si>
    <t>д592</t>
  </si>
  <si>
    <t>Применяется для формирования экологических представлений, развития познавательного интереса и расширения словарного запаса детей в образовательной деятельности.</t>
  </si>
  <si>
    <t>Набор обучающих карточек «Уроки экологии»</t>
  </si>
  <si>
    <t>д591</t>
  </si>
  <si>
    <t>Обучающий набор предназначен для комплексного развития навыков: речи, мышления, самообслуживания и ориентации в окружающем мире. Используется в индивидуальной и групповой работе, удобен для путешествий и занятий вне группы.</t>
  </si>
  <si>
    <t>Набор обучающих игрушек (фетровая доска)</t>
  </si>
  <si>
    <t>д590</t>
  </si>
  <si>
    <t>Цветная бумага используется для выполнения аппликаций, поделок и графических работ. Применяется при вырезании, складывании и комбинировании элементов. Подходит для использования с различными изобразительными материалами. Поставляется в формате А4 в виде набора листов.</t>
  </si>
  <si>
    <t>Бумага цветная формата А4</t>
  </si>
  <si>
    <t>д59</t>
  </si>
  <si>
    <t>Мишень на липучках предназначена для подвижных игр и упражнений на меткость, координацию и контроль силы броска. Комплект включает мишень (основа) диаметром/стороной не менее 30 см и набор мягких метательных элементов (не менее 3 шт.) с липучками. Материал основы — плотный текстиль (полиэстер) или аналогичный, устойчивый к многократному креплению и снятию элементов. Мишень может крепиться на стену или устанавливаться на опору, обеспечивая безопасную игровую дистанцию в помещении. Игра формирует глазомер, развивает внимание и способность следовать правилам (очередность, подсчёт попаданий, соблюдение дистанции). Мягкие элементы исключают травмоопасность при случайном падении или промахе при соблюдении правил игры.</t>
  </si>
  <si>
    <t>Набор мишеней на липучках для метательных упражнений</t>
  </si>
  <si>
    <t>д589</t>
  </si>
  <si>
    <t>Познавательный набор предназначен для ознакомления с животным миром. Используется в образовательной деятельности, тематических играх и наблюдениях. Фигурки безопасны и устойчивы к частому использованию.</t>
  </si>
  <si>
    <t>Набор миниатюрных фигурок домашних птиц</t>
  </si>
  <si>
    <t>д588</t>
  </si>
  <si>
    <t>Набор миниатюрных фигурок «Профессии» используется для знакомства детей с трудом взрослых и расширения представлений о социальной жизни. В комплект входит не менее 7 фигурок (например: повар, доктор, пожарный, почтальон, полицейский, пилот и др.), высотой не менее 5 см каждая. Материал фигур — безопасный полимер (ПВХ) или аналогичный, с гладкой поверхностью и без острых выступов, пригодный для регулярной обработки. Фигурки применяются в сюжетно-ролевых играх «город», «службы помощи», «больница», «кафе», где ребёнок учится распределять роли, договариваться и соблюдать правила игры. Набор помогает развивать словарь по теме профессий, умение описывать действия и инструменты специалистов. Также подходит для дидактических заданий: «кто что делает», «кому что нужно», «что лишнее», что развивает логическое мышление и внимание.</t>
  </si>
  <si>
    <t>Набор миниатюрных фигурок «Профессии», комплект 7 шт.</t>
  </si>
  <si>
    <t>д587</t>
  </si>
  <si>
    <t>Набор мини-фигурок животных предназначен для сюжетных игр, классификации и тематических занятий (домашние/дикие, среда обитания, питание). В комплект входит не менее 10 фигурок животных размером не менее 3 см каждая и не более 8 см, удобных для детской руки. Фигурки выполнены из безопасного пластика/дерева, устойчивого к влажной обработке, без острых выступов. Наличие отдельных коробочек/контейнеров (не менее 1 комплекта для хранения) упрощает сортировку и приучает ребёнка к порядку: «каждому животному — своё место». В игре дети составляют истории, описывают признаки и действия животных, что развивает словарь и связную речь. Набор также подходит для упражнений на внимание и память (найди пару, назови по описанию, разложи по группам).</t>
  </si>
  <si>
    <t>Набор мини-фигурок животных в коробках для игровых и классификационных заданий</t>
  </si>
  <si>
    <t>д586</t>
  </si>
  <si>
    <t>Набор мини-фигур человека предназначен для сюжетно-ролевых, коммуникативных и проективных игр (семья, детский сад, дружба, правила поведения). В комплект входит не менее 5 фигурок и не более 10, высотой не менее 8 см каждая, чтобы их можно было устойчиво размещать на поверхности. Материал — безопасный пластик/дерево/силикон с гладкими краями, допускающий регулярную очистку. Фигуры используются для разыгрывания ситуаций: ребёнок описывает действия персонажей, учится выражать эмоции словами и обсуждать решения. Игровые сценарии помогают формировать навыки взаимодействия, понимание социальных ролей и развитие связной речи. Набор удобен для занятий с педагогом/психологом, так как позволяет мягко обсуждать поведение и чувства через персонажей.</t>
  </si>
  <si>
    <t>Набор мини-фигур человека для ролевых и проективных игр</t>
  </si>
  <si>
    <t>д585</t>
  </si>
  <si>
    <t>Набор миниатюрных фигурок предназначен для познавательных занятий, наблюдений и тематических игр. Используется при изучении окружающего мира, развития речи, внимания и классификационных навыков. Фигурки безопасны, компактны, удобны для демонстрации и самостоятельной игры детьми.</t>
  </si>
  <si>
    <t xml:space="preserve">Набор мини-насекомых </t>
  </si>
  <si>
    <t>д584</t>
  </si>
  <si>
    <t>Набор мини-домиков используется как игровое пособие для построения сюжетов «город», «семья», «улица», «путешествие» и для моделирования жизненных ситуаций. В комплект входит не менее 5 домиков различной формы, высотой не менее 5 см каждый, чтобы их было удобно держать и переставлять ребёнку. Материал — дерево или безопасный пластик с гладкой обработкой поверхности и закруглёнными углами. Домики применяются в совместных играх: дети распределяют роли, договариваются о правилах и выстраивают последовательность событий, что развивает коммуникацию и связную речь. Набор помогает формировать пространственные представления (рядом/далеко, слева/справа), а также навыки организации игрового пространства. Хранение возможно в коробке/контейнере, пригодном для регулярной санитарной обработки.</t>
  </si>
  <si>
    <t>Набор мини-домиков для сюжетно-ролевых игр</t>
  </si>
  <si>
    <t>д583</t>
  </si>
  <si>
    <t>Набор мини-блоков предназначен для настольного конструирования и создания простых моделей в игровой деятельности детей дошкольного возраста. В комплект входит не менее 100 деталей разной формы, обеспечивающих вариативную сборку (простые постройки, предметы, элементы транспорта). Материал деталей — прочный безопасный пластик, допускающий влажную обработку; поверхность гладкая, без заусенцев и острых кромок. Размер элементов обеспечивает точное соединение и развитие пальцевого захвата, что полезно для тренировки мелкой моторики и координации рук. Игра с набором поддерживает развитие пространственного мышления, умения планировать последовательность действий и доводить конструкцию до результата. Для хранения предусмотрена упаковка/контейнер не менее 1 шт., позволяющая поддерживать порядок в группе.</t>
  </si>
  <si>
    <t>Набор мини-блоков для конструирования, 100 элементов</t>
  </si>
  <si>
    <t>д582</t>
  </si>
  <si>
    <t>Набор предназначен для опытов, сенсорных и бытовых игр. Используется для формирования представлений о количестве, объёме и мерах. Подходит для занятий по экспериментированию и практической деятельности.</t>
  </si>
  <si>
    <t>Набор мерных ёмкостей «Маэстро»</t>
  </si>
  <si>
    <t>д581</t>
  </si>
  <si>
    <t>Театральный набор предназначен для постановки мини-спектаклей и инсценировок. Используется для развития речи, эмоционального интеллекта, памяти и артистических навыков. Подходит для занятий в группе и индивидуальной работы.</t>
  </si>
  <si>
    <t>Набор кукольного театра</t>
  </si>
  <si>
    <t>д580</t>
  </si>
  <si>
    <t>Цветная бумага предназначена для выполнения аппликаций, поделок и простых художественных работ. Используется при вырезании, складывании и комбинировании элементов. Работа с бумагой способствует формированию аккуратности и координации движений рук. В комплект входит не менее 200 листов. Плотность бумаги — не менее 80 г/м². Цвета включают жёлтый и фиолетовый.</t>
  </si>
  <si>
    <t>Бумага цветная для творческих и аппликационных работ</t>
  </si>
  <si>
    <t>д58</t>
  </si>
  <si>
    <t>Набор предназначен для сюжетных и ролевых игр. Используется для развития мелкой моторики, воображения и навыков взаимодействия. Компактный размер позволяет использовать набор в индивидуальной и групповой игре.</t>
  </si>
  <si>
    <t>Набор кукол на шарнирах</t>
  </si>
  <si>
    <t>д579</t>
  </si>
  <si>
    <t>Игровой набор предназначен для сюжетно-ролевых игр семейной тематики. Используется для моделирования социальных ситуаций, развития речи, эмпатии и воображения. Фигурки выполнены из дерева, устойчивы и безопасны.</t>
  </si>
  <si>
    <t>Набор кукол (семья, 7 фигур)</t>
  </si>
  <si>
    <t>д578</t>
  </si>
  <si>
    <t>Набор деревянных кубиков предназначен для обучения детей алфавиту и цифрам. Используется для развития логики, памяти, мелкой моторики, навыков счёта и цветоразличения. Материал безопасный, подходит для дошкольного возраста.</t>
  </si>
  <si>
    <t>Набор кубиков «Алфавит с цифрами»</t>
  </si>
  <si>
    <t>д577</t>
  </si>
  <si>
    <t>Карнавальный набор предназначен для сюжетно-ролевых и театрализованных игр, утренников и праздничных мероприятий. Используется для развития воображения, эмоциональной выразительности и уверенности в себе. Материалы лёгкие и безопасные, не сковывают движения ребёнка.</t>
  </si>
  <si>
    <t>Набор костюма «Человек-паук»</t>
  </si>
  <si>
    <t>д576</t>
  </si>
  <si>
    <t>Набор предназначен для раннего чтения и развития познавательного интереса. Используется для формирования речи, внимания и эмоционального отклика у детей младшего возраста. Книги выполнены из плотных материалов, удобны для самостоятельного рассматривания.</t>
  </si>
  <si>
    <t>Набор книг с глазками</t>
  </si>
  <si>
    <t>д575</t>
  </si>
  <si>
    <t>Набор включает 6 книг по темам режимных и эмоциональных ситуаций (укачивание, пробуждение, игры, кормление, купание, утешение). Используется для чтения и проговаривания коротких текстов. Подходит для совместного чтения и спокойной деятельности. Комплект рассчитан на регулярное использование.</t>
  </si>
  <si>
    <t>Набор книг для малышей «Крохе», 6 шт.</t>
  </si>
  <si>
    <t>д574</t>
  </si>
  <si>
    <t>Набор предназначен для оформления уголка природы, экологического воспитания и ухода за растениями. Используется для посадки суккулентов и декоративных растений. Наличие дренажных отверстий обеспечивает правильный уход за растениями. Форма изделий способствует формированию интереса к природе и эстетического вкуса.</t>
  </si>
  <si>
    <t>Набор керамических горшков в виде животных</t>
  </si>
  <si>
    <t>д573</t>
  </si>
  <si>
    <t>Игровой набор предназначен для подвижных и координационных игр. Используется для развития меткости, ловкости, координации движений и командного взаимодействия. Подходит для использования в спортивных и игровых зонах ДОУ.</t>
  </si>
  <si>
    <t>Набор кеглей</t>
  </si>
  <si>
    <t>д572</t>
  </si>
  <si>
    <t>Дидактический набор предназначен для запуска и развития речи, формирования навыков коммуникации и обучения базовым понятиям. Используется в индивидуальной и групповой логопедической работе. Карточки ламинированы, устойчивы к износу и удобны для частого использования.</t>
  </si>
  <si>
    <t>Набор карточек «Цифры и цвета»</t>
  </si>
  <si>
    <t>д571</t>
  </si>
  <si>
    <t>Набор включает 4 картонные книжки по теме животных. Используется для чтения коротких текстов и рассматривания иллюстраций. Плотные страницы устойчивы к частому перелистыванию. Подходит для спокойной деятельности и совместного чтения.</t>
  </si>
  <si>
    <t>Набор картонных книг «Животные», 4 шт.</t>
  </si>
  <si>
    <t>д570</t>
  </si>
  <si>
    <t>Развивающий набор предназначен для упражнений на равновесие, координацию и развитие крупной моторики. Используется в подвижных играх и сенсомоторных упражнениях. Элементы устойчивы, имеют безопасную форму и подходят для использования в помещении.</t>
  </si>
  <si>
    <t>Набор камней для балансировки</t>
  </si>
  <si>
    <t>д569</t>
  </si>
  <si>
    <t>Познавательный набор предназначен для ознакомления с минералами и основами естественных наук. Используется в исследовательской деятельности, формирует интерес к геологии и окружающему миру. Подходит для демонстраций, опытов и тематических занятий.</t>
  </si>
  <si>
    <t>Набор камней "Минералы"</t>
  </si>
  <si>
    <t>д568</t>
  </si>
  <si>
    <t>Набор предназначен для проведения познавательных и экспериментальных занятий, изучения симметрии и отражения. Используется в образовательной деятельности и исследовательских играх. Конструкция обеспечивает устойчивую фиксацию зеркал. Материалы безопасны и подходят для использования детьми под контролем педагога.</t>
  </si>
  <si>
    <t>Набор из двух зеркал для опытов с симметрией</t>
  </si>
  <si>
    <t>д567</t>
  </si>
  <si>
    <t>Игровой набор предназначен для сюжетных, конструктивных и подвижных игр. Используется для развития воображения, пространственного мышления, координации движений и навыков совместной игры. Разнообразие моделей позволяет создавать игровые сценарии, связанные с транспортом и городской средой. Подходит для хранения в контейнере или коробе.</t>
  </si>
  <si>
    <t>Набор из 20 игрушечных машинок</t>
  </si>
  <si>
    <t>д566</t>
  </si>
  <si>
    <t>Набор муляжей предназначен для сюжетно-ролевых игр, моделирования бытовых ситуаций и ознакомления детей с продуктами питания. Используется в играх «Магазин», «Кухня», «Семья». Способствует развитию речи, воображения и социально-коммуникативных навыков. Размер изделий адаптирован для детской руки, материал эластичный и безопасный.</t>
  </si>
  <si>
    <t>Набор игрушечных продуктов «Хлеб»</t>
  </si>
  <si>
    <t>д565</t>
  </si>
  <si>
    <t>Игровой набор предназначен для организации сюжетно-ролевых игр бытовой направленности («Кухня», «Семья», «Кафе»). Используется для развития социальных навыков, речи, воображения и навыков взаимодействия. Подходит для систематического использования в предметно-пространственной среде ДОУ. Материалы безопасны, устойчивы к активной эксплуатации и легко поддаются санитарной обработке.</t>
  </si>
  <si>
    <t>Набор игрушечной посуды</t>
  </si>
  <si>
    <t>д564</t>
  </si>
  <si>
    <t>Комбинированный игровой набор предназначен для игр с песком и водой. Используется для сенсорного развития, экспериментирования с сыпучими и жидкими материалами, формирования причинно-следственных связей и развития познавательного интереса. Подходит для организации сюжетных и исследовательских игр. Материалы устойчивы к воздействию воды, легко очищаются и безопасны для детей.</t>
  </si>
  <si>
    <t>Набор игрушек для песка и воды</t>
  </si>
  <si>
    <t>д563</t>
  </si>
  <si>
    <t>Игровой набор предназначен для организации игр с песком в помещении и на открытом воздухе. Используется для развития мелкой моторики, координации движений, тактильных ощущений и элементарных трудовых навыков. Включает основные инструменты для пересыпания, просеивания и переливания песка. Элементы набора удобны для детской руки, изготовлены из безопасных материалов, устойчивы к влаге и частому использованию в условиях дошкольного учреждения.</t>
  </si>
  <si>
    <t>Набор игрушек для игры с песком</t>
  </si>
  <si>
    <t>д562</t>
  </si>
  <si>
    <t>Набор фигурок птиц предназначен для познавательных и сюжетно-ролевых игр, а также для занятий по ознакомлению с окружающим миром. Используется для расширения представлений о животном мире, развития речи, классификации и сравнения объектов. Фигурки выполнены в реалистичной форме, удобны для детской руки, подходят для индивидуальной и групповой работы.</t>
  </si>
  <si>
    <t>Набор игрушек «Птицы»</t>
  </si>
  <si>
    <t>д561</t>
  </si>
  <si>
    <t>Набор из 46 крупных фигурок животных в контейнере с крышкой. Включает фигурки обитателей океана, домашних животных, животных джунглей, фермы, леса, зоопарка, насекомых, рептилий и амфибий. Используется для познавательных занятий, сюжетно-ролевых игр и изучения окружающего мира.</t>
  </si>
  <si>
    <t>Набор игрушек «Большие игровые фигурки животных»</t>
  </si>
  <si>
    <t>д560</t>
  </si>
  <si>
    <t>Гимнастическое бревно используется для выполнения упражнений на равновесие и координацию движений. Представляет собой низкую напольную конструкцию с мягким покрытием. Верхняя часть выполнена из деревянного бруса с амортизирующим слоем и винилискожей. Длина изделия составляет не менее 5 м. Конструкция рассчитана на использование в помещениях.</t>
  </si>
  <si>
    <t>Бревно гимнастическое напольное мягкое</t>
  </si>
  <si>
    <t>д56</t>
  </si>
  <si>
    <t>Набор включает игровые элементы с бусинами, размещёнными на шнурках, предназначенные для выполнения действий по нанизыванию и сортировке. В процессе работы выполняется подбор элементов по форме и цвету, а также последовательное перемещение бусин по шнурку. Такие действия способствуют развитию мелкой моторики, координации движений и навыков классификации. В комплект входит не менее 70 элементов, а также шнурки и сумка для хранения.</t>
  </si>
  <si>
    <t>Набор игровых элементов с бусинами на шнурках</t>
  </si>
  <si>
    <t>д559</t>
  </si>
  <si>
    <t>Тематический игровой набор предназначен для сюжетно-ролевых игр и знакомства с элементами традиционного быта. Позволяет развивать речь, культурные представления, воображение и навыки построения сюжета. Конструкция устойчивая, элементы адаптированы для детской игры. Материал: дерево. Комплектация: юрта и элементы убранства (по набору).</t>
  </si>
  <si>
    <t>Набор игровой «Юрта и её убранство»</t>
  </si>
  <si>
    <t>д558</t>
  </si>
  <si>
    <t>Сюжетно-ролевой набор в формате кейса используется для игры «полиция/патруль», развития коммуникативных навыков и понимания социальных ролей. Формат «кейс» удобен для хранения и переноски, помогает поддерживать порядок в игровой зоне. Материал: пластик.</t>
  </si>
  <si>
    <t>Набор игровой «Полицейская машина-кейс»</t>
  </si>
  <si>
    <t>д557</t>
  </si>
  <si>
    <t>Игровой набор для сюжетов «службы спасения» развивает социальные навыки, умение договариваться, проигрывать ситуации помощи и безопасности. Подходит для групповой игры, включает элементы станции и аксессуары (по комплекту). Материал: дерево и пластик (по набору).</t>
  </si>
  <si>
    <t>Набор игровой «Пожарная станция»</t>
  </si>
  <si>
    <t>д556</t>
  </si>
  <si>
    <t>Набор фигурок динозавров предназначен для сюжетно-ролевых игр и занятий по окружающему миру. Помогает развивать воображение, связную речь, умение описывать и сравнивать объекты. Подходит для работы в мини-группах и индивидуально. Материал: пластик/полимер (по комплекту). Комплектация: 6 предметов.</t>
  </si>
  <si>
    <t>Набор игровой «Динозавры» (6 предметов)</t>
  </si>
  <si>
    <t>д555</t>
  </si>
  <si>
    <t>Обучающий игровой набор предназначен для формирования у детей первоначальных знаний о правилах дорожного движения. Используется в образовательной и игровой деятельности для моделирования дорожных ситуаций, развития внимания, логического мышления и навыков безопасного поведения. Напольное исполнение знаков позволяет использовать набор в подвижных и сюжетных играх, а также при проведении тематических занятий в ДОУ.</t>
  </si>
  <si>
    <t>Набор дорожных знаков детских напольных (75 см)</t>
  </si>
  <si>
    <t>д554</t>
  </si>
  <si>
    <t>Тематический набор предназначен для сюжетно-ролевых и познавательных игр. Используется для расширения знаний о домашних животных, развития речи, воображения и навыков сравнения. В набор входят фигурки животных среднего размера, что делает их удобными для демонстрации и самостоятельной игры детьми. Подходит для занятий по ознакомлению с окружающим миром.</t>
  </si>
  <si>
    <t>Набор домашних животных «Я играю в зоопарк» (6 фигур)</t>
  </si>
  <si>
    <t>д553</t>
  </si>
  <si>
    <t>Игровой набор фигурок домашних животных предназначен для познавательных и сюжетно-ролевых игр. Используется для ознакомления с животным миром, развития речи, классификации и формирования элементарных представлений об окружающей среде. Фигурки выполнены из эластичного безопасного материала, удобны для детской руки и подходят для систематического использования в условиях ДОУ.</t>
  </si>
  <si>
    <t>Набор домашних животных</t>
  </si>
  <si>
    <t>д552</t>
  </si>
  <si>
    <t>Сюжетно-ролевой набор предназначен для организации игр медицинской тематики в дошкольном учреждении. Используется для развития воображения, речи, эмоциональной отзывчивости и формирования первичных представлений о профессии врача. В комплект входят игровые медицинские инструменты и аксессуары, имитирующие работу врача. Все элементы размещаются в удобном пластиковом чемоданчике с ручкой, что облегчает хранение и переноску. Детали изготовлены из прочного безопасного пластика, не имеют острых краёв и адаптированы для детских игр.</t>
  </si>
  <si>
    <t>Набор доктора «Волшебная аптечка» в чемоданчике (25 предметов)</t>
  </si>
  <si>
    <t>д551</t>
  </si>
  <si>
    <t>Набор предназначен для метания колец на стойку/цель в подвижной игровой деятельности. В процессе игры выполняются действия на точность броска, прицеливание и контроль силы. Используется в помещении и на улице при организации двигательных игр. Материал изготовления — пластик, устойчивый к регулярному применению. Комплект включает основание и набор колец не менее 4–5 шт. (по типовой комплектации).</t>
  </si>
  <si>
    <t>Набор для подвижных игр «Кольцеброс»</t>
  </si>
  <si>
    <t>д550</t>
  </si>
  <si>
    <t>Біздің сүйікті қаламыз Алматы: деректі повесть</t>
  </si>
  <si>
    <t>д55</t>
  </si>
  <si>
    <t>Игровой набор для песочницы предназначен для активных и развивающих игр с песком. В комплект входят предметы для пересыпания, формования и перевозки песка (машинка, ведёрки, лопатка, формочки), что позволяет детям экспериментировать с формой, объёмом и текстурой. Набор способствует развитию мелкой и крупной моторики, координации движений, воображения и навыков совместной игры. Материал изготовления — прочный и безопасный пластик, устойчивый к воздействию влаги и загрязнений, пригодный для регулярного использования в условиях ДОУ.</t>
  </si>
  <si>
    <t>Набор для песочницы</t>
  </si>
  <si>
    <t>д549</t>
  </si>
  <si>
    <t>Игровой набор предназначен для организации сюжетных и развивающих игр с песком в условиях дошкольного учреждения и на открытом воздухе. Включает фигурки и элементы, позволяющие моделировать семейные и бытовые ситуации, развивать воображение, логическое мышление и координацию движений. Использование набора способствует формированию социальных навыков, мелкой моторики и пространственного мышления у детей дошкольного возраста. Материал изготовления — натуральное дерево с гладкой обработкой поверхности, безопасное для детей и устойчивое к активному использованию. Набор удобен для хранения и транспортировки, подходит для индивидуальных и групповых игр.</t>
  </si>
  <si>
    <t>Набор для песка «Семья»</t>
  </si>
  <si>
    <t>д548</t>
  </si>
  <si>
    <t>Научно-познавательный набор для знакомства с темой космоса и планет. Используется для демонстраций и самостоятельных опытов под контролем взрослого, развивает познавательный интерес, внимание и навыки следования инструкции. Материал: пластик/картон (элементы модели и материалы набора — по комплекту).</t>
  </si>
  <si>
    <t>Набор для опытов «Солнечная система»</t>
  </si>
  <si>
    <t>д547</t>
  </si>
  <si>
    <t>Роботизированный конструктор для образовательных занятий и проектной деятельности, предназначенный для сборки подвижных моделей на тему домашних животных. В процессе работы дети осваивают основы механики и простейшей робототехники: соединение модулей, построение устойчивых конструкций, понимание движения деталей (рычаги, передачи/шарниры — в зависимости от комплектации). Набор подходит для занятий в STEM/робоклассе и кружковой работы, развивает инженерное мышление, пространственное воображение, внимание, навык следования инструкции и командное взаимодействие. Материал: прочный пластик (конструктивные элементы), металлические крепёжные детали (при наличии), электронные компоненты (при наличии: мотор/блок управления/кабели). Комплектация: набор деталей для сборки нескольких моделей, элементы крепления, инструкция/методические карточки (по комплекту). Рекомендуемая организация хранения: контейнер/кейс с сортировкой деталей по секциям.</t>
  </si>
  <si>
    <t>Набор для конструирования роботизированный (тема «Домашние животные»)</t>
  </si>
  <si>
    <t>д546</t>
  </si>
  <si>
    <t>Набор предназначен для игр в песочнице и сенсорных занятий с песком. Развивает мелкую моторику, навыки лепки, воображение и базовые представления о форме/объёме. Рекомендуется использование с организацией места для хранения и регулярной санитарной обработкой. Материал: пластик (или дерево — по комплекту).</t>
  </si>
  <si>
    <t>Набор для игры с песком</t>
  </si>
  <si>
    <t>д545</t>
  </si>
  <si>
    <t>Сюжетно-ролевой набор для игры «Доктор» помогает ребёнку осваивать социальные роли, развивать речь, коммуникативные навыки и снижать тревожность перед медицинскими процедурами через игру. Предметы адаптированы для детей: безопасные формы, без острых кромок. Материал: пластик (основные элементы), текстиль (сумка/чехол — при наличии). Комплектация: 15 предметов (по списку набора).</t>
  </si>
  <si>
    <t>Набор для игры в доктора (15 предметов)</t>
  </si>
  <si>
    <t>д544</t>
  </si>
  <si>
    <t>Учебный набор колокольчиков предназначен для знакомства с высотой звука и простыми мелодиями. Используется в музыкальных занятиях для упражнений на слух, интервалы, последовательность нот и ансамблевую игру. Удобен для работы в малых группах. Материал: металл/пластик (корпус/ручки — по набору). Комплектация: 8 колокольчиков (8 тонов).</t>
  </si>
  <si>
    <t>Набор диатонических ручных колокольчиков (8 тонов)</t>
  </si>
  <si>
    <t>д543</t>
  </si>
  <si>
    <t>Набор включает ударные и шумовые музыкальные инструменты для звукового сопровождения и музыкальных занятий. В процессе использования извлекаются звуки различной высоты и тембра, что способствует развитию слухового восприятия и чувства ритма. Инструменты выполнены из дерева, металла и кожи. В комплект входит не менее 13 предметов, включая барабан, бубен, погремушки и колокольчики. Для хранения предусмотрена сумка.</t>
  </si>
  <si>
    <t>Набор детских ударных и шумовых музыкальных инструментов с сумкой</t>
  </si>
  <si>
    <t>д542</t>
  </si>
  <si>
    <t>Набор включает различные детские музыкальные инструменты для извлечения звуков и ритмического сопровождения. В процессе игры выполняются удары, встряхивание и подача звука разными способами. Такая деятельность способствует развитию слухового восприятия и чувства ритма. Материалы: дерево, металл и кожа. Количество предметов — не менее 33, предусмотрена сумка для хранения.</t>
  </si>
  <si>
    <t>Набор детских музыкальных инструментов (33 предмета)</t>
  </si>
  <si>
    <t>д541</t>
  </si>
  <si>
    <t>Комплект простых музыкальных инструментов предназначен для музыкально-ритмических игр, занятий по развитию слуха и чувства ритма. Используется в музыкальных занятиях, свободной деятельности и праздничных мероприятиях. Игра на инструментах способствует развитию координации движений, слухового восприятия и эмоциональной выразительности.</t>
  </si>
  <si>
    <t>Набор детских музыкальных инструментов</t>
  </si>
  <si>
    <t>д540</t>
  </si>
  <si>
    <t>под ред. Д. Ганеш (перевод Қарт Ұ.М.)</t>
  </si>
  <si>
    <t>Биология. Просто и легко</t>
  </si>
  <si>
    <t>д54</t>
  </si>
  <si>
    <t>Набор фигурок предназначен для сюжетно-ролевых, театрализованных и дидактических игр. Позволяет моделировать жизненные ситуации, развивать речь, воображение, социальные навыки и понимание мира животных/человека. Фигурки устойчивы, безопасны при использовании детьми. Материал: дерево, защитное покрытие лак (или аналогичное безопасное). Комплектация: 72 элемента (по описанию набора).</t>
  </si>
  <si>
    <t>Набор деревянных фигурок «Люди и животные»</t>
  </si>
  <si>
    <t>д539</t>
  </si>
  <si>
    <t>Сенсорный набор для пересыпания и переливания (крупы, песок, вода) предназначен для развития тактильных ощущений, мелкой моторики, точности движений и навыков самообслуживания. Используется в сенсорных лотках, на занятиях и в свободной игре, помогает тренировать аккуратность и концентрацию. Материал: дерево. Комплектация: набор из 8 предметов (черпаки/лопатки/ложки и др. — по комплекту).</t>
  </si>
  <si>
    <t>Набор деревянных сенсорных инструментов</t>
  </si>
  <si>
    <t>д538</t>
  </si>
  <si>
    <t>Математический развивающий набор для формирования представлений о количестве, счёте, сопоставлении «цифра–количество», а также для развития логики и внимания. Цветные элементы (бусины/фишки) используются для выкладывания заданий по образцу, сравнения и простых операций. Подходит для индивидуальной и подгрупповой работы. Материал: дерево (основа и элементы), картон (карточки).</t>
  </si>
  <si>
    <t>Набор деревянных игр для счета</t>
  </si>
  <si>
    <t>д537</t>
  </si>
  <si>
    <t>Набор искусственных фруктов и овощей применяется для оформления тематических зон и игровых пространств (магазин, кухня, витрина). Изделия имеют реалистичную окраску и фактуру, позволяющую использовать их как наглядные модели. Материал изготовления — пластик или аналогичный полимер, устойчивый к протиранию. Подходит для составления композиций и размещения в фруктовых вазах, на полках и демонстрационных столах. Рассчитан на многократное использование в помещении.</t>
  </si>
  <si>
    <t>Набор декоративных фруктов и овощей (искусственные)</t>
  </si>
  <si>
    <t>д536</t>
  </si>
  <si>
    <t>Набор натуральных гербарных образцов предназначен для познавательных занятий по окружающему миру и естествознанию. Помогает изучать разнообразие растений и их групп (водоросли, грибы, лишайники, мхи, папоротникообразные, голосеменные и покрытосеменные), сравнивать строение и признаки, формировать навыки наблюдения и описания. Материал: высушенные образцы на бумажной основе/в папках (по комплекту).</t>
  </si>
  <si>
    <t>Набор гербариев</t>
  </si>
  <si>
    <t>д535</t>
  </si>
  <si>
    <t>Демонстрационный набор предназначен для изучения базовых геометрических фигур и пространственных тел, а также для наглядного объяснения разверток (переход от плоской формы к объёмной). Используется на занятиях по математике/сенсорике, способствует развитию пространственного мышления, речи (описание формы, граней), навыков сравнения и классификации. Материал: плотный картон/пластик (в зависимости от комплектации).</t>
  </si>
  <si>
    <t>Набор геометрических фигур и разверток (демонстрационный)</t>
  </si>
  <si>
    <t>д534</t>
  </si>
  <si>
    <t>Развивающий набор для сборки и конструирования, направленный на тренировку мелкой моторики, силы пальцев, координации движений и понимания причинно-следственных связей (закручивание/откручивание). Цветовая маркировка помогает развивать восприятие цвета и навыки сортировки. Удобный контейнер обеспечивает хранение и профилактику потери деталей. Материал: пластик. Комплектация: гайки, болты, контейнер (по набору).</t>
  </si>
  <si>
    <t>Набор гаек и болтов</t>
  </si>
  <si>
    <t>д533</t>
  </si>
  <si>
    <t>Набор восковых карандашей предназначен для рисования и раскрашивания на бумаге и картоне в условиях ДОУ. Восковая основа обеспечивает мягкое и ровное нанесение цвета без сильного нажима, что удобно для детей дошкольного возраста. Карандаши подходят для развития мелкой моторики, координации «глаз–рука» и навыков штриховки. Материал: восковая основа с пигментами, бумажная обёртка (при наличии). Комплектация: 9 шт.</t>
  </si>
  <si>
    <t>Набор восковых карандашей (9 шт.)</t>
  </si>
  <si>
    <t>д532</t>
  </si>
  <si>
    <t>Используется для развития равновесия, координации движений и моторного контроля. Подходит для подвижных, физкультурных и коррекционных занятий.</t>
  </si>
  <si>
    <t>Набор балансирующих ступенек</t>
  </si>
  <si>
    <t>д531</t>
  </si>
  <si>
    <t>Набор моделей органов артикуляции предназначен для наглядного объяснения правильного положения языка, губ и зубов при постановке и автоматизации звуков. Комплект включает не менее 3 моделей (язык, зубной ряд, губы) либо комбинированную модель с выделенными элементами. Материал изделий — безопасный пластик или силикон, поверхность гладкая, допускает регулярную обработку и протирание. Модели используются логопедом для демонстрации движений и точек контакта, что облегчает понимание ребёнком инструкций. Пособие помогает формировать правильные артикуляционные уклады, развивает кинестетические ощущения и внимание к речевым движениям. Применяется в индивидуальной и подгрупповой работе с обязательным контролем специалиста.</t>
  </si>
  <si>
    <t>Набор анатомических моделей органов артикуляции: язык, зубы, губы</t>
  </si>
  <si>
    <t>д530</t>
  </si>
  <si>
    <t>Биология. Оңай әрі жеңіл</t>
  </si>
  <si>
    <t>д53</t>
  </si>
  <si>
    <t>Используется в сюжетно-ролевых и конструктивных играх. Способствует развитию воображения, пространственного мышления и навыков совместной деятельности. Короб обеспечивает удобное хранение элементов.</t>
  </si>
  <si>
    <t>Набор «Строительные машины» с коробом для хранения</t>
  </si>
  <si>
    <t>д529</t>
  </si>
  <si>
    <t>Развивающий игровой набор предназначен для организации подвижных и дидактических игр. Используется для развития координации движений, внимания, мелкой моторики и зрительно-моторной координации. В набор входят элементы тканевой игры, цветные рыбки и дополнительные игровые детали. Подходит для индивидуальной и совместной деятельности детей.</t>
  </si>
  <si>
    <t>Набор «Рыбалка»</t>
  </si>
  <si>
    <t>д528</t>
  </si>
  <si>
    <t>Предназначен для сюжетно-ролевых игр, моделирующих бытовые ситуации. Развивает речь, социальные навыки, воображение и элементарные математические представления.</t>
  </si>
  <si>
    <t>Набор «Большой супермаркет»</t>
  </si>
  <si>
    <t>д527</t>
  </si>
  <si>
    <t>Комплект предназначен для организации разнообразной двигательной и коррекционной деятельности, сенсорных и игровых упражнений.</t>
  </si>
  <si>
    <t>Мячи разных размеров (резиновые, мягкие, массажные)</t>
  </si>
  <si>
    <t>д526</t>
  </si>
  <si>
    <t>Применяется для активных игр и упражнений на развитие равновесия, координации и крупной моторики. Наличие ручки обеспечивает удобный и безопасный захват. Используется под контролем педагога.</t>
  </si>
  <si>
    <t>Мяч-прыгун с ручкой</t>
  </si>
  <si>
    <t>д525</t>
  </si>
  <si>
    <t>Используется для тактильной стимуляции, релаксации и развития мелкой моторики. Поверхность с мягкими шипами способствует активизации рецепторов и снятию напряжения.</t>
  </si>
  <si>
    <t>Мяч с шипами (сенсорный)</t>
  </si>
  <si>
    <t>д524</t>
  </si>
  <si>
    <t>Мяч малого диаметра для игр и упражнений на координацию и метание. Удобен для детской руки, хорошо отскакивает от поверхности.</t>
  </si>
  <si>
    <t>Мяч резиновый 100 мм</t>
  </si>
  <si>
    <t>д523</t>
  </si>
  <si>
    <t>Универсальный мяч для свободных игр и физических упражнений. Используется в помещении и на улице, сохраняет форму и упругость при активной эксплуатации.</t>
  </si>
  <si>
    <t>Мяч резиновый</t>
  </si>
  <si>
    <t>д522</t>
  </si>
  <si>
    <t>Лёгкий мяч для развивающих и координационных упражнений. Используется для развития реакции, внимания и мелкой моторики в дидактических и игровых заданиях.</t>
  </si>
  <si>
    <t>Мяч для настольного тенниса</t>
  </si>
  <si>
    <t>д521</t>
  </si>
  <si>
    <t>Предназначен для метательных упражнений и развития силы, координации и моторного контроля. Используется в спортивных и коррекционных занятиях.</t>
  </si>
  <si>
    <t>Мяч для метания</t>
  </si>
  <si>
    <t>д520</t>
  </si>
  <si>
    <t>Бизикуб представляет собой объёмную игровую конструкцию с размещёнными на гранях различными манипулятивными элементами. В процессе игры выполняются действия по вращению, открыванию и перемещению деталей. Такая деятельность способствует развитию мелкой моторики, сенсомоторной координации и концентрации внимания. Корпус выполнен из фанеры.</t>
  </si>
  <si>
    <t>Бизикуб с игровыми элементами</t>
  </si>
  <si>
    <t>д52</t>
  </si>
  <si>
    <t>Используется в упражнениях на развитие силы хвата, точности движений и реакции. Подходит для индивидуальной и групповой работы с детьми и взрослыми, безопасен при использовании в помещении.</t>
  </si>
  <si>
    <t>Мяч для большого тенниса (твёрдый)</t>
  </si>
  <si>
    <t>д519</t>
  </si>
  <si>
    <t>Предназначен для игровых и тренировочных упражнений, способствует развитию реакции, координации движений и навыков взаимодействия в группе. Устойчив к регулярной эксплуатации.</t>
  </si>
  <si>
    <t>Мяч волейбольный</t>
  </si>
  <si>
    <t>д518</t>
  </si>
  <si>
    <t>Используется для подвижных игр и физических упражнений, направленных на развитие ловкости, координации и командного взаимодействия. Подходит для занятий в помещении и на открытом воздухе.</t>
  </si>
  <si>
    <t>Мяч баскетбольный</t>
  </si>
  <si>
    <t>д517</t>
  </si>
  <si>
    <t>Предназначен для организации игровой, развивающей и двигательной деятельности. Материал гипоаллергенный, устойчивый к износу и прост в уходе. Размер 2,5x2м</t>
  </si>
  <si>
    <t>Мягкий напольный коврик размером 2,5х2 м, изготовлен из плотного, износостойкого и гипоаллергенного материала. Толщина покрытия обеспечивает высокую амортизацию и комфорт при ходьбе и играх. Поверхность коврика мягкая, нескользящая, легко очищается и устойчива к ежедневному использованию в детских учреждениях. Материал не впитывает влагу, сохраняет форму и цвет, безопасен для детей.</t>
  </si>
  <si>
    <t>Мягкий напольный коврик</t>
  </si>
  <si>
    <t>д515</t>
  </si>
  <si>
    <t>Используется для развивающих и двигательных игр, направленных на формирование пространственного мышления, координации движений и творческих навыков. Элементы безопасны, легко соединяются и подходят для групповой и индивидуальной работы.</t>
  </si>
  <si>
    <t>Мягкий конструктор</t>
  </si>
  <si>
    <t>д514</t>
  </si>
  <si>
    <t xml:space="preserve">Диван 2-местный. Размеры: 129x70x71 (ШхГхВ) </t>
  </si>
  <si>
    <t>Мягкий классический диван для индивидуального приёма у психолога</t>
  </si>
  <si>
    <t>д513</t>
  </si>
  <si>
    <t>Диван divan. Размеры 500x1200x600 мм</t>
  </si>
  <si>
    <t>Мягкий диван для ребёнка в кабинете психолога</t>
  </si>
  <si>
    <t>д512</t>
  </si>
  <si>
    <t>Предназначены для организации двигательной активности, сенсорных упражнений и построения игровых маршрутов. Набор включает элементы различной формы и размера, позволяя использовать их для лазания, балансировки и сюжетных игр. Наполнитель мягкий и упругий, поверхность износостойкая и пригодна для регулярной очистки.</t>
  </si>
  <si>
    <t>Мягкие модули (кубы, цилиндры, дорожки)</t>
  </si>
  <si>
    <t>д511</t>
  </si>
  <si>
    <t>Используются в игровой и развивающей деятельности для формирования моторики, сенсорного восприятия, представлений о форме и цвете. Кубики с тематическими изображениями выполнены из текстильных материалов с мягким наполнителем, безопасны при активной игре и падениях.</t>
  </si>
  <si>
    <t>Мягкие кубики</t>
  </si>
  <si>
    <t>д510</t>
  </si>
  <si>
    <t>Бизикуб выполнен в виде компактного игрового модуля с набором функциональных элементов на поверхностях. Используется для выполнения последовательных манипулятивных действий. В процессе взаимодействия формируются навыки координации движений и практического мышления. Конструкция выполнена из дерева, элементы закреплены стационарно. Подходит для индивидуальной игровой деятельности.</t>
  </si>
  <si>
    <t>Бизикуб развивающий «Классик»</t>
  </si>
  <si>
    <t>д51</t>
  </si>
  <si>
    <t>Предназначены для сюжетно-ролевых, коммуникативных и терапевтических игр с детьми дошкольного возраста. Используются для развития воображения, эмоциональной сферы, речи и социальных навыков. Изготовлены из мягких, безопасных материалов, не имеют острых элементов, подходят для ежедневного использования в условиях ДОУ.</t>
  </si>
  <si>
    <t>Мягкие игрушки для сюжетных игр</t>
  </si>
  <si>
    <t>д509</t>
  </si>
  <si>
    <t>Мягкие пуфики для комфортного чтения и отдыха. Лёгкие, безопасные, без острых углов. Форма — фигурная. Размер — 400–500 мм, высота 300–350 мм.</t>
  </si>
  <si>
    <t>Мягкие дизайнерские пуфики</t>
  </si>
  <si>
    <t>д508</t>
  </si>
  <si>
    <t>И.Крылов (перевод А.Асылбек)</t>
  </si>
  <si>
    <t>Мысалдар</t>
  </si>
  <si>
    <t>д507</t>
  </si>
  <si>
    <t>Қ.Баянбай</t>
  </si>
  <si>
    <t>Мұрагерім- балайқайым. Моим юным наследникам.</t>
  </si>
  <si>
    <t>д506</t>
  </si>
  <si>
    <t>Ведро для сбора отходов применяется в санитарно-бытовых и хозяйственных помещениях ДОУ. Обеспечивает соблюдение санитарно-гигиенических требований и организацию чистоты. Удобно для ежедневного использования и регулярной очистки.</t>
  </si>
  <si>
    <t>Мусорное ведро</t>
  </si>
  <si>
    <t>д505</t>
  </si>
  <si>
    <t>Предназначена для сбора отходов, используется в медицинском кабинете и вспомогательных помещениях.</t>
  </si>
  <si>
    <t>Мусорная корзина</t>
  </si>
  <si>
    <t>д504</t>
  </si>
  <si>
    <t>Набор муляжей используется в сюжетно-ролевых и дидактических играх, а также на занятиях по развитию речи и ознакомлению с окружающим миром. Позволяет знакомить детей с формой, цветом и названием продуктов питания. Применяется для игр «Магазин», «Кухня», «Питание», способствует развитию словарного запаса и воображения.</t>
  </si>
  <si>
    <t>Муляжи овощей и фруктов</t>
  </si>
  <si>
    <t>д503</t>
  </si>
  <si>
    <t>Музыкальная книга предназначена для раннего речевого и познавательного развития детей. Включает текстовый и звуковой материал, позволяющий в игровой форме знакомить ребёнка с животными и их средой обитания. Используется для развития слухового восприятия, внимания, памяти и словарного запаса. Применяется под контролем взрослого в индивидуальной работе и совместном чтении.</t>
  </si>
  <si>
    <t>Музыкальная книга «Кто где живёт?»</t>
  </si>
  <si>
    <t>д501</t>
  </si>
  <si>
    <t>Игровой микрофон используется для музыкальных и ролевых игр. Предназначен для имитации пения и выступлений. Материал изготовления — пластик, питание от аккумулятора.</t>
  </si>
  <si>
    <t>Музыкальная игрушка микрофон</t>
  </si>
  <si>
    <t>д500</t>
  </si>
  <si>
    <t>Бизиборд представляет собой настенную игровую панель с различными подвижными и функциональными элементами. В процессе взаимодействия выполняются действия по открыванию, вращению, переключению и перемещению деталей. Такая форма деятельности направлена на развитие мелкой моторики, координации движений и практических навыков обращения с предметами. Основа выполнена из дерева с элементами из пластика. Конструкция рассчитана на настенное размещение.</t>
  </si>
  <si>
    <t>Бизиборд настенный из дерева с игровыми элементами</t>
  </si>
  <si>
    <t>д50</t>
  </si>
  <si>
    <t>Ы.Алтынсарин</t>
  </si>
  <si>
    <t>"Кел, балалар, оқылық" өлендер жинағы</t>
  </si>
  <si>
    <t>д5</t>
  </si>
  <si>
    <t>Моя Родина – Казахстан (юрта)</t>
  </si>
  <si>
    <t>д499</t>
  </si>
  <si>
    <t>* В процессе занятий и благодаря книге «Речевое развитие» будет улучшаться речь ребёнка.
Какие книги входят в набор:
 - «Математические представления».
 - «Речевое развитие».
 - «Сенсорное развитие».
 - «Я сам».
 - «Книга для родителей».</t>
  </si>
  <si>
    <t>Монтессори для малышей, годовой курс, от 1 года до 6 лет,</t>
  </si>
  <si>
    <t>д498</t>
  </si>
  <si>
    <t>Развивающая деревянная игра предназначена для сенсорного и познавательного развития детей раннего и дошкольного возраста. Используется для обучения распознаванию цветов, форм и соотношения элементов по заданному признаку. В процессе игры развивается мелкая моторика, логическое мышление, внимание и координация рук. Комплект включает набор деревянных элементов, карточки с заданиями, стойки и шнурки для сортировки и нанизывания.</t>
  </si>
  <si>
    <t>Монтессори деревянная игра-головоломка «Цвет–форма»</t>
  </si>
  <si>
    <t>д497</t>
  </si>
  <si>
    <t>Крупное декоративно-лиственное растение используется для оформления предметно-пространственной среды дошкольного учреждения. Размещается в зонах отдыха, наблюдений и экологического воспитания. Способствует созданию благоприятного психологического климата, формированию эстетического восприятия и интереса к живой природе. Растение размещается вне зоны активных игр, в устойчивом кашпо, безопасном для детей.</t>
  </si>
  <si>
    <t>Монстера (крупное напольное растение)</t>
  </si>
  <si>
    <t>д496</t>
  </si>
  <si>
    <t>Напольный мольберт предназначен для рисования, письма и демонстрационных упражнений в группе. Конструкция двухсторонняя: одна сторона используется для рисования маркером/крепления магнитов, другая — для письма/рисования мелом или размещения бумаги (в зависимости от комплектации). Регулировка по высоте — не менее 2 положений, что позволяет адаптировать мольберт под рост детей. Материал стойки — дерево или аналогичный прочный материал, устойчивый к раскачиванию; углы и кромки обработаны для безопасного использования. Мольберт способствует развитию графомоторных навыков, координации, творческого воображения и навыков презентации работ. Предусмотрена полка/лоток для принадлежностей не менее 1 шт.</t>
  </si>
  <si>
    <t>Мольберт напольный двухсторонний регулируемый</t>
  </si>
  <si>
    <t>д495</t>
  </si>
  <si>
    <t>Мольберт предназначен для комплексной творческой деятельности: рисование, письмо, выкладывание магнитных элементов и работа с бумагой. Двусторонняя конструкция обеспечивает смену вида деятельности без переустановки оборудования, что удобно для подгруппы детей. Высота мольберта регулируется в пределах не менее 95–110 см, что позволяет использовать его детьми разного роста. Предусмотрены зажимы для фиксации листов и полка для хранения принадлежностей, а также ёмкости/баночки для краски (не менее 2 шт.) при наличии в комплекте. Поверхности рассчитаны на многократное стирание и регулярную очистку. Мольберт поддерживает развитие творческого мышления, планирования действий и представления результата через рисунок и схему.</t>
  </si>
  <si>
    <t>Мольберт магнитный многофункциональный с принадлежностями</t>
  </si>
  <si>
    <t>д494</t>
  </si>
  <si>
    <t>Детский мольберт предназначен для занятий рисованием и письмом в свободной деятельности и на занятиях. Рабочая поверхность размером не менее 480×630 мм позволяет ребёнку выполнять рисунки и задания в удобном масштабе. Конструкция складная, что упрощает хранение, при этом опоры обеспечивают устойчивость при использовании. Магнитная поверхность подходит для крепления карточек, букв и фигур, что расширяет дидактические возможности. Материалы мольберта допускают влажную обработку, кромки безопасно обработаны. Используется для развития графомоторики, зрительного контроля, аккуратности и самостоятельности.</t>
  </si>
  <si>
    <t>Мольберт детский складной, магнитная поверхность, размер не менее 480×630 мм</t>
  </si>
  <si>
    <t>д493</t>
  </si>
  <si>
    <t>Крупная мозаика предназначена для первых упражнений по выкладыванию рисунка и освоения принципа «часть-целое». В набор входит не менее 27 крупных элементов, удобных для захвата детской рукой и безопасных при игре. Основа и детали выполнены из прочного материала, поверхность гладкая, без острых кромок, допускает протирание. Сборка изображения «бабочка» помогает развивать координацию рук, различение форм и цветов, а также умение доводить задание до результата. Мозаика используется в индивидуальной и подгрупповой деятельности, подходит для спокойной игры за столом.</t>
  </si>
  <si>
    <t>Мозаика крупная «Бабочка», 27 элементов</t>
  </si>
  <si>
    <t>д491</t>
  </si>
  <si>
    <t>Классическая мозаика предназначена для составления рисунков и узоров из цветных элементов. В процессе игры выполняется подбор деталей по цвету и размещение на поле. Такая деятельность развивает координацию движений и устойчивость внимания. Комплект включает не менее 240 элементов и 2 игровых поля.</t>
  </si>
  <si>
    <t>Мозаика классическая, 240 элементов, 2 поля</t>
  </si>
  <si>
    <t>д490</t>
  </si>
  <si>
    <t>Қ.А.Ахетов</t>
  </si>
  <si>
    <t>Батпырауық</t>
  </si>
  <si>
    <t>д49</t>
  </si>
  <si>
    <t>Мозаика включает элементы для выкладывания узоров и изображений на игровых полях. В процессе работы выполняется размещение деталей в отверстиях и подбор по цвету. Такая деятельность способствует развитию мелкой моторики, зрительного восприятия и навыков составления простых композиций. В комплект входит не менее 240 элементов и 2 поля. Количество цветов — не менее 6.</t>
  </si>
  <si>
    <t>Мозаика детская, 240 элементов, 2 поля</t>
  </si>
  <si>
    <t>д489</t>
  </si>
  <si>
    <t>Развивающая рамка-вкладыш объединяет задания на размещение фигур, сортировку и шнурование. В процессе работы выполняются действия по подбору деталей по форме, размещению в отверстиях и продеванию шнурка. Такая деятельность развивает мелкую моторику, внимание и навыки соотнесения. Конструкция выполнена из дерева.</t>
  </si>
  <si>
    <t>Многофункциональная рамка-вкладыш «Часы» с элементами сортера и шнуровки</t>
  </si>
  <si>
    <t>д488</t>
  </si>
  <si>
    <t>Утяжелённые мешочки для упражнений и сенсорных игр. Используются для развития координации, тактильных ощущений и мышечного контроля.</t>
  </si>
  <si>
    <t>Мешочки с песком</t>
  </si>
  <si>
    <t>д487</t>
  </si>
  <si>
    <t>Текстильный мешочек для хранения мелких игрушек и дидактических материалов. Используется для поддержания порядка и удобной организации пространства.</t>
  </si>
  <si>
    <t>Мешочек для хранения игрушек</t>
  </si>
  <si>
    <t>д486</t>
  </si>
  <si>
    <t>Баскетбольное кольцо используется для организации подвижных игр с бросками мяча. Размещается на высоте, соответствующей использованию в детской среде. В процессе игры выполняются метательные движения и координация действий. Конструкция выполнена из прочного пластика и предназначена для эксплуатации в помещениях.</t>
  </si>
  <si>
    <t>Баскетбольное кольцо для подвижных игр</t>
  </si>
  <si>
    <t>д48</t>
  </si>
  <si>
    <t>Печатные и электронные материалы для педагогов и специалистов. Используются при планировании и проведении коррекционно-развивающих и образовательных занятий.</t>
  </si>
  <si>
    <t>Методические пособия</t>
  </si>
  <si>
    <t>д479</t>
  </si>
  <si>
    <t>Набор мерных ёмкостей для проведения опытов, экспериментов и занятий с песком, водой и другими материалами. Используется для формирования представлений об объёме и количестве.</t>
  </si>
  <si>
    <t>Мерные стаканы (набор)</t>
  </si>
  <si>
    <t>д478</t>
  </si>
  <si>
    <t>Менмендікті қалай жеңуге болады. Как преодолеть гордыню. How to overcome pride</t>
  </si>
  <si>
    <t>д477</t>
  </si>
  <si>
    <t>Менің Отаным – Қазақстан (юрта)</t>
  </si>
  <si>
    <t>д476</t>
  </si>
  <si>
    <t>Абай Кунанбаев</t>
  </si>
  <si>
    <t>Мен бір жұмбақ. Адаммын оны да ойла....</t>
  </si>
  <si>
    <t>д475</t>
  </si>
  <si>
    <t>Кэри Т.</t>
  </si>
  <si>
    <t>Мен баламды білемін бе? Бала психологиясы туралы ата-анаға көмек</t>
  </si>
  <si>
    <t>д474</t>
  </si>
  <si>
    <t>Мәнгілік тұлға - ұлы Абай (книга-альбом)</t>
  </si>
  <si>
    <t>д473</t>
  </si>
  <si>
    <t>Набор игрушечной специальной техники для моделирования трудовых и строительных процессов. Используется в сюжетно-ролевых играх и развивает представления о профессиях.</t>
  </si>
  <si>
    <t>Машинки спецтехника</t>
  </si>
  <si>
    <t>д472</t>
  </si>
  <si>
    <t>Набор деревянных машинок без механизма. Используется для сюжетно-ролевых игр и развития тактильных ощущений, воображения и мелкой моторики.</t>
  </si>
  <si>
    <t>Машинки деревянные</t>
  </si>
  <si>
    <t>д471</t>
  </si>
  <si>
    <t>Набор игрушечных машинок с простым механизмом движения. Используется для групповых игр, способствует развитию коммуникативных навыков и координации.</t>
  </si>
  <si>
    <t>Машинки (коллекция)</t>
  </si>
  <si>
    <t>д470</t>
  </si>
  <si>
    <t>Өтетілеуұлы Е.</t>
  </si>
  <si>
    <t>Баластан</t>
  </si>
  <si>
    <t>д47</t>
  </si>
  <si>
    <t>Развивающая игрушка для сборки транспортного средства. Используется для формирования навыков конструирования, развития логического мышления и мелкой моторики.</t>
  </si>
  <si>
    <t>Машинка-конструктор</t>
  </si>
  <si>
    <t>д469</t>
  </si>
  <si>
    <t>Инерционная игрушечная машина, используемая в сюжетных играх. Развивает воображение, мелкую моторику и интерес к техническим объектам.</t>
  </si>
  <si>
    <t>Машинка самосвал</t>
  </si>
  <si>
    <t>д468</t>
  </si>
  <si>
    <t>Игрушечная строительная техника с подвижными элементами. Применяется в игровых ситуациях, связанных со строительством, способствует развитию координации и пространственного мышления.</t>
  </si>
  <si>
    <t>Машинка с ковшом</t>
  </si>
  <si>
    <t>д467</t>
  </si>
  <si>
    <t>Игрушечный автомобиль с тематическим оформлением, световыми и звуковыми эффектами. Используется для сюжетно-ролевых игр, направленных на развитие социальных ролей и речи.</t>
  </si>
  <si>
    <t>Машинка полиция</t>
  </si>
  <si>
    <t>д466</t>
  </si>
  <si>
    <t>Игрушечный автобус с инерционным механизмом, световыми и звуковыми эффектами. Используется в сюжетно-ролевых играх для моделирования транспортных ситуаций и развития воображения.</t>
  </si>
  <si>
    <t>Машинка автобус</t>
  </si>
  <si>
    <t>д465</t>
  </si>
  <si>
    <t>Модель транспортного средства для игровых и коллекционных целей. Используется для расширения игровых сценариев и развития интереса к технике.</t>
  </si>
  <si>
    <t>Машинка (металлическая модель)</t>
  </si>
  <si>
    <t>д464</t>
  </si>
  <si>
    <t>Детская машинка-толокар, предназначенная для активных игр. Используется для развития общей моторики, координации и ориентации в пространстве.</t>
  </si>
  <si>
    <t>Машинка</t>
  </si>
  <si>
    <t>д463</t>
  </si>
  <si>
    <t>Набор детских машинок разных цветов для групповых и индивидуальных игр. Способствует развитию воображения, коммуникативных навыков и координации движений.</t>
  </si>
  <si>
    <t>Машина (набор машинок, мультиколор)</t>
  </si>
  <si>
    <t>д462</t>
  </si>
  <si>
    <t>Детская игрушечная машина для сюжетно-ролевых и свободных игр. Используется для развития воображения, координации движений и элементарных представлений о транспорте.</t>
  </si>
  <si>
    <t>Машина</t>
  </si>
  <si>
    <t>д461</t>
  </si>
  <si>
    <t>Защитные маты для размещения на полу и стенах спортивных и игровых зон. Используются для снижения травмоопасности и создания безопасной среды при активной двигательной деятельности детей.</t>
  </si>
  <si>
    <t>Маты настенные, напольные</t>
  </si>
  <si>
    <t>д460</t>
  </si>
  <si>
    <t>Балансировочные полусферы используются при выполнении упражнений на равновесие и устойчивость. Поверхность с выступами обеспечивает дополнительное тактильное воздействие при опоре. Применяются в двигательной активности и физических упражнениях. Размер каждой полусферы — не менее 16×16 см. В комплект входит 2 изделия.</t>
  </si>
  <si>
    <t>Балансировочные полусферы с массажной поверхностью</t>
  </si>
  <si>
    <t>д46</t>
  </si>
  <si>
    <t>Гимнастические маты используются для обеспечения мягкой и амортизирующей поверхности при выполнении упражнений. Складная конструкция облегчает хранение и транспортировку. Размер одного мата составляет не менее 180×80×10 см. Материалы обеспечивают защиту от ударов и предотвращают скольжение.</t>
  </si>
  <si>
    <t>Маты гимнастические складные</t>
  </si>
  <si>
    <t>д459</t>
  </si>
  <si>
    <t>Спортивные маты для занятий физической культурой и подвижных игр. Используются для обеспечения безопасности при выполнении гимнастических упражнений, перекатов и кувырков. Обладают оптимальной амортизацией и подходят для регулярной дезинфекции.</t>
  </si>
  <si>
    <t>Маты</t>
  </si>
  <si>
    <t>д458</t>
  </si>
  <si>
    <t>Деревянная разборная игрушка, используемая в игровой и образовательной деятельности. Применяется для развития мелкой моторики, логического мышления, навыков соотнесения размеров и знакомства с элементами народной культуры.</t>
  </si>
  <si>
    <t>Матрёшки</t>
  </si>
  <si>
    <t>д457</t>
  </si>
  <si>
    <t>Комплект материалов и инструментов для творческой и продуктивной деятельности детей дошкольного возраста. Используется для лепки, моделирования и изготовления поделок в рамках занятий по художественно-эстетическому развитию. Способствует развитию мелкой моторики, воображения, сенсорного восприятия и творческого мышления.</t>
  </si>
  <si>
    <t>Материалы и инструменты для поделок</t>
  </si>
  <si>
    <t>д456</t>
  </si>
  <si>
    <t>Комплекс принадлежностей для рисования и художественного творчества. Используется на занятиях по изобразительной деятельности и в свободной творческой работе детей.</t>
  </si>
  <si>
    <t>Материалы и инструменты для изобразительной деятельности</t>
  </si>
  <si>
    <t>д455</t>
  </si>
  <si>
    <t>Набор материалов для выполнения аппликаций и декоративных работ. Используется в изобразительной деятельности для развития фантазии, моторики и аккуратности.</t>
  </si>
  <si>
    <t>Материалы и инструменты для аппликации</t>
  </si>
  <si>
    <t>д454</t>
  </si>
  <si>
    <t xml:space="preserve"> цветная бумага, цветной и белый картон, ткань, клей, ножницы, клейкая лент</t>
  </si>
  <si>
    <t>Материалы и инструменты для апликации</t>
  </si>
  <si>
    <t>д453</t>
  </si>
  <si>
    <t>Материалы используются для выполнения упражнений, направленных на активизацию речевой деятельности. Применяются в индивидуальной и подгрупповой работе. В процессе использования выполняются задания на звукопроизношение, дыхание и артикуляцию. Рассчитаны на регулярное применение.</t>
  </si>
  <si>
    <t>Материалы для запуска речевой активности</t>
  </si>
  <si>
    <t>д452</t>
  </si>
  <si>
    <t>Деревянные пазлы для знакомства с числами и простыми арифметическими действиями. Используются для формирования элементарных математических представлений и логического мышления.</t>
  </si>
  <si>
    <t>Математические пазлы</t>
  </si>
  <si>
    <t>д451</t>
  </si>
  <si>
    <t>под ред. С. Маклауд (перевод Шаяхметов А)</t>
  </si>
  <si>
    <t>Математика. Просто и легко</t>
  </si>
  <si>
    <t>д450</t>
  </si>
  <si>
    <t>Набор балансировочных подушек используется для выполнения упражнений на развитие равновесия и устойчивости. Применяются в двигательной активности с различными вариантами опоры. Поверхность подушек обеспечивает нестабильную опору. Размер каждого изделия — не менее 16×16 см. Материалы рассчитаны на интенсивную эксплуатацию.</t>
  </si>
  <si>
    <t>Балансировочные подушки (набор)</t>
  </si>
  <si>
    <t>д45</t>
  </si>
  <si>
    <t>под ред. С. Маклауд (перевод Набиев Р.)</t>
  </si>
  <si>
    <t>Математика. Оңай әрі жеңіл</t>
  </si>
  <si>
    <t>д449</t>
  </si>
  <si>
    <t>Набор мячей с различной поверхностью для сенсорной стимуляции. Используется на занятиях по физическому развитию и релаксации. Способствует развитию тактильных ощущений.</t>
  </si>
  <si>
    <t>Массажные мячи разной формы и текстуры</t>
  </si>
  <si>
    <t>д448</t>
  </si>
  <si>
    <t>Воздушно-сушащаяся масса для лепки, предназначенная для творческих занятий. Используется без обжига, удобна для детского творчества. Способствует развитию моторики и воображения.</t>
  </si>
  <si>
    <t>Масса для лепки на водной основе</t>
  </si>
  <si>
    <t>д447</t>
  </si>
  <si>
    <t>Театральный набор с марионетками для постановки небольших спектаклей. Используется для развития речи, выразительности и коммуникативных навыков. Применяется в совместной деятельности с педагогом.</t>
  </si>
  <si>
    <t>Марионеточный театр</t>
  </si>
  <si>
    <t>д446</t>
  </si>
  <si>
    <t>Аудиооборудование для воспроизведения звуковых и музыкальных материалов. Используется на музыкальных занятиях, праздниках и в образовательной деятельности.</t>
  </si>
  <si>
    <t>Магнитофон</t>
  </si>
  <si>
    <t>д445</t>
  </si>
  <si>
    <t>Магнитный конструктор включает набор элементов для сборки различных конструкций. В процессе игры выполняется соединение деталей с помощью магнитных креплений и построение моделей. Такая деятельность способствует развитию пространственного мышления и координации движений. Количество элементов в наборе — не менее 40, возможны варианты комплектации до 100 деталей.</t>
  </si>
  <si>
    <t>Магнитный строительный конструктор (набор)</t>
  </si>
  <si>
    <t>д444</t>
  </si>
  <si>
    <t>Набор магнитных строительных элементов для образовательных и игровых занятий. Используется для развития STEM-навыков, воображения и пространственного мышления.</t>
  </si>
  <si>
    <t>Магнитный набор</t>
  </si>
  <si>
    <t>д443</t>
  </si>
  <si>
    <t>Развивающее пособие с магнитными элементами для соединения и построения конструкций. Используется для развития моторики, координации и логического мышления.</t>
  </si>
  <si>
    <t>Магнитные палочки</t>
  </si>
  <si>
    <t>д442</t>
  </si>
  <si>
    <t>Набор магнитных элементов для конструирования различных форм и моделей. Используется для развития пространственного мышления, логики и творческих способностей.</t>
  </si>
  <si>
    <t>Магнитные блоки (49 шт.)</t>
  </si>
  <si>
    <t>д441</t>
  </si>
  <si>
    <t>Развивающая игра с магнитными элементами, направленная на развитие координации движений и внимания. Используется в индивидуальной и подгрупповой игровой деятельности.</t>
  </si>
  <si>
    <t>Магнитная рыбалка</t>
  </si>
  <si>
    <t>д440</t>
  </si>
  <si>
    <t>Балансировочные дорожки используются для организации двигательной активности с элементами ходьбы и равновесия. Представляют собой последовательность элементов, по которым выполняется передвижение. Применяются для упражнений на координацию и устойчивость. Конструкция рассчитана на напольное размещение и использование в помещениях.</t>
  </si>
  <si>
    <t>Балансировочные дорожки</t>
  </si>
  <si>
    <t>д44</t>
  </si>
  <si>
    <t>Детская увеличительная лупа, предназначенная для обучающих и исследовательских игр. Используется для рассматривания мелких деталей и природных объектов. Способствует развитию познавательного интереса.</t>
  </si>
  <si>
    <t>Лупа детская увеличительная</t>
  </si>
  <si>
    <t>д439</t>
  </si>
  <si>
    <t>Оптический прибор для увеличения мелких объектов и изображений. Используется на занятиях по ознакомлению с окружающим миром и в исследовательской деятельности. Развивает наблюдательность и интерес к познанию.</t>
  </si>
  <si>
    <t>Лупа</t>
  </si>
  <si>
    <t>д438</t>
  </si>
  <si>
    <t>Предназначен для размещения инструментов и расходных материалов во время процедур.</t>
  </si>
  <si>
    <t>Лоток медицинский почкообразный</t>
  </si>
  <si>
    <t>д437</t>
  </si>
  <si>
    <t>Настольные пластиковые лотки для хранения документов и дидактических материалов. Используются для организации рабочего пространства педагога и поддержания порядка.</t>
  </si>
  <si>
    <t>Лотки пластиковые</t>
  </si>
  <si>
    <t>д436</t>
  </si>
  <si>
    <t>Логопедический тренажёр предназначен для формирования и автоматизации звуков, развития фонематического слуха и речи. Используется в индивидуальной и подгрупповой работе с детьми. Карточки соединены перекидным механизмом, материал износостойкий и удобный в использовании.</t>
  </si>
  <si>
    <t>Логопедический тренажёр перекидной</t>
  </si>
  <si>
    <t>д435</t>
  </si>
  <si>
    <t>Дыхательный логопедический тренажёр предназначен для развития силы и плавности воздушной струи, дыхания и голоса. Используется в логопедических, психологических и развивающих занятиях. Материал — дерево. В комплекте 2 шарика.</t>
  </si>
  <si>
    <t>Логопедический тренажёр «Аэробол»</t>
  </si>
  <si>
    <t>д434</t>
  </si>
  <si>
    <t>Набор игр и пособий для развития речи и коррекции звукопроизношения. Используются в индивидуальной и подгрупповой работе. Способствуют развитию фонематического слуха и речевого дыхания.</t>
  </si>
  <si>
    <t>Логопедические игры</t>
  </si>
  <si>
    <t>д433</t>
  </si>
  <si>
    <t>Дидактическое пособие для автоматизации звука и развития связной речи. Используется логопедом в коррекционных занятиях. Способствует развитию фонематического слуха и речевых навыков.</t>
  </si>
  <si>
    <t>Логопедическая игра «Фишки со звуком Л»</t>
  </si>
  <si>
    <t>д432</t>
  </si>
  <si>
    <t>Наборы развивающих игр из дерева, направленные на развитие мышления, памяти и внимания. Используются в индивидуальной и групповой работе с детьми. Способствуют формированию навыков анализа и решения задач.</t>
  </si>
  <si>
    <t>Логические деревянные игры</t>
  </si>
  <si>
    <t>д431</t>
  </si>
  <si>
    <t>Лестница-стремянка с 3–5 ступенями, предназначена для хозяйственных и обслуживающих работ в помещениях. Конструкция устойчивая, металлическая, с противоскользящими ступенями, обеспечивает безопасное использование.</t>
  </si>
  <si>
    <t>Лестница-стремянка</t>
  </si>
  <si>
    <t>д430</t>
  </si>
  <si>
    <t>Балансировочная подушка применяется при выполнении упражнений на равновесие и устойчивость. Используется как опора при стоянии, сидении и выполнении движений. Поверхность изделия обеспечивает нестабильную опору, стимулируя удержание баланса. Размер подушки составляет не менее 16×16 см. Материал водонепроницаемый и рассчитан на многократное использование.</t>
  </si>
  <si>
    <t>Балансировочная подушка</t>
  </si>
  <si>
    <t>д43</t>
  </si>
  <si>
    <t>Электронное методическое пособие по организации занятий по лепке для детей младшего возраста. Используется педагогами для планирования и проведения развивающих занятий, направленных на развитие моторики и творчества.</t>
  </si>
  <si>
    <t>Лепка (методическое руководство)</t>
  </si>
  <si>
    <t>д429</t>
  </si>
  <si>
    <t>Карен Бол (перевод Сужикова А., Асанова М.)</t>
  </si>
  <si>
    <t>Леонардо да Винчи. Leonardo da Vinci (каз., рус., англ.яз.)</t>
  </si>
  <si>
    <t>д428</t>
  </si>
  <si>
    <t>Акриловый лак на водной основе, предназначенный для защиты детских изделий и поделок. Используется в творческой деятельности для повышения износостойкости, защиты от влаги и придания аккуратного внешнего вида. Безопасен при использовании в детской среде.</t>
  </si>
  <si>
    <t>Лак защитный</t>
  </si>
  <si>
    <t>д427</t>
  </si>
  <si>
    <t>Қызғаныштан қалай құтыламын. Как побороть в себе зависть. How to remove jealousy</t>
  </si>
  <si>
    <t>д426</t>
  </si>
  <si>
    <t>Адапт. А. Файзуллаұлы</t>
  </si>
  <si>
    <t>Қыз Жiбек (рус.)</t>
  </si>
  <si>
    <t>д425</t>
  </si>
  <si>
    <t>Бейімдеген А.Файзуллаұлы</t>
  </si>
  <si>
    <t>Қыз Жiбек (каз.)</t>
  </si>
  <si>
    <t>д424</t>
  </si>
  <si>
    <t>Сборник детского фольклора, включающий потешки, скороговорки, загадки и пословицы. Используется для развития речи, дикции, памяти и знакомства с устным народным творчеством.</t>
  </si>
  <si>
    <t>Қуырмаш (тақпақтар, жаңылтпаштар, жұмбақтар мен мақал-мәтелдер)</t>
  </si>
  <si>
    <t>д423</t>
  </si>
  <si>
    <t>С.Раева</t>
  </si>
  <si>
    <t>Қуырмаш (тақпақтар, жаңылтпаштар, жұмбактар мен мақал-мәтелдер)</t>
  </si>
  <si>
    <t>д422</t>
  </si>
  <si>
    <t>Қош келдің, әз-Наурыз! (сандық- кітап)</t>
  </si>
  <si>
    <t>д421</t>
  </si>
  <si>
    <t>Бейімдеген Ш.Кумісбаев</t>
  </si>
  <si>
    <t>Қозы Корпеш - Баян сулу (каз., агылш.)</t>
  </si>
  <si>
    <t>д420</t>
  </si>
  <si>
    <t>Балансировочная доска используется для упражнений на удержание равновесия. В процессе выполнения заданий осуществляется контроль положения тела и координация движений. Конструкция выполнена с декоративными элементами в виде улитки и камней. Предназначена для сенсорных и двигательных упражнений.</t>
  </si>
  <si>
    <t>Балансировочная доска «Улитка»</t>
  </si>
  <si>
    <t>д42</t>
  </si>
  <si>
    <t>Адапт. Кумисбаев Ш.</t>
  </si>
  <si>
    <t>Қобыланды батыр (рус., англ.)</t>
  </si>
  <si>
    <t>д419</t>
  </si>
  <si>
    <t>Қобыланды батыр (каз., ағылш.)</t>
  </si>
  <si>
    <t>д418</t>
  </si>
  <si>
    <t>Қарақшылар туралы 10 оқиға</t>
  </si>
  <si>
    <t>д417</t>
  </si>
  <si>
    <t>Қалай сыпайы сөйлесуге болады. Как вести себя вежливо. How to speak well</t>
  </si>
  <si>
    <t>д416</t>
  </si>
  <si>
    <t>Тохтабаева Ш.</t>
  </si>
  <si>
    <t>Қазақтың кесте тігу өнері. Вышивальное искусство казахов. Embroidery art of Kazakhs</t>
  </si>
  <si>
    <t>д415</t>
  </si>
  <si>
    <t>Ш.Тохтабаева</t>
  </si>
  <si>
    <t>Қазақтың зергелік өнер. Ювелирное искусство казахов. Jeweler's art of Kazakhs (каз., рус., англ.яз.)</t>
  </si>
  <si>
    <t>д414</t>
  </si>
  <si>
    <t>Секеева А.М.</t>
  </si>
  <si>
    <t>Қазақтың дәстүрлі құрақ бұйымдары. Традиционные лоскутные изделия казахов. Kazakh traditional patchwork (каз., рус., англ.яз.)</t>
  </si>
  <si>
    <t>д413</t>
  </si>
  <si>
    <t>Жакишева З.</t>
  </si>
  <si>
    <t>Қазақтың дәстурлі музыкалық аспаптары</t>
  </si>
  <si>
    <t>д412</t>
  </si>
  <si>
    <t>К. Ахметжан</t>
  </si>
  <si>
    <t>Қазақтың дәстурлі кару-жарағының этнографиясы</t>
  </si>
  <si>
    <t>д411</t>
  </si>
  <si>
    <t>Кенжеахметұлы С.</t>
  </si>
  <si>
    <t>Қазақтың дарқан дастарқаны. Национальная кухня казахов</t>
  </si>
  <si>
    <t>д410</t>
  </si>
  <si>
    <t>Оспанова Б.</t>
  </si>
  <si>
    <t>Балаларға Қазақстан Республикасының Конституциясы туралы</t>
  </si>
  <si>
    <t>д41</t>
  </si>
  <si>
    <t>Якушкин В.</t>
  </si>
  <si>
    <t>Қазақстанның ғажайып табиғаты.Удивительная природа Казахстана The wondering nature of Kazakhstan (каз., рус., англ.яз.)</t>
  </si>
  <si>
    <t>д409</t>
  </si>
  <si>
    <t>Құрастарған К. Әлпейісова</t>
  </si>
  <si>
    <t>Қазақстан халқы ертегілері. 8-11 жас аралығындағы балаларға арналған</t>
  </si>
  <si>
    <t>д408</t>
  </si>
  <si>
    <t>Қазақстан халқы ертегілері. 4-7 жас аралығындағы балаларға арналған</t>
  </si>
  <si>
    <t>д407</t>
  </si>
  <si>
    <t>Қазақстан қорықтары. Заповедный Казахстан.Kazakhstan protected wilderness (каз,рус,англ)</t>
  </si>
  <si>
    <t>д406</t>
  </si>
  <si>
    <t>Қазақ халқының ұлттық киімдері. Национальная одежда казахского народа. National clofhes of Kazakh people (каз., рус., англ.яз.)</t>
  </si>
  <si>
    <t>д405</t>
  </si>
  <si>
    <t>С.Кенжеахметұлы</t>
  </si>
  <si>
    <t>Қазақ халқының тұрмысы мен мәдениеті. Быт и культура казахского народа. Life and culture of the Kazakh people (каз., рус., англ.яз.)</t>
  </si>
  <si>
    <t>д404</t>
  </si>
  <si>
    <t>С.Кенжеахметулы</t>
  </si>
  <si>
    <t>Қазақ халқының салт-дәстурлерi. Традиции и обряды казахского народа. Kazakh traditions and customs (каз., рус., англ.яз.)</t>
  </si>
  <si>
    <t>д403</t>
  </si>
  <si>
    <t>Ескендір-Эбдешев М.</t>
  </si>
  <si>
    <t>Қазақ портреттерінің тарихы. Көпшілік - танымдық басылым</t>
  </si>
  <si>
    <t>д402</t>
  </si>
  <si>
    <t>Қазақ оркестрі. Казахский оркестр (каз., рус., англ.яз.)</t>
  </si>
  <si>
    <t>д401</t>
  </si>
  <si>
    <t>сост.: Сужикова А.</t>
  </si>
  <si>
    <t>Қазақ мақал-мателдерi. Казахские пословицы и поговорки (каз., рус.яз.)</t>
  </si>
  <si>
    <t>д400</t>
  </si>
  <si>
    <t>Т. Молдағалиев</t>
  </si>
  <si>
    <t>Балаларға аманат</t>
  </si>
  <si>
    <t>д40</t>
  </si>
  <si>
    <t>Бенаги С.</t>
  </si>
  <si>
    <t>"Ақылды" боямақ. Фермада. "Умная" раскраска. Раскрась по коду. На ферме</t>
  </si>
  <si>
    <t>д4</t>
  </si>
  <si>
    <t>Құрастарған: Раева С.К</t>
  </si>
  <si>
    <t>Қазақ ертегілері.</t>
  </si>
  <si>
    <t>д399</t>
  </si>
  <si>
    <t>Двуязычный сборник сказок, используемый в образовательном процессе для знакомства детей с фольклором и культурным наследием. Способствует развитию речи, слухового восприятия и интереса к литературе.</t>
  </si>
  <si>
    <t>Қазақ ертегілері / Казахские сказки</t>
  </si>
  <si>
    <t>д398</t>
  </si>
  <si>
    <t>Сборник казахских народных сказок, предназначенный для чтения и обсуждения с детьми. Используется для развития речи, воображения и приобщения к национальной культуре. Подходит для образовательной и воспитательной работы.</t>
  </si>
  <si>
    <t>Қазақ ертегілері</t>
  </si>
  <si>
    <t>д397</t>
  </si>
  <si>
    <t>Шаймерденов Е.</t>
  </si>
  <si>
    <t>Қазақ афоризмдері</t>
  </si>
  <si>
    <t>д396</t>
  </si>
  <si>
    <t>Хаммонд Р.</t>
  </si>
  <si>
    <t>Күштін сыры неде? Қызықты физика</t>
  </si>
  <si>
    <t>д395</t>
  </si>
  <si>
    <t>М Айымбетов</t>
  </si>
  <si>
    <t>Күн нұрындай Күнікей</t>
  </si>
  <si>
    <t>д394</t>
  </si>
  <si>
    <t>под ред. Ш. Данфорд (перевод Асанова М.)</t>
  </si>
  <si>
    <t>Культурные сокровища мира</t>
  </si>
  <si>
    <t>д393</t>
  </si>
  <si>
    <t>Напольный кулер с функциями нагрева и охлаждения воды. Используется для поддержания питьевого режима в помещениях ДОУ. Конструкция обеспечивает удобство эксплуатации и безопасность при использовании взрослыми.</t>
  </si>
  <si>
    <t>Кулер для воды</t>
  </si>
  <si>
    <t>д392</t>
  </si>
  <si>
    <t>Кукольный театр предназначен для инсценировки сказки «Репка». Используется для разыгрывания последовательности событий и ролей персонажей. Управление куклами осуществляется с помощью рук. В комплект входит не менее 7 перчаточных кукол.</t>
  </si>
  <si>
    <t>Кукольный театр на руку «Репка»</t>
  </si>
  <si>
    <t>д391</t>
  </si>
  <si>
    <t>Кукольный театр включает набор перчаточных кукол для разыгрывания сказочного сюжета. В процессе игры выполняется управление куклами с помощью рук и воспроизведение диалогов. Используется для театрализованных занятий и игровых постановок. В комплект входит не менее 5 кукол.</t>
  </si>
  <si>
    <t>Кукольный театр на руку «Козлята и волк»</t>
  </si>
  <si>
    <t>д390</t>
  </si>
  <si>
    <t>Әлемнің ұлы кереметтері</t>
  </si>
  <si>
    <t>д39</t>
  </si>
  <si>
    <t>Деревянная марионетка для театрализованных и игровых занятий. Используется для развития координации движений, внимания и выразительности, а также для знакомства с основами кукольного театра. Применяется под контролем педагога.</t>
  </si>
  <si>
    <t>Кукольный клоун на верёвке (марионетка)</t>
  </si>
  <si>
    <t>д389</t>
  </si>
  <si>
    <t>Кукольный дом используется для сюжетно-ролевых игр с куклами. В процессе игры выполняется обустройство помещений и разыгрывание бытовых ситуаций. Конструкция включает несколько комнат и комплект мебели. Высота домика составляет не менее 70 см. Материал изготовления — дерево.</t>
  </si>
  <si>
    <t>Кукольный дом загородного типа</t>
  </si>
  <si>
    <t>д388</t>
  </si>
  <si>
    <t>Игровой кукольный дом с мебелью и аксессуарами, предназначенный для разыгрывания бытовых и семейных сюжетов. Используется для развития воображения, социальных навыков и понимания последовательности действий. Подходит для совместных игр нескольких детей.</t>
  </si>
  <si>
    <t>Кукольный дом</t>
  </si>
  <si>
    <t>д387</t>
  </si>
  <si>
    <t>Деревянная кукла-марионетка для театрализованных и игровых занятий. Используется для развития координации движений, внимания и выразительности. Подходит для совместной деятельности с педагогом.</t>
  </si>
  <si>
    <t>Кукольная марионетка (клоун)</t>
  </si>
  <si>
    <t>д386</t>
  </si>
  <si>
    <t>Набор кукол для организации сюжетно-ролевых игр в группах дошкольного возраста. Используются для моделирования социальных ситуаций, развития эмоционального интеллекта, речи и навыков взаимодействия. Подходят для индивидуальной и групповой игровой деятельности.</t>
  </si>
  <si>
    <t>Куклы</t>
  </si>
  <si>
    <t>д385</t>
  </si>
  <si>
    <t>Шарнирная кукла небольшого размера с аксессуарами, предназначенная для сюжетно-ролевых игр. Используется для разыгрывания современных социальных ролей, развития воображения, речи и коммуникативных навыков. Шарнирное строение позволяет менять позы и расширяет игровые сценарии.</t>
  </si>
  <si>
    <t>Кукла-малышка шарнирная бьюти-блогер</t>
  </si>
  <si>
    <t>д384</t>
  </si>
  <si>
    <t>Небольшая шарнирная кукла с аксессуарами для сюжетных игр. Используется в игровых сценариях, связанных с хобби и повседневной деятельностью. Поддерживает развитие фантазии и мелкой моторики.</t>
  </si>
  <si>
    <t>Кукла-малышка шарнирная</t>
  </si>
  <si>
    <t>д383</t>
  </si>
  <si>
    <t>Кукла с комплектом сменной одежды и аксессуаров. Используется для игр с переодеванием и сменой образов. Развивает мелкую моторику, воображение и навыки самостоятельности.</t>
  </si>
  <si>
    <t>Кукла с набором одежды</t>
  </si>
  <si>
    <t>д382</t>
  </si>
  <si>
    <t>Игровой набор, включающий куклу и элемент среды для передвижения. Используется в сюжетно-ролевых играх для формирования представлений о разнообразии жизненных ситуаций и социальной поддержке. Поддерживает развитие эмпатии и социальных навыков.</t>
  </si>
  <si>
    <t>Кукла с инвалидным креслом</t>
  </si>
  <si>
    <t>д381</t>
  </si>
  <si>
    <t>Кукла с элементом передвижения, применяемая в сюжетно-ролевых играх. Позволяет моделировать прогулки и бытовые ситуации. Развивает координацию движений и социальные навыки.</t>
  </si>
  <si>
    <t>Кукла пупс с коляской</t>
  </si>
  <si>
    <t>д380</t>
  </si>
  <si>
    <t>под ред. Ш. Данфорд (перевод Шарипова А.)</t>
  </si>
  <si>
    <t>Әлемнің мәдени жауһарлары</t>
  </si>
  <si>
    <t>д38</t>
  </si>
  <si>
    <t>Игровой набор, включающий куклу-пупса и предметы ухода. Используется для разыгрывания бытовых ситуаций. Развивает последовательность действий и ролевое мышление.</t>
  </si>
  <si>
    <t>Кукла пупс с аксессуарами</t>
  </si>
  <si>
    <t>д379</t>
  </si>
  <si>
    <t>Реалистичная кукла-пупс для игр, связанных с уходом и заботой. Используется в сюжетах «семья», «детский сад», «дом». Способствует развитию эмоциональной сферы и навыков заботы.</t>
  </si>
  <si>
    <t>Кукла пупс</t>
  </si>
  <si>
    <t>д378</t>
  </si>
  <si>
    <t>Кукла среднего размера, предназначенная для активных ролевых игр. Может использоваться в игровых ситуациях, связанных с семьёй, профессиями и бытом. Поддерживает развитие речи и воображения.</t>
  </si>
  <si>
    <t>Кукла пластмассовая для сюжетных игр</t>
  </si>
  <si>
    <t>д377</t>
  </si>
  <si>
    <t>Кукла увеличенного размера, предназначенная для сюжетно-ролевых игр и игровых ситуаций, связанных с общением и заботой. Используется в игровой среде для развития речи, эмоциональной отзывчивости и социальных навыков. Конструкция позволяет удерживать куклу в сидячем и стоячем положении.</t>
  </si>
  <si>
    <t>Кукла озвученная (52 см)</t>
  </si>
  <si>
    <t>д376</t>
  </si>
  <si>
    <t>Мягкая кукла из текстильных материалов, удобная для обнимания и спокойных игр. Используется в уголках уединения и сюжетных играх. Безопасна для детей младшего возраста.</t>
  </si>
  <si>
    <t>Кукла мягкая тряпичная</t>
  </si>
  <si>
    <t>д375</t>
  </si>
  <si>
    <t>Кукла для сюжетных и ролевых игр, отражающая образ мальчика в традиционной одежде. Используется для расширения представлений о культуре и социальных ролях. Подходит для совместной игровой деятельности.</t>
  </si>
  <si>
    <t>Кукла мальчик в национальном костюме</t>
  </si>
  <si>
    <t>д374</t>
  </si>
  <si>
    <t>Декоративно-игровая кукла небольшого размера, применяемая в оформлении тематических зон и аккуратных сюжетных играх. Используется для визуального знакомства с национальными костюмами. Требует бережного обращения.</t>
  </si>
  <si>
    <t>Кукла коллекционная в праздничном костюме</t>
  </si>
  <si>
    <t>д373</t>
  </si>
  <si>
    <t>Кукла с детализированным костюмом, предназначенная для демонстрационных и игровых целей. Применяется в культурно-образовательной среде. Может использоваться как элемент экспозиции или спокойной сюжетной игры.</t>
  </si>
  <si>
    <t>Кукла коллекционная в народном костюме</t>
  </si>
  <si>
    <t>д372</t>
  </si>
  <si>
    <t>Кукла с функцией воспроизведения звуков и фраз. Используется для стимулирования речевой активности и эмоционального отклика. Подходит для индивидуальной и совместной игры.</t>
  </si>
  <si>
    <t>Кукла говорящая</t>
  </si>
  <si>
    <t>д371</t>
  </si>
  <si>
    <t>Кукла в традиционном национальном костюме, используемая в сюжетных играх и тематических занятиях. Способствует знакомству детей с культурным разнообразием и традициями. Может применяться как игровая и демонстрационная единица.</t>
  </si>
  <si>
    <t>Кукла в национальном костюме (30 см)</t>
  </si>
  <si>
    <t>д370</t>
  </si>
  <si>
    <t>Әдептілік әдемілік</t>
  </si>
  <si>
    <t>д37</t>
  </si>
  <si>
    <t>Кукла для сюжетных и театрализованных игр с акцентом на культурную тематику. Используется для расширения кругозора и развития воображения. Подходит для групповой и индивидуальной игровой деятельности.</t>
  </si>
  <si>
    <t>Кукла в национальном костюме</t>
  </si>
  <si>
    <t>д369</t>
  </si>
  <si>
    <t>Кукла среднего размера в традиционной национальной одежде. Применяется в сюжетно-ролевых играх, тематических занятиях и культурных уголках. Конструкция позволяет переодевать куклу и менять игровые сценарии.</t>
  </si>
  <si>
    <t>Кукла в казахском национальном костюме (45 см)</t>
  </si>
  <si>
    <t>д368</t>
  </si>
  <si>
    <t>Классическая кукла в национальной одежде, предназначенная для тематических и сюжетных игр. Может использоваться как часть образовательной среды при знакомстве с народными традициями. Материалы устойчивы к регулярному использованию.</t>
  </si>
  <si>
    <t>Кукла в башкирском костюме</t>
  </si>
  <si>
    <t>д367</t>
  </si>
  <si>
    <t>Кукла для сюжетно-ролевых игр, отражающая разнообразие внешности. Используется для формирования толерантного восприятия и социальных навыков. Подходит для повседневной игровой среды.</t>
  </si>
  <si>
    <t>Кукла "Мулатка"</t>
  </si>
  <si>
    <t>д366</t>
  </si>
  <si>
    <t>Разноцветные кубики для свободной игры и первых конструктивных действий. Используются для развития моторики рук, зрительного восприятия и координации. Подходят для индивидуальной и групповой игровой деятельности.</t>
  </si>
  <si>
    <t>Кубики развивающие для малышей</t>
  </si>
  <si>
    <t>д365</t>
  </si>
  <si>
    <t>Набор кубиков увеличенного размера, удобных для захвата детской рукой. Применяется в раннем возрасте для освоения базовых форм, цветов и простых конструкций. Материал лёгкий, устойчивый к ударам, рассчитан на активное использование.</t>
  </si>
  <si>
    <t>Кубики для малышей, 16 элементов</t>
  </si>
  <si>
    <t>д364</t>
  </si>
  <si>
    <t>Набор разноцветных деревянных кубиков для свободного конструирования. Используется в самостоятельной и совместной игре для построения простых и сложных форм. Развивает пространственное мышление, координацию движений и навыки классификации по цвету и форме.</t>
  </si>
  <si>
    <t>Кубики деревянные «Классика»</t>
  </si>
  <si>
    <t>д363</t>
  </si>
  <si>
    <t>Деревянный кубик, размер не менее 70 × 70 × 70 мм, 1 штука в комплекте, предназначен для строительных и развивающих игр в детском саду. Используется в игровых и образовательных занятиях для формирования мелкой моторики, воображения, пространственного мышления и навыков конструирования у детей дошкольного возраста, способствует развитию координации движений и командной работы</t>
  </si>
  <si>
    <t>Кубики деревянные</t>
  </si>
  <si>
    <t>д362</t>
  </si>
  <si>
    <t>Крупные напольные растения используются для формирования визуального фона и зонирования пространства в интерьере. Размещаются вдоль стен, в углах помещений или за основными функциональными зонами, создавая ощущение уюта, завершённости и природной гармонии. Растения смягчают восприятие пространства, снижают визуальную перегруженность и способствуют формированию спокойной, комфортной атмосферы. Могут применяться как элемент экологического воспитания, а также как часть декоративного и сенсорного оформления среды. Подбираются с учётом устойчивости, безопасности и удобства ухода в условиях постоянного пребывания детей.</t>
  </si>
  <si>
    <t>Крупные напольные растения (задний план)</t>
  </si>
  <si>
    <t>д360</t>
  </si>
  <si>
    <t>Құрастырған З.Мүфтибекова</t>
  </si>
  <si>
    <t>Әдебиет әлеміне саяхат. Хрестоматия 2-4 сыныпка арналған</t>
  </si>
  <si>
    <t>д36</t>
  </si>
  <si>
    <t>Акриловые краски на водной основе, предназначенные для детского творчества. Безопасны, легко наносятся и быстро высыхают.</t>
  </si>
  <si>
    <t>Краски акриловые</t>
  </si>
  <si>
    <t>д358</t>
  </si>
  <si>
    <t>Ж.Смаков</t>
  </si>
  <si>
    <t>Көктем күні көнілді</t>
  </si>
  <si>
    <t>д357</t>
  </si>
  <si>
    <t>М.Әуезов</t>
  </si>
  <si>
    <t>Көксерек. Серый лютый (каз.рус.яз.)</t>
  </si>
  <si>
    <t>д356</t>
  </si>
  <si>
    <t>Набор доктора детский MEGA TOYS костюм врача для детей карнавальный для утренника, сада / 3 предмета медика (халат, колпак, игрушка стетоскоп)</t>
  </si>
  <si>
    <t>Костюм врача</t>
  </si>
  <si>
    <t>д355</t>
  </si>
  <si>
    <t>Костюм предназначен для сюжетно-ролевых игр, связанных с темой строительства и профессий. В комплект входят элементы рабочей формы и защитные аксессуары. Используется для разыгрывания строительных процессов, развития воображения и понимания трудовой деятельности взрослых.</t>
  </si>
  <si>
    <t>Костюм «Строитель»</t>
  </si>
  <si>
    <t>д354</t>
  </si>
  <si>
    <t>Праздничный костюм применяется в новогодних и зимних утренниках. Лёгкая текстильная конструкция не сковывает движений ребёнка. Используется в танцевальных номерах и театрализованных композициях, развивая чувство ритма и сценическую выразительность.</t>
  </si>
  <si>
    <t>Костюм «Снежинка»</t>
  </si>
  <si>
    <t>д353</t>
  </si>
  <si>
    <t>Театральный костюм используется в инсценировках сказок, праздниках и утренниках. Комплект включает платье и декоративные элементы образа. Способствует развитию художественно-эстетического восприятия, эмоциональной выразительности и ролевой игры.</t>
  </si>
  <si>
    <t>Костюм «Принцесса Золушка»</t>
  </si>
  <si>
    <t>д352</t>
  </si>
  <si>
    <t>Костюм предназначен для ролевых игр и тематических мероприятий, связанных с правилами поведения и безопасностью. В комплект входят элементы формы и игровые аксессуары. Используется для формирования представлений о профессии и социальных ролях.</t>
  </si>
  <si>
    <t>Костюм «Полицейский»</t>
  </si>
  <si>
    <t>д351</t>
  </si>
  <si>
    <t>Ашуды қалай жеңуге болады. Как подавить злость. How to control anger (каз., рус., англ.яз.)</t>
  </si>
  <si>
    <t>д35</t>
  </si>
  <si>
    <t>Игровой костюм используется в сюжетно-ролевых играх на тему кухни и быта. В комплект входят фартук и головной убор, выполненные из текстиля. Помогает моделировать бытовые ситуации, развивает социальное взаимодействие и речь.</t>
  </si>
  <si>
    <t>Костюм «Повар»</t>
  </si>
  <si>
    <t>д349</t>
  </si>
  <si>
    <t>Карнавальный костюм предназначен для тематических игр, занятий и театрализованных мероприятий, связанных с изучением темы космоса. Выполнен из текстильного материала на основе полиэстера, устойчивого к многократному использованию. Используется для развития познавательного интереса, воображения и сюжетно-ролевой игры. Подходит для участия в утренниках и образовательных проектах.</t>
  </si>
  <si>
    <t>Костюм «Космонавт / Космос»</t>
  </si>
  <si>
    <t>д348</t>
  </si>
  <si>
    <t>Карнавальный костюм применяется в ролевых играх медицинской тематики и в театрализованных постановках. Состоит из халата и головного убора, выполненных из текстиля. Используется для моделирования ситуаций заботы и помощи, развития речи, коммуникативных и социальных навыков.</t>
  </si>
  <si>
    <t>Костюм «Доктор / Врач»</t>
  </si>
  <si>
    <t>д347</t>
  </si>
  <si>
    <t>Карнавальный костюм предназначен для участия в сказочных постановках и игровых сценках. Выполнен из искусственного меха и текстильных материалов, включает элементы маски и одежды персонажа. Используется для развития актёрских навыков, мимики и образного мышления.</t>
  </si>
  <si>
    <t>Костюм «Волк»</t>
  </si>
  <si>
    <t>д346</t>
  </si>
  <si>
    <t>Предназначена для стерилизации и хранения большего объёма медицинских инструментов и материалов.</t>
  </si>
  <si>
    <t>Коробка стерилизационная круглая (бикс) большая</t>
  </si>
  <si>
    <t>д345</t>
  </si>
  <si>
    <t>Используется для стерилизации и хранения медицинских инструментов.</t>
  </si>
  <si>
    <t>Коробка стерилизационная круглая (бикс)</t>
  </si>
  <si>
    <t>д344</t>
  </si>
  <si>
    <t>Деревянная коробка предназначена для организации теневого театра. Используется в театрализованной и образовательной деятельности детей, способствует развитию речи, воображения и творческих навыков. Материал — дерево, конструкция устойчивая и безопасная.</t>
  </si>
  <si>
    <t>Коробка для теневого театра</t>
  </si>
  <si>
    <t>д343</t>
  </si>
  <si>
    <t>Архивная коробка из плотного картона используется для хранения документации, методических материалов и наглядных пособий. Формат А4 обеспечивает удобство размещения папок и листовых материалов без сгибов. Подходит для систематизации документов в административных и методических помещениях.</t>
  </si>
  <si>
    <t>Коробка архивная формата А4</t>
  </si>
  <si>
    <t>д342</t>
  </si>
  <si>
    <t>Набор корзин предназначен для хранения и систематизации спортивного инвентаря в физкультурных и игровых зонах. Позволяет разделять мячи по видам и размерам, поддерживая порядок в помещении. Использование корзин способствует формированию у детей навыков организации пространства и аккуратного обращения с оборудованием.</t>
  </si>
  <si>
    <t>Корзины для мячей (комплект / разные типы)</t>
  </si>
  <si>
    <t>д341</t>
  </si>
  <si>
    <t>Компактная корзина предназначена для хранения и переноски небольших спортивных мячей во время занятий и подвижных игр. Размер изделия не менее 30 см по длине, что обеспечивает удобство размещения инвентаря. Жёсткая конструкция сохраняет форму и облегчает сортировку мячей после занятий. Используется педагогом или детьми под контролем взрослого.</t>
  </si>
  <si>
    <t>Корзина для теннисных мячей</t>
  </si>
  <si>
    <t>д340</t>
  </si>
  <si>
    <t>Имаханбет Р.С.</t>
  </si>
  <si>
    <t>Ахмет. Гордость нации</t>
  </si>
  <si>
    <t>д34</t>
  </si>
  <si>
    <t>Контейнер для мусора с педальным механизмом открывания крышки. Обеспечивает гигиеничное использование без контакта рук с крышкой.</t>
  </si>
  <si>
    <t>Корзина для мусора с педалью</t>
  </si>
  <si>
    <t>д339</t>
  </si>
  <si>
    <t>Сетчатая корзина для бумаги, обеспечивает вентиляцию и визуальный контроль наполнения. Используется в кабинетах и рабочих зонах.</t>
  </si>
  <si>
    <t>Корзина для мусора (сетчатая)</t>
  </si>
  <si>
    <t>д338</t>
  </si>
  <si>
    <t>Лёгкая пластиковая корзина для сбора бытового мусора и бумажных отходов. Подходит для использования в учебных и административных помещениях.</t>
  </si>
  <si>
    <t>Корзина для мусора (пластиковая)</t>
  </si>
  <si>
    <t>д337</t>
  </si>
  <si>
    <t>Детская игрушка в виде корабля с элементами трансформации и игровыми функциями. Используется в сюжетно-ролевых играх, способствует развитию воображения и моторики.</t>
  </si>
  <si>
    <t>Кораблик (игрушка)</t>
  </si>
  <si>
    <t>д336</t>
  </si>
  <si>
    <t>Напольная координационная дорожка, предназначенная для упражнений на развитие ловкости, баланса и двигательной координации. Используется в спортивных и игровых занятиях.</t>
  </si>
  <si>
    <t>Координационная лестница напольная</t>
  </si>
  <si>
    <t>д335</t>
  </si>
  <si>
    <t>Спортивные пластиковые конусы с боковыми отверстиями, позволяющими создавать комбинированные препятствия и тренировочные элементы. Применяются для развития координации и ориентации в пространстве.</t>
  </si>
  <si>
    <t>Конусы с отверстиями для спортивных тренировок</t>
  </si>
  <si>
    <t>д334</t>
  </si>
  <si>
    <t>Набор конусов и фишек для разметки пространства при проведении подвижных и спортивных игр. Используются для обозначения маршрутов, границ и игровых зон.</t>
  </si>
  <si>
    <t>Конусы и фишки для разметки</t>
  </si>
  <si>
    <t>д333</t>
  </si>
  <si>
    <t>Плоские пластиковые контейнеры с крышкой, предназначенные для хранения мелких предметов, канцелярии и дидактических материалов. Компактный формат позволяет эффективно использовать полки и ящики.</t>
  </si>
  <si>
    <t>Контейнеры для хранения</t>
  </si>
  <si>
    <t>д332</t>
  </si>
  <si>
    <t>Пластиковый контейнер, предназначенный для хранения и сортировки учебных, игровых и хозяйственных материалов. Лёгкий, прочный, устойчивый к влаге, удобен для регулярного использования в образовательной среде.</t>
  </si>
  <si>
    <t>Контейнер пластиковый</t>
  </si>
  <si>
    <t>д331</t>
  </si>
  <si>
    <t>Контейнер для мусора 120 л с педалью. Открывание крышки без использования рук с помощью широкой педали идеально исключает контакт бака и рук. Плотно закрывающаяся крышка предотвращает распространение запахов. Гладкая поверхность пластика обеспечивает легкость мытья</t>
  </si>
  <si>
    <t>Контейнер для мусора 120 л с педалью</t>
  </si>
  <si>
    <t>д330</t>
  </si>
  <si>
    <t>Ахмет. Алаш ардақтысы</t>
  </si>
  <si>
    <t>д33</t>
  </si>
  <si>
    <t>Конструкторная настенная панель предназначена для сборки конструкций, моделирования ситуаций, развития воображения и мелкой моторики. Оснащена встроенным контейнером для хранения элементов. Размер около 1000 × 1500 мм.</t>
  </si>
  <si>
    <t>Конструкторная панель</t>
  </si>
  <si>
    <t>д329</t>
  </si>
  <si>
    <t>Конструктор из трубок и соединительных элементов для сборки пространственных конструкций. Используется для развития логического мышления, понимания принципов соединения и причинно-следственных связей.</t>
  </si>
  <si>
    <t>Конструктор трубки</t>
  </si>
  <si>
    <t>д328</t>
  </si>
  <si>
    <t>Набор крупных пластиковых и деревянных элементов, предназначенный для безопасной сборки объёмных конструкций. Развивает координацию, внимание и навыки совместной деятельности.</t>
  </si>
  <si>
    <t>Конструктор с крупными деталями</t>
  </si>
  <si>
    <t>д327</t>
  </si>
  <si>
    <t>Универсальный набор для конструирования, сочетающий различные типы материалов. Позволяет варьировать сложность заданий и использовать конструктор в обучающих и игровых целях.</t>
  </si>
  <si>
    <t>Конструктор с деревянными или пластмассовыми деталями</t>
  </si>
  <si>
    <t>д326</t>
  </si>
  <si>
    <t>Конструктор из мягкого вспененного материала, безопасный для активной игры. Используется для построения объёмных форм, развития крупной моторики и пространственного восприятия. Подходит для младшего возраста.</t>
  </si>
  <si>
    <t>Конструктор мягкий</t>
  </si>
  <si>
    <t>д325</t>
  </si>
  <si>
    <t>Многоэлементный набор крупноразмерных деталей для свободного и сюжетного конструирования. Подходит для индивидуальной и групповой игры, способствует развитию инженерного мышления, воображения и навыков сотрудничества.</t>
  </si>
  <si>
    <t>Конструктор крупный детский</t>
  </si>
  <si>
    <t>д324</t>
  </si>
  <si>
    <t>Развивающий набор из крупных цветных деревянных блоков, предназначенных для построения простых и сложных конструкций. Способствует формированию представлений о форме, цвете и пространстве, развитию моторики и фантазии.</t>
  </si>
  <si>
    <t>Конструктор деревянный цветной (65 деталей)</t>
  </si>
  <si>
    <t>д323</t>
  </si>
  <si>
    <t>Набор деревянных деталей различной формы для свободного конструирования. Используется для развития творческого мышления, координации рук и глаз, а также навыков планирования и устойчивости построек.</t>
  </si>
  <si>
    <t>Конструктор деревянный (100 элементов)</t>
  </si>
  <si>
    <t>д322</t>
  </si>
  <si>
    <t>Развивающий конструктор из прочного пластика, предназначенный для детей младшего и среднего дошкольного возраста. Крупные элементы удобны для захвата и безопасны в использовании. Используется для свободного и направленного конструирования, способствует развитию координации движений, воображения, сенсорного восприятия формы и цвета, а также формированию навыков совместной игровой деятельности. Подходит для индивидуальных и групповых занятий.</t>
  </si>
  <si>
    <t>Конструктор блочный с крупными деталями</t>
  </si>
  <si>
    <t>д321</t>
  </si>
  <si>
    <t>Тематический деревянный конструктор для моделирования сельскохозяйственных сюжетов. Способствует развитию речи, воображения, сюжетного мышления и познавательного интереса к окружающему миру.</t>
  </si>
  <si>
    <t>Конструктор «Ферма»</t>
  </si>
  <si>
    <t>д320</t>
  </si>
  <si>
    <t>Аптечка первой помощи предназначена для оказания первичной медицинской помощи в экстренных ситуациях. Содержит набор медицинских средств для обработки ран и оказания неотложной помощи. Используется в соответствии с установленными правилами. Рассчитана на хранение и применение в помещениях.</t>
  </si>
  <si>
    <t>Аптечка первой помощи</t>
  </si>
  <si>
    <t>д32</t>
  </si>
  <si>
    <t>Развивающий блочный конструктор из безопасного полимерного материала, предназначенный для детей дошкольного возраста. Набор включает элементы для сборки транспортного средства и дополнительных игровых объектов, что позволяет моделировать различные сюжетные ситуации. В процессе игры развиваются мелкая моторика, пространственное мышление, логика, навыки конструирования и планирования. Детали прочные, с гладкой обработкой краёв, рассчитаны на многократную сборку и разборку в условиях образовательной среды.</t>
  </si>
  <si>
    <t>Конструктор «Транспортная машина для мотоциклов»</t>
  </si>
  <si>
    <t>д319</t>
  </si>
  <si>
    <t>Тематический конструктор для создания игровых сцен и персонажей. Используется для театрализованных игр, развития речи, воображения и коммуникативных навыков.</t>
  </si>
  <si>
    <t>Конструктор «Сказка-театр»</t>
  </si>
  <si>
    <t>д318</t>
  </si>
  <si>
    <t>Развивающий конструктор предназначен для формирования пространственного мышления, логики, воображения и мелкой моторики. Используется в индивидуальной и групповой игровой деятельности детей дошкольного возраста.</t>
  </si>
  <si>
    <t>Конструктор «Сәулетші»</t>
  </si>
  <si>
    <t>д317</t>
  </si>
  <si>
    <t>Набор элементов различной формы, имитирующих природные камни. Используется для упражнений на баланс, устойчивость и концентрацию внимания. Развивает пространственное мышление, терпение и координацию движений.</t>
  </si>
  <si>
    <t>Конструктор «камни»</t>
  </si>
  <si>
    <t>д316</t>
  </si>
  <si>
    <t>Токтабай А.</t>
  </si>
  <si>
    <t>Конный мир казахов</t>
  </si>
  <si>
    <t>д315</t>
  </si>
  <si>
    <t>Вордерман К.</t>
  </si>
  <si>
    <t>Компьютерлік программалау. Балаларға арналған</t>
  </si>
  <si>
    <t>д314</t>
  </si>
  <si>
    <t>Комплект текстильных принадлежностей для оснащения спальных зон. Предназначен для ежедневного использования, обеспечивает гигиеничность, комфорт и простоту ухода. Подходит для детских учреждений и регулярной санитарной обработки.</t>
  </si>
  <si>
    <t>Комплект постельного белья</t>
  </si>
  <si>
    <t>д313</t>
  </si>
  <si>
    <t>Комплект мягкой мебели, состоящий из дивана и кресла, предназначенный для детских и игровых зон. Высота изделий 20–40 см, оптимальна для детей. Конструкция выполнена с использованием экокожи или моющейся ткани, что обеспечивает лёгкость ухода, износостойкость и долговечность.</t>
  </si>
  <si>
    <t>Комплект мягкой мебели</t>
  </si>
  <si>
    <t>д312</t>
  </si>
  <si>
    <t>Комплект включает не менее 15 книг со сказками и другими произведениями, включая издания с озвучиванием (при наличии). Используется для чтения, прослушивания и обсуждения сюжетов. Подходит для организации книжного уголка и тематических занятий. Рассчитан на регулярное использование.</t>
  </si>
  <si>
    <t>Комплект книг (сказки, в том числе говорящие), не менее 15 шт.</t>
  </si>
  <si>
    <t>д311</t>
  </si>
  <si>
    <t>Карточки используются для упражнений на называние, описание и подбор по признакам. Тематика включает предметы, животных и действия. Применяется для игр на классификацию и составление фраз. Карточки рассчитаны на регулярное использование.</t>
  </si>
  <si>
    <t>Комплект карточек с изображениями (предметы/действия/животные)</t>
  </si>
  <si>
    <t>д310</t>
  </si>
  <si>
    <t>Аптечка предназначена для хранения медицинских изделий и средств первой необходимости. Используется для оперативного доступа к медицинским принадлежностям. Комплектуется в соответствии с установленными требованиями. Предназначена для размещения в помещениях учреждения.</t>
  </si>
  <si>
    <t>Аптечка</t>
  </si>
  <si>
    <t>д31</t>
  </si>
  <si>
    <t>Методический книжный комплект для логопедической работы с детьми. Содержит материалы по развитию артикуляционной моторики, фонематического восприятия, лексико-грамматического строя речи и связной речи. Используется для индивидуальных и подгрупповых занятий, а также в коррекционно-развивающей практике.</t>
  </si>
  <si>
    <t>Комплект из 10 книг «Уроки логопеда»</t>
  </si>
  <si>
    <t>д309</t>
  </si>
  <si>
    <t>Набор миниатюрных предметов мебели и бытовых аксессуаров, предназначенный для сюжетно-ролевых и коррекционно-развивающих занятий. Позволяет моделировать повседневные жизненные ситуации, развивать социальные навыки, речь, эмоциональный интеллект и навыки взаимодействия. Используется в психологических и игровых кабинетах.</t>
  </si>
  <si>
    <t>Комплект игрушечной мебели и домашнего оборудования</t>
  </si>
  <si>
    <t>д308</t>
  </si>
  <si>
    <t>Набор цветных прозрачных фильтров, предназначенных для изучения основных и составных цветов спектра. Применяется в развивающих, сенсорных и экспериментальных зонах для формирования цветоразличения, зрительного восприятия и элементарных представлений о свойствах света. Материалы безопасны для детского использования, фильтры подходят для индивидуальной и групповой работы.</t>
  </si>
  <si>
    <t>Комплект безопасных световых фильтров для изучения цветов спектра</t>
  </si>
  <si>
    <t>д307</t>
  </si>
  <si>
    <t>Сенсорный светодинамический комплект, включающий три воздушно-пузырьковые колонны высотой 1,5 м и диаметром 10 см каждая, мягкое объединяющее основание и комплект зеркальных панелей. Используется для известной релаксации, визуальной стимуляции, развития внимания и снижения эмоционального напряжения. Конструкция устойчивая, предназначена для стационарного размещения в сенсорных и психологических зонах.</t>
  </si>
  <si>
    <t>Комплект «Трио»</t>
  </si>
  <si>
    <t>д306</t>
  </si>
  <si>
    <t>Коляска предназначена для сюжетно-ролевой игры «уход за малышом-куклой» с возможностью переноски куклы в люльке. Съёмная люлька используется отдельно как переноска/кроватка для куклы, что расширяет игровые сценарии. Колёса обеспечивают устойчивость и плавный ход, конструкция подходит для перемещения по полу. Каркас складной, что облегчает хранение; ручка регулируемая и подходит детям разного роста. Внутри люльки предусмотрены ремешки для фиксации куклы во время игры.</t>
  </si>
  <si>
    <t>Коляска для куклы с люлькой (со съёмной корзиной)</t>
  </si>
  <si>
    <t>д305</t>
  </si>
  <si>
    <t>Игровая коляска используется как атрибут сюжетно-ролевых игр по уходу за куклой. В процессе игры выполняются действия по перевозке, укладыванию и «прогулке», что поддерживает развитие ролевых сценариев. Каркас изготовлен из металла, элементы — из пластика и текстиля. Конструкция должна быть устойчивой, с колёсами, обеспечивающими плавное перемещение. Цветовое исполнение — фиолетовый и красный (или близкий вариант по партии).</t>
  </si>
  <si>
    <t>Коляска для куклы игровая (металл/пластик/текстиль)</t>
  </si>
  <si>
    <t>д304</t>
  </si>
  <si>
    <t>Колокольчик используется как ударный музыкальный инструмент для извлечения звука при встряхивании. Применяется в ритмических упражнениях и музыкальных играх. Корпус выполнен из металла и пластика, что обеспечивает прочность и удобство удержания. Габариты изделия составляют не менее 6,5×6,5×12 см. Рассчитан на многократное использование в помещении.</t>
  </si>
  <si>
    <t>Колокольчик детский (металл/пластик)</t>
  </si>
  <si>
    <t>д303</t>
  </si>
  <si>
    <t>Нержавеющая сталь 430; Толщина  полиэтилена: 10 cm; С бортиком, без полки; Параметры: 700x700x850 мм</t>
  </si>
  <si>
    <t>Колода для рубки мяса верх пэ ce-ekp70x70</t>
  </si>
  <si>
    <t>д302</t>
  </si>
  <si>
    <t>Набор образцов тканей используется для тактильного сравнения материалов и изучения их свойств (плотность, гладкость, фактура). Применяется при занятиях по ознакомлению с материалами и в творческих заданиях. Длина одного отреза ткани — не менее 1 м (при поставке единицей товара). Цветовая гамма допускает различные варианты по ассортименту.</t>
  </si>
  <si>
    <t>Коллекция тканей (набор образцов)</t>
  </si>
  <si>
    <t>д301</t>
  </si>
  <si>
    <t>Коллекция предназначена для ознакомления с разнообразием семян и плодов и их внешними признаками. Используется как демонстрационный материал при тематических занятиях и наблюдениях. В составе набора должны быть образцы разных форм и размеров для сравнения и классификации. Элементы размещаются в контейнере/коробке для хранения и систематизации. Материал рассчитан на многократное использование в помещении.</t>
  </si>
  <si>
    <t>Коллекция семян и плодов (демонстрационный набор)</t>
  </si>
  <si>
    <t>д300</t>
  </si>
  <si>
    <t>Олдершоу К.</t>
  </si>
  <si>
    <t>Антология планеты земля</t>
  </si>
  <si>
    <t>д30</t>
  </si>
  <si>
    <t>"Ақылды" боямақ. Үй. "Умная" раскраска. Раскрась по коду. Дом</t>
  </si>
  <si>
    <t>д3</t>
  </si>
  <si>
    <t>Козы Корпеш - Баян сулу (рус., англ.)</t>
  </si>
  <si>
    <t>д299</t>
  </si>
  <si>
    <t>Ковролин используется как основное покрытие игровой или рабочей зоны, снижая шум и делая поверхность более тёплой и безопасной. Материал должен быть гипоаллергенным и устойчивым к истиранию. Цвет — нейтральный (пастельные или светлые тона) для визуального спокойствия пространства. Размер подбирается по площади зоны, при этом покрытие обеспечивает сплошное перекрытие основной рабочей поверхности. Подходит для регулярной уборки пылесосом и локальной влажной очистки.</t>
  </si>
  <si>
    <t>Ковролин напольный для игровой зоны</t>
  </si>
  <si>
    <t>д298</t>
  </si>
  <si>
    <t>Коврики используются как рабочая поверхность при лепке и работе с пластичными материалами. Материал — силикон или пластик, водонепроницаемый и термостойкий. Поверхность предотвращает прилипание и облегчает уборку рабочего места. В комплект входит не менее 4 ковриков. Размер одного коврика — не менее 39×29 см (возможны дополнительные меньшие форматы).</t>
  </si>
  <si>
    <t>Коврики для лепки (набор 4 шт.)</t>
  </si>
  <si>
    <t>д297</t>
  </si>
  <si>
    <t>Коврик используется для упражнений на полу, растяжки и спокойной двигательной активности. Размер коврика составляет не менее 180×60 см, толщина — не менее 0,6 см. Материал — TPE или аналог, устойчивый к скольжению и лёгкий в уходе. Рассчитан на регулярное использование.</t>
  </si>
  <si>
    <t>Коврик для упражнений напольный (йога/ЛФК)</t>
  </si>
  <si>
    <t>д296</t>
  </si>
  <si>
    <t>Мягкий ковёр для зоны чтения и отдыха с традиционными казахскими узорами. Оснащён антискользящим основанием.</t>
  </si>
  <si>
    <t>Ковёр с казахскими орнаментами</t>
  </si>
  <si>
    <t>д295</t>
  </si>
  <si>
    <t>Стеллаж двусторонний, 3 полки, размер не менее 800х600х1100 мм</t>
  </si>
  <si>
    <t>Открытые книжные стеллажи для хранения и демонстрации детской литературы. Книги размещаются на уровне глаз ребёнка. Материал — ЛДСП 16 мм. Размер одного стеллажа — 1000 × 350 × 1200 мм.</t>
  </si>
  <si>
    <t>Книжные стеллажи (открытые)</t>
  </si>
  <si>
    <t>д294</t>
  </si>
  <si>
    <t>Комплект включает издания по педагогике, психологии и вопросам воспитания. Используется для методической подготовки и профессионального чтения. Подходит для размещения в методическом кабинете или библиотеке учреждения. Рассчитан на длительное хранение и использование.</t>
  </si>
  <si>
    <t>Книги по воспитанию и педагогике</t>
  </si>
  <si>
    <t>д293</t>
  </si>
  <si>
    <t>Книжка-раскладушка используется для знакомства с голосами животных и птиц. На страницах размещены иллюстрации и подписи со звукоподражанием. Формат раскладушки удобен для показа группе и индивидуального рассматривания. Картонные страницы рассчитаны на многократное использование.</t>
  </si>
  <si>
    <t>Книга-раскладушка со звуками животных</t>
  </si>
  <si>
    <t>д292</t>
  </si>
  <si>
    <t>Книга-панорамка используется для знакомства с видами транспорта через объёмные развороты. Pop-up конструкции позволяют рассматривать элементы в объёме и обсуждать детали. Страницы картонные, подходят для регулярного аккуратного использования. Применяется при совместном чтении и тематических занятиях.</t>
  </si>
  <si>
    <t>Книга Pop-up «Транспорт» (панорамка)</t>
  </si>
  <si>
    <t>д291</t>
  </si>
  <si>
    <t>Книга-панорамка используется для рассматривания объёмных разворотов по теме космоса. Pop-up элементы обеспечивают визуальную наглядность и удержание внимания при чтении. Издание выполнено на картоне и рассчитано на аккуратное многократное использование. Применяется при совместном чтении и тематических занятиях.</t>
  </si>
  <si>
    <t>Книга Pop-up «Космос» (панорамка)</t>
  </si>
  <si>
    <t>д290</t>
  </si>
  <si>
    <t>Альбомы содержат иллюстрации и фотографии, отражающие виды сельскохозяйственного и бытового труда. Используются для наглядного ознакомления с трудовой деятельностью и профессиями. Материалы применяются при рассматривании изображений, обсуждении и расширении представлений об окружающем мире. Альбомы подходят для использования в образовательной практике.</t>
  </si>
  <si>
    <t>Альбомы с иллюстрациями и фотографиями сельскохозяйственного и бытового труда</t>
  </si>
  <si>
    <t>д29</t>
  </si>
  <si>
    <t>Книга предназначена для знакомства с основными цветами через персонажей и сюжетные изображения. Используется при рассматривании и назывании цветов. Страницы выполнены из плотного картона, удобного для частого перелистывания. Подходит для тематических занятий и спокойной деятельности.</t>
  </si>
  <si>
    <t>Книга «Цвета» (картонная)</t>
  </si>
  <si>
    <t>д289</t>
  </si>
  <si>
    <t>Книга используется для ознакомления с овощами и фруктами через изображения и подписи. Применяется при рассматривании, назывании и обсуждении признаков (цвет, форма, где растёт). Страницы выполнены из плотного картона. Подходит для тематических занятий.</t>
  </si>
  <si>
    <t>Книга «Овощи и фрукты» (картонная)</t>
  </si>
  <si>
    <t>д288</t>
  </si>
  <si>
    <t>Иллюстрированное познавательное издание предназначено для знакомства детей с культурой, традициями и символами Республики Казахстан. Используется в образовательной деятельности, направленной на формирование гражданской идентичности, уважения к национальному наследию и расширение кругозора. Подходит для чтения с педагогом или родителями, а также для тематических занятий и бесед.</t>
  </si>
  <si>
    <t>Книга «Моя Родина — Казахстан»</t>
  </si>
  <si>
    <t>д287</t>
  </si>
  <si>
    <t>Издание используется для чтения и совместного рассматривания. Применяется в спокойной деятельности и тематических занятиях. Содержит текстовый и/или иллюстративный материал. Рассчитано на регулярное использование в помещении.</t>
  </si>
  <si>
    <t>Книга «Кел, ойнайық, балақай!»</t>
  </si>
  <si>
    <t>д286</t>
  </si>
  <si>
    <t>Книга содержит тексты сказок, предназначенные для чтения и обсуждения. Используется как часть серии для последовательного ознакомления с произведениями.</t>
  </si>
  <si>
    <t>Книга «Ертегілер. Ата-анамен оқимыз», часть 3</t>
  </si>
  <si>
    <t>д285</t>
  </si>
  <si>
    <t>Издание включает подборку сказок для чтения и обсуждения. Используется при совместном чтении и рассматривании. Предназначено для использования в помещении.</t>
  </si>
  <si>
    <t>Книга «Ертегілер. Ата-анамен оқимыз», часть 2</t>
  </si>
  <si>
    <t>д284</t>
  </si>
  <si>
    <t>Книга содержит тексты сказок для совместного чтения. Используется при чтении и обсуждении содержания. Подходит для спокойной совместной деятельности.</t>
  </si>
  <si>
    <t>Книга «Ертегілер. Ата-анамен оқимыз», часть 1</t>
  </si>
  <si>
    <t>д283</t>
  </si>
  <si>
    <t>Книга используется для знакомства с домашними животными через изображения и подписи. Применяется при рассматривании, назывании и обсуждении особенностей животных. Картонные страницы подходят для регулярного использования.</t>
  </si>
  <si>
    <t>Книга «Домашние животные» (картонная)</t>
  </si>
  <si>
    <t>д282</t>
  </si>
  <si>
    <t>К.Дейнз (перевод Сужикова А., Асанова М.)</t>
  </si>
  <si>
    <t>Клеопатра. Cleopatra (каз., рус., англ.яз.)</t>
  </si>
  <si>
    <t>д281</t>
  </si>
  <si>
    <t>Клей-карандаш используется для склеивания бумаги и тонкого картона. Удобен для точечного нанесения без излишков влаги. Подходит для аппликаций и офисно-учебных задач. Рассчитан на регулярное использование.</t>
  </si>
  <si>
    <t>Клей-карандаш</t>
  </si>
  <si>
    <t>д280</t>
  </si>
  <si>
    <t>Алпамыс батыр (рус., англ.)</t>
  </si>
  <si>
    <t>д28</t>
  </si>
  <si>
    <t>Клей ПВА используется для приклеивания бумаги, картона и лёгких материалов в творческих работах. Подходит для аппликаций и изготовления поделок. Желательно наличие сертификата соответствия (РК). Используется дозировано, легко смывается с поверхностей при своевременной очистке.</t>
  </si>
  <si>
    <t>Клей ПВА детский</t>
  </si>
  <si>
    <t>д279</t>
  </si>
  <si>
    <t>Набор кистей предназначен для рисования различными видами красок. В комплект входит не менее 10 кистей разных форм и размеров, что позволяет выполнять фоновые заливки и тонкие линии. Ворс синтетический (нейлон), упругий и устойчивый к деформации. Рукоятки деревянные, удобные для удержания. Кисти подходят для регулярного использования при выполнении художественных работ.</t>
  </si>
  <si>
    <t>Кисти художественные с синтетическим ворсом (набор 10 шт.)</t>
  </si>
  <si>
    <t>д278</t>
  </si>
  <si>
    <t>Набор кистей используется для рисования гуашью, акварелью и другими красками. Включает кисти разных размеров для прорисовки деталей и закрашивания больших поверхностей. Рукоятки выполнены из дерева или аналогичного материала. Кисти рассчитаны на многократное использование при соблюдении правил ухода.</t>
  </si>
  <si>
    <t>Кисти художественные (набор)</t>
  </si>
  <si>
    <t>д277</t>
  </si>
  <si>
    <t>Набор кистей используется как аксессуар для сюжетно-ролевых игр на тему салона красоты. В комплект входит не менее 7 кистей. Применяется для имитации нанесения макияжа без косметических средств. Рассчитан на использование в игровой среде.</t>
  </si>
  <si>
    <t>Кисти для макияжа (набор 7 шт.)</t>
  </si>
  <si>
    <t>д276</t>
  </si>
  <si>
    <t>Кинетический песок с контейнером, розового цвета или иного цвета, в комплекте не менее 786 г песка и не менее 4 фигурок, размер коробки не менее 19 × 14 × 9 см, предназначен для развивающих игр и формирования мелкой моторики у детей.</t>
  </si>
  <si>
    <t>Кинетический песок с контейнером</t>
  </si>
  <si>
    <t>д275</t>
  </si>
  <si>
    <t>Ақыпбекұлы Ө.</t>
  </si>
  <si>
    <t>Керек кітап</t>
  </si>
  <si>
    <t>д274</t>
  </si>
  <si>
    <t>Әлімжанов Б.</t>
  </si>
  <si>
    <t>Кел, ойнайық, балақай!</t>
  </si>
  <si>
    <t>д273</t>
  </si>
  <si>
    <t>Касса-веер используется для наглядного ознакомления с цифрами и счётом. Представляет собой набор карточек с цифровыми обозначениями, соединённых в веер. Применяется при выполнении заданий на распознавание и называние чисел. Карточки имеют крупный шрифт и устойчивы к истиранию.</t>
  </si>
  <si>
    <t>Касса-веер цифр от 0 до 9</t>
  </si>
  <si>
    <t>д272</t>
  </si>
  <si>
    <t>Касса используется для упражнений на счёт и составление простых числовых комбинаций. В процессе работы выполняется подбор цифр и счётных элементов, раскладывание по заданиям и решение простых примеров. Подходит для настольной учебно-игровой деятельности. Материал рассчитан на регулярное использование.</t>
  </si>
  <si>
    <t>Касса цифр и счётного материала «Лёгкий счёт»</t>
  </si>
  <si>
    <t>д271</t>
  </si>
  <si>
    <t>Карынбай. Казахская сказка</t>
  </si>
  <si>
    <t>д270</t>
  </si>
  <si>
    <t>Алпамыс батыр (каз., ағылш.)</t>
  </si>
  <si>
    <t>д27</t>
  </si>
  <si>
    <t>Материал используется для работы над связной речью. В процессе занятий выполняется чтение/пересказ и составление рассказов по опорам. Применяется для упражнений на последовательность событий и построение фраз. Рассчитан на многократное использование.</t>
  </si>
  <si>
    <t>Карточки с предложениями и рассказами</t>
  </si>
  <si>
    <t>д269</t>
  </si>
  <si>
    <t>Набор карточек используется для показа и называния предметов по темам (транспорт, посуда, продукты питания, одежда, фрукты/ягоды, животные, насекомые, оттенки цветов). Применяется для рассматривания, расширения словаря и упражнений на классификацию. Карточки рассчитаны на регулярное использование и хранение в комплекте.</t>
  </si>
  <si>
    <t>Карточки Домана (набор тематических карточек)</t>
  </si>
  <si>
    <t>д268</t>
  </si>
  <si>
    <t>Набор карточек используется для закрепления последовательности действий дня и формирования речевых высказываний. В процессе работы выполняется выбор карточек по ситуации и составление коротких фраз. Применяется при обсуждении режимных моментов и навыков самоорганизации. Карточки выполнены из плотного материала для регулярного использования.</t>
  </si>
  <si>
    <t>Карточки «Моя ежедневная рутина»</t>
  </si>
  <si>
    <t>д267</t>
  </si>
  <si>
    <t>Набор используется для упражнений на звукоподражание и активизацию речи. В процессе работы выполняется соотнесение картинки и звука, повторение слогов и коротких слов. Количество карточек — не менее 35 шт. Размер карточек — не менее 10×15 см. Подходит для занятий и игр по теме животных и звуков.</t>
  </si>
  <si>
    <t>Карточки «Кто как говорит» (набор звукоподражаний)</t>
  </si>
  <si>
    <t>д266</t>
  </si>
  <si>
    <t>Цветной картон используется для аппликаций, конструирования и изготовления поделок. Применяется при вырезании, сгибании и наклеивании деталей. Подходит для изготовления макетов, открыток и элементов декора. Поставляется в виде набора листов. Рассчитан на использование в творческих занятиях.</t>
  </si>
  <si>
    <t>Картон цветной (набор для творчества)</t>
  </si>
  <si>
    <t>д265</t>
  </si>
  <si>
    <t>Костюм предназначен для участия в праздничных мероприятиях и театрализованных сценках. В комплект входит шубка, шапочка и рукавицы-варежки. Материал — лёгкая ткань (например, атлас или аналог), удобная для активного движения. Изделие рассчитано на многократное использование.</t>
  </si>
  <si>
    <t>Карнавальный костюм «Снегурочка» (комплект)</t>
  </si>
  <si>
    <t>д264</t>
  </si>
  <si>
    <t>Костюм предназначен для сценических выступлений и игровых инсценировок. Комплект включает маску, безрукавку и шорты. Размерная группа — не менее 26–28 (по маркировке производителя). Материал ткани — шёлк или аналогичный материал. Рассчитан на многократное использование в помещении.</t>
  </si>
  <si>
    <t>Карнавальный костюм «Петух» (маска, безрукавка, шорты)</t>
  </si>
  <si>
    <t>д263</t>
  </si>
  <si>
    <t>Костюм используется для утренников и театрализованных игр. Комплект включает сарафан и шапку, образ формируется за счёт тематического оформления. Подходит для сюжетных постановок и ролевых игр, где требуется узнаваемый персонаж. Материалы костюма рассчитаны на регулярное использование.</t>
  </si>
  <si>
    <t>Карнавальный костюм «Ёжик» для девочки (сарафан и шапка)</t>
  </si>
  <si>
    <t>д262</t>
  </si>
  <si>
    <t>Костюм предназначен для проведения праздничных мероприятий и сценических выступлений. Комплект включает шубу, шапку, варежки и мешок для подарков. Элементы костюма выполнены из износостойких материалов, рассчитанных на многократное использование. Подходит для организации новогодних представлений и игровых сценариев.</t>
  </si>
  <si>
    <t>Карнавальный костюм «Дед Мороз» (комплект)</t>
  </si>
  <si>
    <t>д261</t>
  </si>
  <si>
    <t>Костюм Снеговичок Снежок подойдет как мальчикам, так и девочкам. Замечательный новогодний образ станет отличной альтернативой стандартным костюмам Снегурочки и Деда Мороза. В таком наряде можно участвовать в спектакле или просто прийти на новогоднюю елку. Комплект состоит из комбинезона с внутренним каркасом, ведерка и носа. Особенности: Костюм белый с серебристыми снежинками и пышным воротником Длинные объемные рукава на резинках Внутренний каркас придает комбинезону объем Синие помпоны спереди Серебристое текстильное ведерко на голову Оранжевый нос-морковка на резинке.</t>
  </si>
  <si>
    <t>Карнавальный костюм "Снеговик"</t>
  </si>
  <si>
    <t>д260</t>
  </si>
  <si>
    <t>каз.адаптац. Мырза Али К.</t>
  </si>
  <si>
    <t>Алдар Көсе. Сборник сказок (каз., рус., англ.яз.)</t>
  </si>
  <si>
    <t>д26</t>
  </si>
  <si>
    <t>Костюм «Лисичка» для девочки, рост не менее 110 см, размер не менее 28. Выполнен из искусственного меха, комплект включает пелерину с белыми вставками и завязками, юбку на резинке и шапочку-маску с ушками и набивным носиком. Предназначен для ролевых игр и развивает воображение детей.</t>
  </si>
  <si>
    <t>Карнавальный костюм "Лиса"</t>
  </si>
  <si>
    <t>д259</t>
  </si>
  <si>
    <t xml:space="preserve"> Заяц серый р 110-56 /мех /Батик/” можно в интернет-магазине Murzilka. Выгодные цены. Быстрая доставка по Казахстану.</t>
  </si>
  <si>
    <t>Карнавальный костюм "Заяц"</t>
  </si>
  <si>
    <t>д258</t>
  </si>
  <si>
    <t>Каракусбай. Казахская сказка</t>
  </si>
  <si>
    <t>д257</t>
  </si>
  <si>
    <t>Р.Левин (перевод Сужикова А., Асанова М.)</t>
  </si>
  <si>
    <t>Капитан Кук. Captain Cook (каз., рус., англ.яз.)</t>
  </si>
  <si>
    <t>д256</t>
  </si>
  <si>
    <t>Игровой костюм используется в сюжетно-ролевых играх, посвящённых профессиям и безопасности. Комплект включает элементы формы и игровые аксессуары, имитирующие снаряжение пожарного. Позволяет разыгрывать ситуации помощи и спасения, формируя представления о социальной роли профессии и ответственности. Материалы — текстиль и пластик.</t>
  </si>
  <si>
    <t>Костюм «Пожарный»</t>
  </si>
  <si>
    <t>д254</t>
  </si>
  <si>
    <t>Календарь используется для ежедневного фиксации наблюдений за погодой и обсуждения сезонных изменений. Применяется при утренних беседах и тематических занятиях. Формат календаря — не менее 13×18 см. Конструкция предусматривает размещение обозначений (температура, осадки, облачность) в удобной форме. Рассчитан на регулярное использование в помещении.</t>
  </si>
  <si>
    <t>Календарь погоды (наглядное пособие)</t>
  </si>
  <si>
    <t>д253</t>
  </si>
  <si>
    <t>Калейдоскоп используется для наблюдения визуальных узоров при вращении корпуса. В процессе использования выполняются действия по повороту и рассматриванию изменяющихся рисунков. Такая деятельность способствует развитию зрительного восприятия и интереса к симметрии и цветовым сочетаниям. Корпус выполнен из пластика и бумаги.</t>
  </si>
  <si>
    <t>Калейдоскоп детский</t>
  </si>
  <si>
    <t>д252</t>
  </si>
  <si>
    <t>под ред. П. Френсис, Р. Хьюстон (перевод Баталова А.)</t>
  </si>
  <si>
    <t>Как все работает. Энциклопедия</t>
  </si>
  <si>
    <t>д251</t>
  </si>
  <si>
    <t>Составитель Раева С.К.</t>
  </si>
  <si>
    <t>Казахские сказки</t>
  </si>
  <si>
    <t>д250</t>
  </si>
  <si>
    <t>Аквариум используется для размещения и содержания водных обитателей. Применяется как элемент интерьерного и наглядного оформления помещений. Оснащён подсветкой, фильтром и обогревателем для поддержания условий содержания. Объём аквариума составляет не менее 48 л. Габаритные размеры — не менее 55×30×29 см.</t>
  </si>
  <si>
    <t>Аквариум декоративный с подсветкой, фильтрацией и обогревом</t>
  </si>
  <si>
    <t>д25</t>
  </si>
  <si>
    <t>Искусство. Аннотированное</t>
  </si>
  <si>
    <t>д249</t>
  </si>
  <si>
    <t>Искусственные горшечные растения используются для декоративного оформления интерьера. Применяются при создании визуально комфортной среды. Не требуют ухода и полива. В комплект входит не менее 3 изделий.</t>
  </si>
  <si>
    <t>Искусственные декоративные горшечные растения</t>
  </si>
  <si>
    <t>д248</t>
  </si>
  <si>
    <t>Панно предназначено для размещения детских рисунков, творческих работ и визуализации индивидуальных и групповых целей. Способствует развитию уверенности в себе, положительной самооценки и мотивации к творческой и познавательной деятельности.</t>
  </si>
  <si>
    <t>Информационно-творческое панно для детских работ и целей</t>
  </si>
  <si>
    <t>д247</t>
  </si>
  <si>
    <t>Глобус используется для изучения географии с применением дополненной реальности. Управление осуществляется через мобильное приложение. Предусмотрены учебный и игровой режимы.</t>
  </si>
  <si>
    <t>Интерактивный глобус</t>
  </si>
  <si>
    <t>д246</t>
  </si>
  <si>
    <t>Интерактивное зеркало используется в коррекционно-развивающей работе. Применяется совместно с логопедическим оборудованием.</t>
  </si>
  <si>
    <t>Интерактивное зеркало</t>
  </si>
  <si>
    <t>д245</t>
  </si>
  <si>
    <t>Книжка используется для рассматривания и выполнения игровых заданий. Содержит сюжетные изображения. Материал страниц — картон.</t>
  </si>
  <si>
    <t>Интерактивная книжка</t>
  </si>
  <si>
    <t>д244</t>
  </si>
  <si>
    <t>Интерактивная дидактическая игра включает задания по составлению слов и слогов из отдельных букв. В процессе работы выполняется подбор букв и их размещение в правильной последовательности. Такая деятельность направлена на формирование представлений о буквах, слогах и структуре слова, а также развитие речевых навыков. Комплект содержит карточки с заданиями и подставку для их размещения.</t>
  </si>
  <si>
    <t>Интерактивная дидактическая игра "Азбука" для составления слов</t>
  </si>
  <si>
    <t>д243</t>
  </si>
  <si>
    <t>Набор включает инерционные машинки. Используются для свободных сюжетных и подвижных игр. Материал изготовления — пластик.</t>
  </si>
  <si>
    <t>Инерционные машинки (набор)</t>
  </si>
  <si>
    <t>д242</t>
  </si>
  <si>
    <t>Книга используется для ознакомления с представителями животного мира и птицами. Содержит иллюстрации и наглядные элементы, предназначенные для рассматривания и обсуждения. Формат издания позволяет использовать книгу при совместном чтении и тематических занятиях. Текст и изображения направлены на расширение кругозора и формирование представлений о живой природе.</t>
  </si>
  <si>
    <t>Иллюстрированное издание «Животные и птицы»</t>
  </si>
  <si>
    <t>д241</t>
  </si>
  <si>
    <t>Альбомы используются для ознакомления с природой, культурой и бытом родного края. Содержат иллюстрации и фотографии. Применяются при тематических занятиях.</t>
  </si>
  <si>
    <t>Иллюстративные альбомы родного края</t>
  </si>
  <si>
    <t>д240</t>
  </si>
  <si>
    <t>Акварельные краски используются при выполнении художественных работ и упражнений по рисованию. Применяются для нанесения цветовых пятен, смешивания оттенков и освоения приёмов работы с кистью. В процессе рисования формируются навыки аккуратности и цветового восприятия. Краски безвредны и предназначены для использования в детской среде.</t>
  </si>
  <si>
    <t>Акварельные краски для занятий по рисованию</t>
  </si>
  <si>
    <t>д24</t>
  </si>
  <si>
    <t>Набор игрушек используется для сюжетных и настольных игр. Фигурки имеют размеры, удобные для удержания. Предназначены для многократного использования.</t>
  </si>
  <si>
    <t>Игрушки-животные (набор)</t>
  </si>
  <si>
    <t>д239</t>
  </si>
  <si>
    <t>Пупс используется для сюжетно-ролевых игр, связанных с уходом. В комплект входят бутылочка и пустышка. Материалы изготовления — винил, пластик и текстиль.</t>
  </si>
  <si>
    <t>Игрушка-пупс с аксессуарами</t>
  </si>
  <si>
    <t>д238</t>
  </si>
  <si>
    <t>Каталка предназначена для сопровождения движения при ходьбе. Оснащена колёсами и ручкой для управления. В процессе игры формируется согласованность действий рук и ног. Материал изготовления — пластик, рассчитан на регулярную эксплуатацию.</t>
  </si>
  <si>
    <t>Игрушка-каталка «Улитка» на палочке</t>
  </si>
  <si>
    <t>д237</t>
  </si>
  <si>
    <t>Каталка используется в подвижной игре при движении ребёнка по помещению. Конструкция включает колёсную базу и ручку (палочку) для ведения. В процессе игры выполняется координированное движение «идти–вести», что поддерживает развитие общей моторики. Материал изготовления — пластик.</t>
  </si>
  <si>
    <t>Игрушка-каталка «Вертолёт» на палочке</t>
  </si>
  <si>
    <t>д236</t>
  </si>
  <si>
    <t>Игрушка предназначена для перемещения по поверхности путём толкания. Используется в подвижных играх. Материал изготовления — пластик.</t>
  </si>
  <si>
    <t>Игрушка-каталка</t>
  </si>
  <si>
    <t>д235</t>
  </si>
  <si>
    <t>Игрушка используется для свободной игровой деятельности. Назначение зависит от конструкции изделия.</t>
  </si>
  <si>
    <t>Игрушка-забава</t>
  </si>
  <si>
    <t>д234</t>
  </si>
  <si>
    <t>Рекомендовать возраст : 0–3 года, 3–6 лет Материал: ткань Описание 【Книга из фетра, тихая книга】Чтение родителей и детей играет важную роль в чтении и взрослении детей.. Самое главное — начать с историй, происходящих вокруг детей. Когда ребенок читает, у него возникает очень ситуативное чувство замены.</t>
  </si>
  <si>
    <t xml:space="preserve">Игрушка Монтессори  Бизиборд 3D </t>
  </si>
  <si>
    <t>д233</t>
  </si>
  <si>
    <t>Игрушка в виде строительной техники используется для сюжетно-ролевых игр с тематикой строительства. Оснащена подвижными элементами, световыми эффектами и работает от элементов питания. В процессе игры выполняются действия по перемещению и имитации работы техники. Изделие выполнено из пластика и рассчитано на игровое использование.</t>
  </si>
  <si>
    <t>Игрушка «Бетономешалка»</t>
  </si>
  <si>
    <t>д232</t>
  </si>
  <si>
    <t>Игрушка «Спасательный вертолет», длина не менее 65 см. Выполнена из прочного безопасного материала, предназначена для сюжетно-ролевых игр. Развивает воображение и координацию движений у детей.</t>
  </si>
  <si>
    <t xml:space="preserve">Игрушка "Спасательный вертолет" </t>
  </si>
  <si>
    <t>д231</t>
  </si>
  <si>
    <t>Набор используется для сюжетных игр и сортировки. Элементы снабжены магнитной основой, что позволяет закреплять их на металлических поверхностях.</t>
  </si>
  <si>
    <t>Игрушечный набор фруктов и овощей на магните</t>
  </si>
  <si>
    <t>д230</t>
  </si>
  <si>
    <t>Адамдарға қалай көмектесуге болады. Как помогать людям. How to help people (каз., рус., англ.яз.)</t>
  </si>
  <si>
    <t>д23</t>
  </si>
  <si>
    <t>Игрушечный телефон используется в игровой деятельности для имитации общения. Оснащён кнопками и звуковыми эффектами. В процессе игры выполняются нажатия и прослушивание звуков, что поддерживает интерес к ролевым ситуациям. Корпус выполнен из безопасных материалов.</t>
  </si>
  <si>
    <t>Игрушечный музыкальный телефон с кнопками</t>
  </si>
  <si>
    <t>д229</t>
  </si>
  <si>
    <t>Игрушечный кран используется для сюжетно-ролевых игр с тематикой строительной техники. В процессе игры выполняются действия по подъёму, перемещению и опусканию элементов. Такая форма игры способствует развитию воображения и пространственных представлений. Длина модели составляет не менее 30 см. Конструкция выполнена из прочных материалов.</t>
  </si>
  <si>
    <t>Игрушечный кран крупногабаритный</t>
  </si>
  <si>
    <t>д228</t>
  </si>
  <si>
    <t>Игрушка используется в сюжетных играх, связанных с домашним бытом. Конструкция включает открывающуюся дверцу и вращающиеся элементы управления. Материал изготовления — пластик.</t>
  </si>
  <si>
    <t>Игрушечная стиральная машина</t>
  </si>
  <si>
    <t>д227</t>
  </si>
  <si>
    <t>Игровое изделие используется в сюжетно-ролевых играх на тему кухни. Корпус выполнен из пластмассы. Используется для имитации бытовых процессов без нагрева.</t>
  </si>
  <si>
    <t>Игрушечная микроволновая печь</t>
  </si>
  <si>
    <t>д226</t>
  </si>
  <si>
    <t>Игрушечная корзинка используется для переноски игровых предметов и хранения игрушек. В процессе игры выполняются действия по сбору и сортировке предметов. Изделие компактное и удобное для использования в игровой среде.</t>
  </si>
  <si>
    <t>Игрушечная корзинка</t>
  </si>
  <si>
    <t>д225</t>
  </si>
  <si>
    <t>Аксессуар предназначен для сюжетно-ролевых игр с куклами. Используется для имитации гигиенических процедур. Материал изготовления — пластик.</t>
  </si>
  <si>
    <t>Игрушечная ванна для кукол</t>
  </si>
  <si>
    <t>д224</t>
  </si>
  <si>
    <t>Фигурки используются для сюжетно-ролевых игр и тематических занятий. Изображают животных и птиц. Применяются для разыгрывания сцен и классификации.</t>
  </si>
  <si>
    <t>Игровые фигурки животных и птиц</t>
  </si>
  <si>
    <t>д223</t>
  </si>
  <si>
    <t>Набор включает фигурки диких животных. Используется для сюжетных игр и тематических занятий. В комплект входит не менее 12 фигурок.</t>
  </si>
  <si>
    <t>Игровые фигурки диких животных</t>
  </si>
  <si>
    <t>д222</t>
  </si>
  <si>
    <t>Игрушка выполнена в форме машинки с набором фигур. В процессе игры выполняется сборка и разборка элементов. Материал изготовления — дерево.</t>
  </si>
  <si>
    <t>Игровой пазл в форме машинки</t>
  </si>
  <si>
    <t>д221</t>
  </si>
  <si>
    <t>Комплект включает несколько фигурок животных и птиц. Используется для групповых и индивидуальных игр. Материал изготовления — резина.</t>
  </si>
  <si>
    <t>Игровой набор фигурок животных и птиц, комплект</t>
  </si>
  <si>
    <t>д220</t>
  </si>
  <si>
    <t>Родригес-Вида А</t>
  </si>
  <si>
    <t>Адам денесi. Жалықтырмайтын анатомия</t>
  </si>
  <si>
    <t>д22</t>
  </si>
  <si>
    <t>Игровой набор используется для сюжетных игр на тему строительства и ремонта. В комплект входят деревянные инструменты и ящик для хранения. Применяется в игровой деятельности.</t>
  </si>
  <si>
    <t>Игровой набор инструментов</t>
  </si>
  <si>
    <t>д219</t>
  </si>
  <si>
    <t>Набор применяется в сюжетно-ролевых играх на тему ухода за внешностью. Включает игровые элементы косметики и аксессуары. Все предметы выполнены в безопасном исполнении.</t>
  </si>
  <si>
    <t>Игровой набор декоративной косметики, 10 предметов</t>
  </si>
  <si>
    <t>д218</t>
  </si>
  <si>
    <t>Игровой набор используется для сюжетно-ролевых игр на тему кухни и хранения продуктов. Включает холодильник с открывающимися дверцами, световыми и звуковыми эффектами и набор продуктов. Всего в комплект входит около 30 предметов.</t>
  </si>
  <si>
    <t>Игровой набор «Холодильник» с продуктами</t>
  </si>
  <si>
    <t>д217</t>
  </si>
  <si>
    <t>Набор применяется в сюжетно-ролевых играх на тему питания и обслуживания. Включает игровые элементы, имитирующие блюда быстрого питания. Предметы выполнены из прочного пластика и не имеют острых углов.</t>
  </si>
  <si>
    <t>Игровой набор «Фастфуд»</t>
  </si>
  <si>
    <t>д216</t>
  </si>
  <si>
    <t>Сюжетно-ролевой игровой набор предназначен для развития воображения, коммуникативных навыков и мелкой моторики. Используется в ролевых играх, способствует формированию социальных навыков и навыков взаимодействия между детьми.</t>
  </si>
  <si>
    <t>Игровой набор «Стилист»</t>
  </si>
  <si>
    <t>д215</t>
  </si>
  <si>
    <t>Большой сюжетно-ролевой набор для организации праздничных игр. Включает торт из 6 частей, декоративные элементы, посуду и аксессуары. Оснащён световыми и звуковыми эффектами. Общее количество предметов — около 75. Материал — пластик.</t>
  </si>
  <si>
    <t>Игровой набор «Праздничное чаепитие» со светом и музыкой</t>
  </si>
  <si>
    <t>д214</t>
  </si>
  <si>
    <t>Игровой набор используется для сюжетно-ролевых игр на тему службы полиции. В комплект входит 12 предметов, включая аксессуары и элементы экипировки. Материалы изготовления — пластик, резина и текстиль.</t>
  </si>
  <si>
    <t>Игровой набор «Полиция», 12 предметов</t>
  </si>
  <si>
    <t>д213</t>
  </si>
  <si>
    <t>Игровой набор используется для разыгрывания ситуаций, связанных с профессией пожарного. В комплект входят элементы экипировки и игровые инструменты. В процессе игры моделируются действия по спасению и устранению опасности. Материал изготовления — пластик.</t>
  </si>
  <si>
    <t>Игровой набор «Пожарный»</t>
  </si>
  <si>
    <t>д212</t>
  </si>
  <si>
    <t>Игровой набор представляет собой деревянные элементы пиццы с соединением на липучках для разрезания и сборки. В процессе игры выполняются действия по разделению частей и комбинированию ингредиентов. Такая деятельность способствует развитию координации движений и навыков сюжетно-ролевой игры (кухня, кафе). Комплект включает не менее 27 элементов. Материал изготовления — дерево.</t>
  </si>
  <si>
    <t>Игровой набор «Пицца» на липучках (дерево)</t>
  </si>
  <si>
    <t>д211</t>
  </si>
  <si>
    <t>Игровой набор используется для сюжетных игр на тему ремонта и конструирования. В комплект входят игровые инструменты и элементы для сборки. Все детали размещаются в кейсе для хранения. Материал изготовления — безопасный пластик.</t>
  </si>
  <si>
    <t>Игровой набор «Моя мастерская»</t>
  </si>
  <si>
    <t>д210</t>
  </si>
  <si>
    <t>Абай (Ибрагим) Кунанбаев</t>
  </si>
  <si>
    <t>Абай. Слова назидания</t>
  </si>
  <si>
    <t>д21</t>
  </si>
  <si>
    <t>Набор используется как дополнительный элемент сюжетных игр на тему магазина и расчётов. В комплект входят бумажные купюры и пластиковые монеты различных номиналов. Применяется в настольных и ролевых играх.</t>
  </si>
  <si>
    <t>Игровой набор «Монеты и купюры»</t>
  </si>
  <si>
    <t>д209</t>
  </si>
  <si>
    <t>Набор предназначен для сюжетно-ролевых игр на тему приготовления и выбора продуктов. В комплект входит корзина и набор овощей, а также разделочная доска и игровой нож. Предметы имеют размеры, удобные для детской руки. Материал изготовления — пластик.</t>
  </si>
  <si>
    <t>Игровой набор «Корзина с продуктами»</t>
  </si>
  <si>
    <t>д208</t>
  </si>
  <si>
    <t>Сюжетно-ролевой игровой набор, предназначенный для игр в магазин. В комплект входят кассовый аппарат с кнопками, сканер, игровые продукты, деньги и аксессуары. Общее количество предметов — около 24. Используется для развития социальных навыков, речи и элементарных математических представлений.</t>
  </si>
  <si>
    <t>Игровой набор «Кассовый аппарат»</t>
  </si>
  <si>
    <t>д207</t>
  </si>
  <si>
    <t>Игровой набор используется для сюжетно-ролевых игр на тему медицинской помощи. Включает игровые инструменты врача. Материал изготовления — пластик.</t>
  </si>
  <si>
    <t>Игровой набор «Доктор»</t>
  </si>
  <si>
    <t>д206</t>
  </si>
  <si>
    <t>Игровой набор включает весы с двумя лотками и набор грузов различной массы. В процессе игры выполняется взвешивание и сравнение предметов. Материал изготовления — пластик.</t>
  </si>
  <si>
    <t>Игровой набор «Весы»</t>
  </si>
  <si>
    <t>д205</t>
  </si>
  <si>
    <t>Игровой набор используется для сюжетно-ролевых игр на тему кухни. В комплект входит блендер и имитация продуктов. Изделие оснащено световыми и звуковыми эффектами и работает от элементов питания.</t>
  </si>
  <si>
    <t>Игровой набор «Блендер» со светом и звуком</t>
  </si>
  <si>
    <t>д204</t>
  </si>
  <si>
    <t>Игровой набор из серии "Барби" от известного производителя Mattel станет просто прекрасным подарком для юных поклонниц вселенной Barbie. Полностью меблированный кукольный дом с куклой Барби, её очаровательным щенком и множеством стильных аксессуаров, включающих в себя обеденный стол и стулья, посуду, уютное одеяло и много другое. Барби готова играть весь день! Игровой набор удобно складывается. Особенности:
2 уровня
4 игровые зоны
игровые зоны включают ванную комнату, кухню, столовую и спальню, оформленные в красочном стиле
комплект легко складывать.
В комплекте: дом, кукла, питомец, мебель и множество тематических аксессуаров.</t>
  </si>
  <si>
    <t>Игровой кукольный набор</t>
  </si>
  <si>
    <t>д203</t>
  </si>
  <si>
    <t>Игровой комплект используется для сборки простых электрических схем без пайки. В процессе работы выполняется соединение элементов и выполнение экспериментальных заданий. Набор включает не менее 17 деталей и позволяет собрать до 15 проектов. Материал изготовления — полимер.</t>
  </si>
  <si>
    <t>Игровой комплект для изучения основ электричества</t>
  </si>
  <si>
    <t>д202</t>
  </si>
  <si>
    <t>Игровой набор используется для сюжетно-ролевых игр на тему магазина. В процессе игры выполняются действия по имитации покупок и расчётов. Набор включает кассовый аппарат и аксессуары.</t>
  </si>
  <si>
    <t>Игровой кассовый аппарат</t>
  </si>
  <si>
    <t>д201</t>
  </si>
  <si>
    <t>Игровой набор предназначен для сюжетно-ролевых игр детей дошкольного возраста. Состоит из двухуровневого дома с несколькими игровыми зонами (кухня, ванная, столовая, спальня), куклы, фигурки питомца, мебели и аксессуаров. Способствует развитию воображения, социальных и коммуникативных навыков.</t>
  </si>
  <si>
    <t>Игровой дом с куклой, мебелью и аксессуарами</t>
  </si>
  <si>
    <t>д200</t>
  </si>
  <si>
    <t>Абай. Қара сөздер</t>
  </si>
  <si>
    <t>д20</t>
  </si>
  <si>
    <t>"Ақылды" боямақ. Көлік. "Умная" раскраска. Раскрась по коду. Транспорт</t>
  </si>
  <si>
    <t>д2</t>
  </si>
  <si>
    <t>Игровая парковка представляет собой конструкцию для размещения игрушечных автомобилей и разыгрывания ситуаций движения и стоянки. В процессе игры выполняются действия по перемещению машин и организации маршрутов. Такая форма игры способствует развитию воображения и представлений о транспорте. Конструкция рассчитана на многократное использование.</t>
  </si>
  <si>
    <t>Игровая парковка для машин</t>
  </si>
  <si>
    <t>д199</t>
  </si>
  <si>
    <t>Игровая зона предназначена для занятий с песком и водой. Используется для организации практических и сенсорных игр. Конструкция выполнена из ЛДСП толщиной 16 мм с противоударной кромкой ПВХ. Размеры зоны — около 900×500×600 мм.</t>
  </si>
  <si>
    <t>Игровая зона «Центр песка и воды»</t>
  </si>
  <si>
    <t>д198</t>
  </si>
  <si>
    <t>Игровая зона используется для организации сюжетно-ролевых игр на тему ухода за внешностью. Конструкция выполнена из ЛДСП толщиной 16 мм. Габариты зоны составляют около 900×450×1280 мм.</t>
  </si>
  <si>
    <t>Игровая зона «Парикмахерская»</t>
  </si>
  <si>
    <t>д197</t>
  </si>
  <si>
    <t>Настольная игра включает игровое поле и элементы одежды на липучках. В процессе игры выполняется подбор и закрепление предметов одежды. Набор включает не менее 25 элементов и рассчитан на настольное использование.</t>
  </si>
  <si>
    <t>Игра на липучках «Одень девочку»</t>
  </si>
  <si>
    <t>д196</t>
  </si>
  <si>
    <t>Игровой набор включает цветные элементы и ёмкости для сортировки. В процессе игры выполняется распределение элементов по цвету и количеству. Материал изготовления — дерево.</t>
  </si>
  <si>
    <t>Игра для сортировки «Шарики»</t>
  </si>
  <si>
    <t>д195</t>
  </si>
  <si>
    <t>Игровой набор используется для выполнения манипулятивных действий руками. В процессе игры выполняются сжимание, перекладывание и другие мелкие движения. Материалы изготовления — текстиль и пластик.</t>
  </si>
  <si>
    <t>Игра для развития мелкой моторики (антистресс)</t>
  </si>
  <si>
    <t>д194</t>
  </si>
  <si>
    <t>Сортер выполнен в виде куба с отверстиями различной формы и набора фигур. В процессе игры выполняется подбор фигур по форме и размеру. Материал изготовления — пластик.</t>
  </si>
  <si>
    <t>Игра «Куб-сортировка»</t>
  </si>
  <si>
    <t>д193</t>
  </si>
  <si>
    <t>Игровой набор включает элементы в виде замков и соответствующих ключей. В процессе игры выполняется подбор ключа к замку и открывание. Такая деятельность способствует развитию навыков соотнесения и координации движений. Материал изготовления — ABS-пластик.</t>
  </si>
  <si>
    <t>Игра «Ключи и замки»</t>
  </si>
  <si>
    <t>д192</t>
  </si>
  <si>
    <t>Игровое изделие выполнено в форме барабана с размещёнными внутри цветными шарами. В процессе игры выполняется перекатывание и вращение корпуса. Такая деятельность способствует развитию зрительного восприятия и координации движений. Материал изготовления — дерево.</t>
  </si>
  <si>
    <t>Игра «Катящийся шар. Барабан»</t>
  </si>
  <si>
    <t>д191</t>
  </si>
  <si>
    <t>Игра включает игровое поле, цветные столбики и молоток. В процессе игры выполняются удары по столбикам для их перемещения. Такая деятельность способствует развитию координации движений и точности действий. Материал изготовления — пластик.</t>
  </si>
  <si>
    <t>Игра «Забивалка. Радужные столбики»</t>
  </si>
  <si>
    <t>д190</t>
  </si>
  <si>
    <t>3 Д ұшбұрыш</t>
  </si>
  <si>
    <t>д19</t>
  </si>
  <si>
    <t>Набор игл используется для шитья и ручных работ. Тупой конец обеспечивает безопасность при выполнении операций. Применяются при работе с тканью и другими мягкими материалами.</t>
  </si>
  <si>
    <t>Иглы с тупым концом (набор)</t>
  </si>
  <si>
    <t>д189</t>
  </si>
  <si>
    <t>Зона гидропоники предназначена для размещения установок по выращиванию растений без почвы. Используется для наблюдения за ростом растений и ухода за ними. Оснащается специализированным оборудованием.</t>
  </si>
  <si>
    <t>Зона гидропоники</t>
  </si>
  <si>
    <t>д188</t>
  </si>
  <si>
    <t>Знаю ли я своего ребенка? Практикум по детской психологии в помощь родителям</t>
  </si>
  <si>
    <t>д187</t>
  </si>
  <si>
    <t>Адилбеков А.Б.</t>
  </si>
  <si>
    <t>Жыраулардан жыр мұра</t>
  </si>
  <si>
    <t>д186</t>
  </si>
  <si>
    <t>Е.Өтетілеуұлы</t>
  </si>
  <si>
    <t>Жылдар және жаңа жорамалдар (Қазақ оркестрі, Ойыншықтар)</t>
  </si>
  <si>
    <t>д185</t>
  </si>
  <si>
    <t>Жол бағдар</t>
  </si>
  <si>
    <t>д184</t>
  </si>
  <si>
    <t>Жер ғаламшарының антологиясы</t>
  </si>
  <si>
    <t>д183</t>
  </si>
  <si>
    <t>Используется для временной остановки кровотечения и при проведении медицинских процедур.</t>
  </si>
  <si>
    <t>Жгут кровоостанавливающий</t>
  </si>
  <si>
    <t>д182</t>
  </si>
  <si>
    <t>С.Иманасов</t>
  </si>
  <si>
    <t>Жәнібек пен атасы</t>
  </si>
  <si>
    <t>д181</t>
  </si>
  <si>
    <t>Жауапкершілікті сезіну. Как стать ответственным. How to be responsible</t>
  </si>
  <si>
    <t>д180</t>
  </si>
  <si>
    <t>10 историй о принцессах</t>
  </si>
  <si>
    <t>д18</t>
  </si>
  <si>
    <t>Ж Смақов</t>
  </si>
  <si>
    <t>Жаңғырық</t>
  </si>
  <si>
    <t>д179</t>
  </si>
  <si>
    <t>Арлон П.</t>
  </si>
  <si>
    <t>Жануарлар. Энциклопедиясы</t>
  </si>
  <si>
    <t>д178</t>
  </si>
  <si>
    <t>А.Вайнберг</t>
  </si>
  <si>
    <t>Жалықтырмайтын астрономия. Балалар энциклопедиясы</t>
  </si>
  <si>
    <t>д177</t>
  </si>
  <si>
    <t>Сахипова Ф.,Солтанғазина М.</t>
  </si>
  <si>
    <t>Жабайы жануарларды білесің бе? Ақылды боямақ</t>
  </si>
  <si>
    <t>д176</t>
  </si>
  <si>
    <t>А.Пушкин (құрастырушы: Сужикова А.)</t>
  </si>
  <si>
    <t>Ескерткіш орнаттым мен қолдан келмес....</t>
  </si>
  <si>
    <t>д175</t>
  </si>
  <si>
    <t>Құрастырған А.Жусупова</t>
  </si>
  <si>
    <t>Ертегілер. Өзіміз оқимыз (3 бөлім)</t>
  </si>
  <si>
    <t>д174</t>
  </si>
  <si>
    <t>Ертегілер. Өзіміз оқимыз (2 бөлім)</t>
  </si>
  <si>
    <t>д173</t>
  </si>
  <si>
    <t>Ертегілер. Өзіміз оқимыз (1 бөлім)</t>
  </si>
  <si>
    <t>д172</t>
  </si>
  <si>
    <t>Ертегілер. Буынға бөліп оқимыз (3 бөлім)</t>
  </si>
  <si>
    <t>д171</t>
  </si>
  <si>
    <t>Ертегілер. Буынға бөліп оқимыз (2 бөлім)</t>
  </si>
  <si>
    <t>д170</t>
  </si>
  <si>
    <t>10 историй о пиратах</t>
  </si>
  <si>
    <t>д17</t>
  </si>
  <si>
    <t>Ертегілер. Буынға бөліп оқимыз (1 бөлім)</t>
  </si>
  <si>
    <t>д169</t>
  </si>
  <si>
    <t>Ертегілер. Ата-анамен оқимыз (3 бөлім)</t>
  </si>
  <si>
    <t>д168</t>
  </si>
  <si>
    <t>Ертегілер. Ата-анамен оқимыз (2 бөлім)</t>
  </si>
  <si>
    <t>д167</t>
  </si>
  <si>
    <t>Ертегілер. Ата-анамен оқимыз (1 бөлім)</t>
  </si>
  <si>
    <t>д166</t>
  </si>
  <si>
    <t>Ер Тарғын (каз., агылш.)</t>
  </si>
  <si>
    <t>д165</t>
  </si>
  <si>
    <t>Ер Таргын (рус., англ.)</t>
  </si>
  <si>
    <t>д164</t>
  </si>
  <si>
    <t>Баянбай Қ.</t>
  </si>
  <si>
    <t>Егіздер. Өлендер жинағы</t>
  </si>
  <si>
    <t>д163</t>
  </si>
  <si>
    <t>Дыхательный тренажёр используется для выполнения упражнений на формирование плавного и длительного выдоха. В процессе игры выполняются дыхательные действия с контролем воздушной струи. Дополнительные элементы на липучках используются для игровых заданий. Применяется при логопедической работе.</t>
  </si>
  <si>
    <t>Дыхательный тренажёр «Тучка»</t>
  </si>
  <si>
    <t>д162</t>
  </si>
  <si>
    <t>Душевой комплект предназначен для ручной мойки посуды в производственных и хозяйственных помещениях. В состав входит гибкий термостойкий шланг длиной не менее стандартной, оснащённый защитной пружиной из нержавеющей стали, а также ручной душ с хромированным покрытием. Конструкция обеспечивает удобство подачи воды и устойчивость к регулярной эксплуатации. Предусмотрено подключение к системам горячего и холодного водоснабжения. Комплект рассчитан на интенсивное использование.</t>
  </si>
  <si>
    <t>Душевой комплект для ручной мойки посуды</t>
  </si>
  <si>
    <t>д161</t>
  </si>
  <si>
    <t>Дуги используются для организации двигательных упражнений с элементами подлезания. В процессе выполнения заданий задействуются координация движений и ориентировка в пространстве. Изделия выполнены из фанеры толщиной не менее 10 мм и покрыты безопасной краской. В комплект входят дуги разных размеров.</t>
  </si>
  <si>
    <t>Дуги для подлезания</t>
  </si>
  <si>
    <t>д160</t>
  </si>
  <si>
    <t xml:space="preserve">Игра предназначена для развития
фантазии, пространственного и
умственного мышления ребенка. - белые карты - 6 шт.
- желтые карты - 15 шт.
- оранжевые карты - 15 шт.
- светло-зеленые карты - 16 шт.
- темно-зеленые карты - 4 шт.
- инструкция - 1 шт.
- голубые карты - 15 шт.
- фиолетовые карты - 15 шт. </t>
  </si>
  <si>
    <t>«Түрлі түсті бөлшектер» (Интеллектум)</t>
  </si>
  <si>
    <t>д16</t>
  </si>
  <si>
    <t>Достарды қалай таңдаймын. Как завести друзей. How to make friends (каз., рус., англ.яз.)</t>
  </si>
  <si>
    <t>д159</t>
  </si>
  <si>
    <t>Пробковая доска используется для размещения наглядных материалов, объявлений и карточек. Информация фиксируется с помощью кнопок или булавок. Предназначена для настенного размещения и регулярного использования.</t>
  </si>
  <si>
    <t>Доска пробковая</t>
  </si>
  <si>
    <t>д158</t>
  </si>
  <si>
    <t>Маркерная доска используется для письма, рисования и наглядных записей. Подходит для проведения занятий, инструктажей и демонстрации информации. Предназначена для использования с маркерами сухого стирания.</t>
  </si>
  <si>
    <t>Доска маркерная</t>
  </si>
  <si>
    <t>д157</t>
  </si>
  <si>
    <t>Доска используется для наглядной работы с эмоциональными состояниями. В процессе занятий выполняется распознавание, называние и обсуждение эмоций. Применяется при индивидуальной и групповой работе. Предназначена для формирования эмоциональной осознанности.</t>
  </si>
  <si>
    <t>Доска для работы с эмоциями</t>
  </si>
  <si>
    <t>д156</t>
  </si>
  <si>
    <t>Настольная игра домино используется для подбора пар по совпадающим изображениям. В процессе игры выполняется анализ картинок и соблюдение очередности ходов. Игра применяется для индивидуальной и совместной деятельности. Фишки рассчитаны на многократное использование.</t>
  </si>
  <si>
    <t>Домино с картинками</t>
  </si>
  <si>
    <t>д155</t>
  </si>
  <si>
    <t>Настольная игра домино включает фишки с изображениями для подбора пар по совпадающим картинкам. В процессе игры выполняются действия по анализу изображений и выбору подходящей фишки. Такая деятельность способствует развитию внимания, зрительного восприятия и навыков следования правилам. Комплект включает не менее 28 фишек. Материал изготовления — фанера (дерево).</t>
  </si>
  <si>
    <t>Домино деревянное с картинками (28 фишек)</t>
  </si>
  <si>
    <t>д154</t>
  </si>
  <si>
    <t>Настольная игра домино используется для подбора пар по изображениям. В процессе игры выполняется анализ картинок и соблюдение правил очередности. Фишки изготовлены из натурального дерева и имеют гладкую обработку. Игра рассчитана на индивидуальное и совместное использование.</t>
  </si>
  <si>
    <t>Домино деревянное (классическое)</t>
  </si>
  <si>
    <t>д153</t>
  </si>
  <si>
    <t>Домино-половинки используются для подбора изображений по принципу совпадения частей. В процессе игры выполняется анализ и сравнение фрагментов. Фишки изготовлены из дерева и рассчитаны на многократное использование.</t>
  </si>
  <si>
    <t>Домино деревянное «Транспорт» (картинки-половинки)</t>
  </si>
  <si>
    <t>д152</t>
  </si>
  <si>
    <t>Домино используется для настольной игры с изображениями различных видов транспорта. В процессе игры выполняется сопоставление фишек по картинкам. Набор включает не менее 28 деревянных фишек. Подходит для индивидуальной и совместной игры.</t>
  </si>
  <si>
    <t>Домино деревянное «Транспорт»</t>
  </si>
  <si>
    <t>д151</t>
  </si>
  <si>
    <t>Настольная игра домино включает фишки с изображениями сельскохозяйственных животных и предметов. В процессе игры выполняется подбор совпадающих изображений. Такая деятельность способствует развитию внимания и логического мышления. Фишки выполнены из дерева.</t>
  </si>
  <si>
    <t>Домино деревянное «На ферме»</t>
  </si>
  <si>
    <t>д150</t>
  </si>
  <si>
    <t xml:space="preserve">Игра предназначена для
тренировки определения места
предмета в пространстве,
сравнения, сопоставления и
развития логического мышления
ребенка.
</t>
  </si>
  <si>
    <t>«Таяқшалар» (Интеллектум)</t>
  </si>
  <si>
    <t>д15</t>
  </si>
  <si>
    <t>Настольное домино включает увеличенные фишки с изображениями животных. Крупный размер элементов удобен для работы с настольной поверхностью. Игра используется для подбора пар и выполнения логических действий. Материал изготовления — дерево.</t>
  </si>
  <si>
    <t>Домино деревянное «Животные» (28 фишек)</t>
  </si>
  <si>
    <t>д149</t>
  </si>
  <si>
    <t>Добро пожаловать, Наурыз! (книга - сундучок)</t>
  </si>
  <si>
    <t>д148</t>
  </si>
  <si>
    <t>Богаэр К.</t>
  </si>
  <si>
    <t>Динозаврлар. Жалықтырмайтын энциклопедия</t>
  </si>
  <si>
    <t>д147</t>
  </si>
  <si>
    <t>Динмухамед Кунаев. Книга-альбом к 110-летию со дня рождения</t>
  </si>
  <si>
    <t>д146</t>
  </si>
  <si>
    <t>Пособие «Моё тело» предназначено для формирования представлений о строении человека и базовых навыков гигиены в доступной игровой форме. Основа выполнена из плотного картона/дерева/пластика, размер панно — не менее 40×60 см для демонстрации группе детей. Комплект включает перемещаемые элементы (части тела, органы чувств, предметы гигиены) в количестве не менее 10 шт., которые ребёнок прикрепляет, сопоставляет и называет. Пособие применяется для упражнений на называние, классификацию и ориентацию «где находится», что развивает речь и внимание. Игровые задания помогают обсуждать безопасность (что можно/нельзя), уход за собой и эмоциональное самочувствие через тело. Элементы имеют закруглённые края, поверхность допускает регулярную очистку, используется под контролем педагога.</t>
  </si>
  <si>
    <t>Дидактическое пособие-панно «Моё тело»</t>
  </si>
  <si>
    <t>д145</t>
  </si>
  <si>
    <t>Комплект используется для организации заданий, направленных на работу с визуальными, тактильными и аудиальными ощущениями. Применяется при индивидуальной и подгрупповой деятельности. Состав материалов подбирается в зависимости от вида сенсорных упражнений.</t>
  </si>
  <si>
    <t>Дидактические материалы для сенсорного развития</t>
  </si>
  <si>
    <t>д144</t>
  </si>
  <si>
    <t>Комплект дидактических материалов используется при организации учебно-игровой деятельности. Применяется для выполнения заданий различной направленности. Используется в образовательной практике в зависимости от содержания комплекта.</t>
  </si>
  <si>
    <t>Дидактические материалы (комплект)</t>
  </si>
  <si>
    <t>д143</t>
  </si>
  <si>
    <t>Комплект дидактических игр используется для выполнения заданий на счёт, различение цвета и размера, изучение геометрических фигур и ориентировку во времени и пространстве. Применяется при индивидуальной и групповой работе. Игры направлены на закрепление базовых представлений об окружающем мире.</t>
  </si>
  <si>
    <t>Дидактические игры по формированию представлений (счёт, форма, время, природа)</t>
  </si>
  <si>
    <t>д142</t>
  </si>
  <si>
    <t>Фигура человека выполнена из изогнутых деревянных элементов и используется для работы с представлениями о теле и его положении. В процессе взаимодействия выполняется изменение позы и ориентации фигуры. Применяется при игровых и проективных заданиях. Материал изготовления — дерево.</t>
  </si>
  <si>
    <t>Дидактическая фигура человека из изогнутого дерева</t>
  </si>
  <si>
    <t>д141</t>
  </si>
  <si>
    <t>Дидактическая игрушка применяется для выполнения манипулятивных действий руками. В процессе работы выполняются захваты, перекладывание, соединение и другие точные движения пальцев. Используется в игровой и учебной деятельности для формирования координации движений кисти и пальцев. Конструкция рассчитана на многократное использование.</t>
  </si>
  <si>
    <t>Дидактическая игрушка для развития мелкой моторики</t>
  </si>
  <si>
    <t>д140</t>
  </si>
  <si>
    <t>Учебно-методические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t>
  </si>
  <si>
    <t>«Сөйлеуді дамыту және көркем әдебиет»</t>
  </si>
  <si>
    <t>д14</t>
  </si>
  <si>
    <t>Игра предназначена для освоения цифр и соотнесения числа с количеством предметов. В комплект входит не менее 2 игровых полей формата А4 и не менее 40 карточек размером около 5×5 см с креплениями-липучками. В процессе работы выполняется подбор карточек и закрепление их на поле, что требует точных движений пальцев. Применяется для упражнений на счёт до 10 и сравнение количеств. Материал рассчитан на многократное использование.</t>
  </si>
  <si>
    <t>Дидактическая игра на липучках «Цифры и количество»</t>
  </si>
  <si>
    <t>д139</t>
  </si>
  <si>
    <t>Детям о Конституции Республики Казахстан</t>
  </si>
  <si>
    <t>д138</t>
  </si>
  <si>
    <t>Фартук используется для защиты одежды при выполнении творческих и художественных работ. Оснащён завязками и передними карманами для мелких принадлежностей. Изделие многоразового использования, легко очищается. Предназначен для применения в помещениях.</t>
  </si>
  <si>
    <t>Детский фартук для творческих занятий</t>
  </si>
  <si>
    <t>д137</t>
  </si>
  <si>
    <t>Игровой комплект используется для сюжетно-ролевых игр на тему строительной деятельности. В набор входит детский строительный жилет с декоративными элементами, а также аксессуары, имитирующие инструменты и экипировку. В процессе игры разыгрываются рабочие ситуации, связанные со строительством и ремонтом. Элементы комплекта выполнены в безопасном исполнении и рассчитаны на многократное использование.</t>
  </si>
  <si>
    <t>Детский игровой комплект «Строитель» с жилетом</t>
  </si>
  <si>
    <t>д136</t>
  </si>
  <si>
    <t>Детский горшок предназначен для санитарно-гигиенических нужд. Изготовлен из прочного пластика, устойчивого к ежедневному использованию и удобного в очистке. Конструкция предусматривает устойчивое основание и эргономичную форму сиденья. Поверхность гладкая, допускает мытьё и дезинфекционную обработку. Изделие выполнено без острых углов и мелких деталей.</t>
  </si>
  <si>
    <t>Детский горшок пластиковый</t>
  </si>
  <si>
    <t>д135</t>
  </si>
  <si>
    <t>Железная дорога используется для сюжетно-ролевых и конструктивных игр. В процессе игры выполняется сборка путей, перемещение поездов и разыгрывание ситуаций. Конструкция включает элементы из дерева и пластика.</t>
  </si>
  <si>
    <t>Детская железная дорога (набор)</t>
  </si>
  <si>
    <t>д134</t>
  </si>
  <si>
    <t>Набор предназначен для сборки разветвлённой железнодорожной системы и организации сюжетной игры. В процессе использования выполняется соединение путей, размещение станции, моста и крана, а также управление движением поездов. Конструкция основана на электромеханическом принципе действия. В комплект входит не менее 70 элементов, что позволяет изменять конфигурацию трассы. Материал путей — дерево.</t>
  </si>
  <si>
    <t>Детская железная дорога «Сортировочный центр», комплект 70 элементов</t>
  </si>
  <si>
    <t>д133</t>
  </si>
  <si>
    <t>Деревянный набор включает элементы для выполнения заданий на счёт, соотнесение и простые вычисления. В процессе работы выполняются действия по размещению деталей на доске и подбору элементов по условию задания. Такая деятельность способствует формированию представлений о числе и логике выполнения операций. Размер набора составляет не менее 43×18×6 см. Материал изготовления — дерево.</t>
  </si>
  <si>
    <t>Деревянный набор Монтессори для математических действий и магнитных заданий</t>
  </si>
  <si>
    <t>д132</t>
  </si>
  <si>
    <t>Деревянный конструктор включает набор деталей для сборки построек и конструкций. В процессе игры выполняется комбинирование элементов и создание моделей по замыслу. Такая деятельность развивает пространственные представления и навыки планирования действий. В комплект входит не менее 66 деталей. Размер упаковки — не менее 34×29,5×6 см. Материал изготовления — дерево.</t>
  </si>
  <si>
    <t>Деревянный конструктор, 66 деталей</t>
  </si>
  <si>
    <t>д131</t>
  </si>
  <si>
    <t>Конструктор включает неокрашенные деревянные детали для сборки различных построек. В процессе игры выполняется соединение и компоновка элементов с созданием конструкций по замыслу. Такая деятельность способствует развитию пространственного мышления и аккуратности выполнения действий. В комплект входит не менее 66 деталей. Материал изготовления — дерево.</t>
  </si>
  <si>
    <t>Деревянный конструктор неокрашенный «Строим сами», 66 деталей</t>
  </si>
  <si>
    <t>д130</t>
  </si>
  <si>
    <t>Энциклопедическое издание предназначено для расширения кругозора, развития познавательного интереса и формирования представлений об окружающем мире у детей. Используется в образовательной деятельности.</t>
  </si>
  <si>
    <t>«Сан сауалдың жауабы. Энциклопедиясы»</t>
  </si>
  <si>
    <t>д13</t>
  </si>
  <si>
    <t>Деревянный балансир используется для выполнения упражнений на удержание равновесия и координацию движений. В процессе использования выполняются действия по сохранению устойчивого положения тела. Такая активность способствует развитию координации, концентрации внимания и пространственного восприятия. Изделие выполнено из дерева и предназначено для напольного использования.</t>
  </si>
  <si>
    <t>Деревянный балансир для двигательной активности</t>
  </si>
  <si>
    <t>д129</t>
  </si>
  <si>
    <t>Набор деревянных квадратных блоков используется для построения простых конструкций и выкладывания форм. В процессе игры выполняется комбинирование и составление фигур по замыслу. Такая деятельность развивает пространственные представления и координацию движений. Комплект включает блоки трёх размеров: не менее 50 шт. по 15 мм, не менее 25 шт. по 20 мм и не менее 25 шт. по 25 мм. Материал изготовления — дерево.</t>
  </si>
  <si>
    <t>Деревянные квадратные блоки для сборки (набор)</t>
  </si>
  <si>
    <t>д128</t>
  </si>
  <si>
    <t>Деревянные 3D-пазлы представляют собой набор элементов для сборки объёмных фигур животных. В процессе сборки выполняется подбор и соединение деталей по форме и размеру. Такая деятельность способствует развитию пространственного мышления, координации движений и навыков анализа формы. В комплект входит не менее 4 пазлов. Материал изготовления — дерево.</t>
  </si>
  <si>
    <t>Деревянные 3D-пазлы для сборки фигур животных</t>
  </si>
  <si>
    <t>д127</t>
  </si>
  <si>
    <t>Деревянная дудочка используется как детский духовой музыкальный инструмент для извлечения простых звуков. В процессе игры выполняются действия по выдоху воздуха и смене положения губ, что связано с формированием дыхательных навыков и слухового восприятия. Изделие изготовлено из дерева. Длина дудочки составляет не менее 13 см. Предназначена для многократного использования.</t>
  </si>
  <si>
    <t>Деревянная дудочка (свистковый духовой инструмент)</t>
  </si>
  <si>
    <t>д126</t>
  </si>
  <si>
    <t>Денсаулықты қалай сақтауға болады. Как сохранить здоровье. How to stay fit (каз., рус., англ.яз.)</t>
  </si>
  <si>
    <t>д125</t>
  </si>
  <si>
    <t>Демонстрационные материалы предназначены для наглядного сопровождения занятий по формированию математических представлений. Используются для показа чисел, форм, величин и соотношений. Применяются при объяснении и закреплении учебного материала. Материалы представлены в электронном формате.</t>
  </si>
  <si>
    <t>Демонстрационные материалы по формированию математических представлений (электронная версия)</t>
  </si>
  <si>
    <t>д124</t>
  </si>
  <si>
    <t>Стол для опытов и изучения цвета/света</t>
  </si>
  <si>
    <t xml:space="preserve">Световой стол </t>
  </si>
  <si>
    <t>д123</t>
  </si>
  <si>
    <t>Демонстрационные картинки используются для ознакомления с ягодами. Применяются при рассматривании изображений и обсуждении внешнего вида и названий. В набор входит 16 демонстрационных и 16 раздаточных карточек.</t>
  </si>
  <si>
    <t>Демонстрационные картинки «Ягоды»</t>
  </si>
  <si>
    <t>д122</t>
  </si>
  <si>
    <t>Набор демонстрационных картинок предназначен для ознакомления с бытовыми электроприборами. Используется при рассматривании изображений и обсуждении назначения предметов. В комплект входит 16 демонстрационных и 16 раздаточных карточек.</t>
  </si>
  <si>
    <t>Демонстрационные картинки «Электроприборы»</t>
  </si>
  <si>
    <t>д121</t>
  </si>
  <si>
    <t>Демонстрационные картинки используются для ознакомления с садовыми цветами. Применяются при рассматривании изображений и обсуждении декоративных растений. В набор входит 16 демонстрационных и 16 раздаточных карточек.</t>
  </si>
  <si>
    <t>Демонстрационные картинки «Цветы садовые»</t>
  </si>
  <si>
    <t>д120</t>
  </si>
  <si>
    <t>Дидактический материал предназначен для ознакомления детей с геометрическими формами. Используется для развития логического мышления, зрительного восприятия, навыков классификации и пространственной ориентации. Применяется в образовательной деятельности дошкольного учреждения.</t>
  </si>
  <si>
    <t>«Пішіндер» (Интеллектум)</t>
  </si>
  <si>
    <t>д12</t>
  </si>
  <si>
    <t>Набор демонстрационных картинок предназначен для ознакомления с полевыми цветами. Используется при рассматривании изображений и обсуждении внешних признаков растений. В комплект входит 16 демонстрационных и 16 раздаточных карточек.</t>
  </si>
  <si>
    <t>Демонстрационные картинки «Цветы полевые»</t>
  </si>
  <si>
    <t>д119</t>
  </si>
  <si>
    <t>Демонстрационные картинки используются для ознакомления с фруктами. Применяются при рассматривании изображений и обсуждении внешнего вида и названий. В набор входит 16 демонстрационных и 16 раздаточных карточек.</t>
  </si>
  <si>
    <t>Демонстрационные картинки «Фрукты»</t>
  </si>
  <si>
    <t>д118</t>
  </si>
  <si>
    <t>Набор демонстрационных картинок предназначен для ознакомления с видами транспорта. Используется при рассматривании изображений и обсуждении назначения транспортных средств. В комплект входит 16 демонстрационных и 16 раздаточных карточек.</t>
  </si>
  <si>
    <t>Демонстрационные картинки «Транспорт»</t>
  </si>
  <si>
    <t>д117</t>
  </si>
  <si>
    <t>Демонстрационные картинки используются для ознакомления с птицами, обитающими на территории России. Применяются при рассматривании изображений и обсуждении особенностей видов. В набор входит 16 демонстрационных и 16 раздаточных карточек.</t>
  </si>
  <si>
    <t>Демонстрационные картинки «Птицы России»</t>
  </si>
  <si>
    <t>д116</t>
  </si>
  <si>
    <t>Набор демонстрационных картинок предназначен для ознакомления с птицами различных климатических зон. Используется при сравнении и обсуждении среды обитания. В комплект входит 16 демонстрационных и 16 раздаточных карточек.</t>
  </si>
  <si>
    <t>Демонстрационные картинки «Птицы разных широт»</t>
  </si>
  <si>
    <t>д115</t>
  </si>
  <si>
    <t>Демонстрационные картинки используются для ознакомления с домашними и декоративными птицами. Применяются при рассматривании изображений и обсуждении внешних признаков. Набор включает 16 демонстрационных и 16 раздаточных карточек.</t>
  </si>
  <si>
    <t>Демонстрационные картинки «Птицы домашние и декоративные»</t>
  </si>
  <si>
    <t>д114</t>
  </si>
  <si>
    <t>Набор демонстрационных картинок предназначен для ознакомления с различными профессиями. Используется при рассматривании изображений и обсуждении трудовой деятельности. В комплект входит 16 демонстрационных и 16 раздаточных карточек.</t>
  </si>
  <si>
    <t>Демонстрационные картинки «Профессии»</t>
  </si>
  <si>
    <t>д113</t>
  </si>
  <si>
    <t>Демонстрационные картинки используются для ознакомления с продуктами питания. Применяются при рассматривании изображений и обсуждении групп продуктов. В набор входит 16 демонстрационных и 16 раздаточных карточек.</t>
  </si>
  <si>
    <t>Демонстрационные картинки «Продукты питания»</t>
  </si>
  <si>
    <t>д112</t>
  </si>
  <si>
    <t>Набор демонстрационных картинок предназначен для ознакомления с видами посуды. Используется при рассматривании изображений и обсуждении назначения предметов. В комплект входит 16 демонстрационных и 16 раздаточных карточек.</t>
  </si>
  <si>
    <t>Демонстрационные картинки «Посуда»</t>
  </si>
  <si>
    <t>д111</t>
  </si>
  <si>
    <t>Демонстрационные картинки используются для ознакомления с предметами одежды. Применяются при рассматривании изображений и обсуждении назначения и сезонности. Набор включает 16 демонстрационных и 16 раздаточных карточек.</t>
  </si>
  <si>
    <t>Демонстрационные картинки «Одежда»</t>
  </si>
  <si>
    <t>д110</t>
  </si>
  <si>
    <t>Детская книга-раскраска на основе сказочного сюжета предназначена для развития воображения, речи, творческих способностей и мелкой моторики. Используется в образовательной и художественно-творческой деятельности дошкольников, а также для ознакомления с художественной литературой.</t>
  </si>
  <si>
    <t>«Піл мен жолбарыс. Ертегі. Боямақ»</t>
  </si>
  <si>
    <t>д11</t>
  </si>
  <si>
    <t>Набор демонстрационных картинок предназначен для ознакомления с овощами. Используется при рассматривании изображений и обсуждении внешнего вида и названий. В комплект входит 16 демонстрационных и 16 раздаточных карточек.</t>
  </si>
  <si>
    <t>Демонстрационные картинки «Овощи»</t>
  </si>
  <si>
    <t>д109</t>
  </si>
  <si>
    <t>Демонстрационные картинки используются для ознакомления с насекомыми. Применяются при рассматривании изображений и обсуждении строения и разнообразия насекомых. В набор входит 16 демонстрационных и 16 раздаточных карточек.</t>
  </si>
  <si>
    <t>Демонстрационные картинки «Насекомые»</t>
  </si>
  <si>
    <t>д108</t>
  </si>
  <si>
    <t>Набор демонстрационных картинок предназначен для ознакомления с различными музыкальными инструментами. Используется при рассматривании изображений и обсуждении способов извлечения звука. В комплект входит 16 демонстрационных и 16 раздаточных карточек.</t>
  </si>
  <si>
    <t>Демонстрационные картинки «Музыкальные инструменты»</t>
  </si>
  <si>
    <t>д107</t>
  </si>
  <si>
    <t>Демонстрационные картинки используются для наглядного ознакомления с обитателями морей и океанов. Применяются при рассматривании и обсуждении особенностей морской среды. Набор включает 16 демонстрационных и 16 раздаточных карточек.</t>
  </si>
  <si>
    <t>Демонстрационные картинки «Мир морей и океанов»</t>
  </si>
  <si>
    <t>д106</t>
  </si>
  <si>
    <t>Набор демонстрационных картинок используется для ознакомления с предметами мебели. Применяется при рассматривании изображений и обсуждении назначения предметов. В комплект входит 16 демонстрационных и 16 раздаточных карточек.</t>
  </si>
  <si>
    <t>Демонстрационные картинки «Мебель»</t>
  </si>
  <si>
    <t>д105</t>
  </si>
  <si>
    <t>Демонстрационные картинки предназначены для ознакомления с видами комнатных растений. Используются при рассматривании изображений и обсуждении внешних признаков. Набор включает 16 демонстрационных и 16 раздаточных карточек.</t>
  </si>
  <si>
    <t>Демонстрационные картинки «Комнатные растения»</t>
  </si>
  <si>
    <t>д104</t>
  </si>
  <si>
    <t>Набор демонстрационных картинок используется для наглядного ознакомления с различными видами игрушек. Применяется при рассматривании, сравнении и классификации предметов. В комплект входит 16 демонстрационных и 16 раздаточных карточек.</t>
  </si>
  <si>
    <t>Демонстрационные картинки «Игрушки»</t>
  </si>
  <si>
    <t>д103</t>
  </si>
  <si>
    <t>Демонстрационные картинки используются для ознакомления с животными, обитающими в холодных климатических условиях. Применяются при рассматривании изображений и обсуждении приспособлений к среде. В набор входит 16 демонстрационных и 16 раздаточных карточек.</t>
  </si>
  <si>
    <t>Демонстрационные картинки «Животные холодных широт»</t>
  </si>
  <si>
    <t>д102</t>
  </si>
  <si>
    <t>Набор для изучения управлению роботом Кубо</t>
  </si>
  <si>
    <t>д1013</t>
  </si>
  <si>
    <t>Базовый набор Robo wunderkind для начальных классов</t>
  </si>
  <si>
    <t>Robo Wunderkind Extension Kit</t>
  </si>
  <si>
    <t>д1012</t>
  </si>
  <si>
    <t>Базовый набор Robowunderkind для начальных классов</t>
  </si>
  <si>
    <t xml:space="preserve"> Robo Wunderkind Education Kit</t>
  </si>
  <si>
    <t>д1011</t>
  </si>
  <si>
    <t>Конструктор Lego Education FLL Discover</t>
  </si>
  <si>
    <t xml:space="preserve">Базовый набор робототехники для детей,
 </t>
  </si>
  <si>
    <t>д1010</t>
  </si>
  <si>
    <t>Набор демонстрационных картинок используется для наглядного ознакомления с животными жарких климатических зон. Применяется при рассматривании и сравнении животных разных сред обитания. В комплект входит 16 демонстрационных и 16 раздаточных карточек.</t>
  </si>
  <si>
    <t>Демонстрационные картинки «Животные жарких стран»</t>
  </si>
  <si>
    <t>д101</t>
  </si>
  <si>
    <t>Мягкая зона для запуска мобильных роботов и групповых обсуждений.</t>
  </si>
  <si>
    <t xml:space="preserve">Испытательный полигон </t>
  </si>
  <si>
    <t>д1009</t>
  </si>
  <si>
    <t>Настольный набор для понимания принципов работы механических узлов.</t>
  </si>
  <si>
    <t>Лаборатория шестеренок</t>
  </si>
  <si>
    <t>д1008</t>
  </si>
  <si>
    <t>Игра для развития логического мышления (база перед программированием)</t>
  </si>
  <si>
    <t xml:space="preserve">Основы алгоритмики </t>
  </si>
  <si>
    <t>д1007</t>
  </si>
  <si>
    <t>Интерактивный стенд для изучения передач, вращения и крутящего момента</t>
  </si>
  <si>
    <t>Настенная механика</t>
  </si>
  <si>
    <t>д1006</t>
  </si>
  <si>
    <t>Контейнеры для сортировки конструкторов по типам деталей.</t>
  </si>
  <si>
    <t xml:space="preserve">Глубокие лотки </t>
  </si>
  <si>
    <t>д1005</t>
  </si>
  <si>
    <t>Стеллаж для организации лотков с деталями роботов и микросхемами.</t>
  </si>
  <si>
    <t xml:space="preserve">Система хранения </t>
  </si>
  <si>
    <t>д1004</t>
  </si>
  <si>
    <t>Высота сиденья: 25 – 26 см
Ширина сиденья: 29 см
Глубина сиденья: 27 см
Высота спинки (общая): 52 см</t>
  </si>
  <si>
    <t xml:space="preserve">Стулья </t>
  </si>
  <si>
    <t>д1003</t>
  </si>
  <si>
    <t>Основная рабочая зона для конструирования моделей и работы с инструментами.</t>
  </si>
  <si>
    <t xml:space="preserve">Верстак для сборки </t>
  </si>
  <si>
    <t>д1002</t>
  </si>
  <si>
    <t xml:space="preserve">3D принтер </t>
  </si>
  <si>
    <t>3D принтер A1 Combo</t>
  </si>
  <si>
    <t>д1001</t>
  </si>
  <si>
    <t>Пакет расходных материалов для инструментов Makerspace</t>
  </si>
  <si>
    <t>д1000</t>
  </si>
  <si>
    <t>Демонстрационные картинки предназначены для ознакомления с домашними животными. Используются при рассматривании изображений и обсуждении особенностей содержания и внешнего вида. В набор входит 16 демонстрационных картинок и 16 раздаточных карточек.</t>
  </si>
  <si>
    <t>Демонстрационные картинки «Домашние животные»</t>
  </si>
  <si>
    <t>д100</t>
  </si>
  <si>
    <t>Игра предназначена для расширения познания и для развития
пространственного мышления
ребенка. - карточки – 32 шт.
- дощечка – 1 шт.
- разноцветные детали – 27 шт.
- красные детали – 5 шт.
- розовые детали - 5 шт.
- синие детали - 6 шт.
- желтые детали – 6 шт.
- зеленые детали – 5 шт.</t>
  </si>
  <si>
    <t>«Көркем өрнек» (Интеллектум)</t>
  </si>
  <si>
    <t>д10</t>
  </si>
  <si>
    <t>"Ақылды" боямақ. Жаз. "Умная" раскраска. Раскрась по коду. Лето</t>
  </si>
  <si>
    <t>д1</t>
  </si>
  <si>
    <t>Ролл шторы белые однотонные, ШхВхКв.м2               1310х1650х2160 мм</t>
  </si>
  <si>
    <t>7</t>
  </si>
  <si>
    <t>Ролл шторы белые однотонные, ШхВхКв.м2               910х1650х1500 мм</t>
  </si>
  <si>
    <t>6</t>
  </si>
  <si>
    <t>Ролл шторы белые однотонные, ШхВхКв.м2               2410х3300х7950 мм</t>
  </si>
  <si>
    <t>5</t>
  </si>
  <si>
    <t>Ролл шторы белые однотонные, ШхВхКв.м2               2000х1200х3240 мм</t>
  </si>
  <si>
    <t>4</t>
  </si>
  <si>
    <t>Ролл шторы белые однотонные, ШхВхКв.м2               1210х1810х2190 мм</t>
  </si>
  <si>
    <t>3</t>
  </si>
  <si>
    <t>Ролл шторы белые однотонные, ШхВхКв.м2               1810х1810х3280 мм</t>
  </si>
  <si>
    <t>2</t>
  </si>
  <si>
    <t>Ролл шторы белые однотонные, ШхВхКв.м2               2410х1810х4360 мм</t>
  </si>
  <si>
    <t>1</t>
  </si>
  <si>
    <t/>
  </si>
  <si>
    <t>Помещение камеры охлаждения</t>
  </si>
  <si>
    <t>Оборудование для гончарки</t>
  </si>
  <si>
    <t>Мебель для ИЗО и Ателье</t>
  </si>
  <si>
    <t>Мебель для гончарки</t>
  </si>
  <si>
    <t>Мебель</t>
  </si>
  <si>
    <t>Материалы для гончарки</t>
  </si>
  <si>
    <t>Компьютерная техника и устройства</t>
  </si>
  <si>
    <t>Кладовая овощей</t>
  </si>
  <si>
    <t>Дополнительные товары</t>
  </si>
  <si>
    <t>Групповая</t>
  </si>
  <si>
    <t>Одноразовые стерильные шприцы объёмом 5 мл с иглой 22G (0,7 мм × 30 мм)</t>
  </si>
  <si>
    <t>Шприцы одноразовые с иглами 5,0</t>
  </si>
  <si>
    <t>Стерильные трехкомпонентные шприцы объемом 2 мл с установленной иглой 23G (0, 6 × 30 мм).</t>
  </si>
  <si>
    <t>Шприцы одноразовые с иглами 2,0</t>
  </si>
  <si>
    <t>Стерильные трехкомпонентные шприцы объемом 10 мл с иглой размером 21G (0, 8 × 40 мм).</t>
  </si>
  <si>
    <t>Шприцы одноразовые с иглами 10,0</t>
  </si>
  <si>
    <t>Ширма 2-створчатая (ткань болонь) на колесах</t>
  </si>
  <si>
    <t>Ширмы медицинские (металлический каркас + моющаяся ткань/пластик</t>
  </si>
  <si>
    <t>Шина Крамера при переломах нередко прибегают к способу иммобилизации – креплению бинтами поврежденной верхней конечности к туловищу.</t>
  </si>
  <si>
    <t>Шины Крамера - транспортные проволочные для рук</t>
  </si>
  <si>
    <t>Шина проволочная для нижних конечностей (Шина Крамера) предназначена для фиксации нижней конечности, тазо-бедренного, коленного, голеностопного сустава с костями бедра и голени.</t>
  </si>
  <si>
    <t>Шины Крамера - транспортные проволочные для ног</t>
  </si>
  <si>
    <t>Халат рабочий.
 Цвет серый.
 Рекомендован для защиты от незначительных загрязнений,бытовой и производственной пыли. Подробнее: https://largo.kz/p75874235-halat-seryj.html</t>
  </si>
  <si>
    <t>Халаты темные для уборки</t>
  </si>
  <si>
    <t>Термометр исп.1 (-20+70С) с
 поверкой (комнатный,скл.помещения) 
  применяется для измерения
 температуры в складских и производственных
 помещениях</t>
  </si>
  <si>
    <t>СТОЛ С 2 МОЙКАМИ CE-TCE120X70</t>
  </si>
  <si>
    <t>Простыня 140*80, пл. 40, нестер. — это медицинский расходный материал, который используется для защиты операционного стола, инструментов и пациента от инфекций и загрязнений. Эта простыня имеет следующие характеристики:</t>
  </si>
  <si>
    <t>Простыни одноразовые</t>
  </si>
  <si>
    <t>Полотенца одноразовые из спанлейса, 35*70 см, 40 г/м2, 50 шт/упак</t>
  </si>
  <si>
    <t>Полотенца одноразовые</t>
  </si>
  <si>
    <t>Перчатки из резины</t>
  </si>
  <si>
    <t>Облучатель ультрафиолетовый
 кварцевый ОУФК-01 Солнышко (Стандартная комплектация)</t>
  </si>
  <si>
    <t>Облучатель ультрафиолетовый (кварцевая лампа) с комплектом тубусов</t>
  </si>
  <si>
    <t>Мойка 120х60 (F147 (L) МОЙКА ДВОЙНАЯ ) (УГЛУБЛЕННАЯ )</t>
  </si>
  <si>
    <t>Мойка двойная</t>
  </si>
  <si>
    <t>Маска на резинках медицинская 3-х слойная</t>
  </si>
  <si>
    <t>Маски одноразовые</t>
  </si>
  <si>
    <t>Бак для сбора медицинских отходов (класс Б) 1 литр</t>
  </si>
  <si>
    <t>Контейнер для отходов класса Б</t>
  </si>
  <si>
    <t>Бак с крышкой для сбора медицинских отходов (класс А) 10 литров</t>
  </si>
  <si>
    <t>Контейнер для отходов класса А</t>
  </si>
  <si>
    <t>Зонт вытяжной вентиляционный размерами 600х300мм</t>
  </si>
  <si>
    <t>Зонт вытяжной вентиляционный размерами 1600х800мм</t>
  </si>
  <si>
    <t>Зонт вытяжной вентиляционный размерами 1200х700мм</t>
  </si>
  <si>
    <t>Зонт вытяжной вентиляционный размерами 1200х700 мм</t>
  </si>
  <si>
    <t>Жгут резиновый</t>
  </si>
  <si>
    <t xml:space="preserve">Ларь имеет жесткую модульную конструкцию, изготовленную из стального листа толщиной 1,2 мм. покрыт экологически чистой полимерно-порошковой краской;
Одна дверка с ручкой;
Поставляется в собранном виде </t>
  </si>
  <si>
    <t>Емкость для хранения ветошей</t>
  </si>
  <si>
    <t>Габаритные размеры:496х328х195 мм
 Масса не более — (3,7±0,185)кг
 Внутренний размер поддона по диагонали – 470мм
 Внутренние размеры поддона 320х252х165 мм
 Полезный объём — 10 литров
 Полный объём — (15 ±0, 75) литров</t>
  </si>
  <si>
    <t>Емкость для уничтожения остатков вакцин</t>
  </si>
  <si>
    <t>Емкость-контейнер</t>
  </si>
  <si>
    <t>Емкость для дезинфицирующих растворов</t>
  </si>
  <si>
    <t>Емкость-контейнер для дезинфекции и
 предстерилизационной обработки</t>
  </si>
  <si>
    <t>Емкости для дезинфекции инструментов и поверхностей</t>
  </si>
  <si>
    <t>Дозатор для житкого мыла</t>
  </si>
  <si>
    <t>Медицинский локтевой дозатор для антисептика 1000 мл.</t>
  </si>
  <si>
    <t>Дозатор для антисептика</t>
  </si>
  <si>
    <t>Грелка резиновая - это резиновый баллон с объемом 2000 мл с завинчивающейся крышкой.</t>
  </si>
  <si>
    <t>Грелка резиновая</t>
  </si>
  <si>
    <t>Ткань обтирочная нетканая холстопрошивная
ширина:140см</t>
  </si>
  <si>
    <t xml:space="preserve">Ветоши </t>
  </si>
  <si>
    <t>ведро для воды 10 л</t>
  </si>
  <si>
    <t>Ведро для воды 10 л</t>
  </si>
  <si>
    <t>Аппарат УВЧ-терапии УВЧ - 30 «Мед ТеКо»</t>
  </si>
  <si>
    <t>Аппарат для терапии ультравысокой частоты (УВЧ-терапия)</t>
  </si>
  <si>
    <t>Аппарат для низкочастотной
 магнитотерапии переносной Полюс-101
 Для лечения конечностей больного
 магнитным полем повышенной частоты</t>
  </si>
  <si>
    <t>Аппарат для магнитотерапии (низкочастотной)</t>
  </si>
  <si>
    <t>Компрессорный небулайзер, ингалятор Omron Comp Air NE-C28, модель NE-C28-RU,
 предназначен для лечения различных
 респираторных заболеваний путем вдыхания
 специальных лекарственных средств.</t>
  </si>
  <si>
    <t>Аппарат для ингаляционной терапии (небулайзер компрессорный)</t>
  </si>
  <si>
    <t>Аппарат дарсонвализации «Ультрадар - Мед ТеКо» (Д) - предназначен для лечебного воздействия импульсным переменным током средней частоты высокого напряжения.</t>
  </si>
  <si>
    <t>Аппарат для дарсонвализации (ультратонотерапии)</t>
  </si>
  <si>
    <t>Аппарат электротерапии Поток-1
 предназначен воздействия постоянным
 током на организм человека, а также
 проведения лекарственного
 электрофореза.</t>
  </si>
  <si>
    <t>Аппарат для гальванизации и лекарственного электрофореза (портативный)</t>
  </si>
  <si>
    <t>поисковая маска</t>
  </si>
  <si>
    <t>поисковый текст</t>
  </si>
  <si>
    <t>SUM из Кол-во</t>
  </si>
  <si>
    <t>Цена с НДС, в тенге</t>
  </si>
  <si>
    <t>Описание</t>
  </si>
  <si>
    <t>Наименование товара</t>
  </si>
  <si>
    <t>Код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</si>
</sst>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sz val="10"/>
      <color theme="1"/>
      <name val="Arial"/>
    </font>
    <font>
      <b/>
      <sz val="10"/>
      <color rgb="FF000000"/>
      <name val="Arial"/>
    </font>
    <font>
      <b/>
      <sz val="10"/>
      <color theme="1"/>
      <name val="Arial"/>
    </font>
  </fonts>
  <fills count="3">
    <fill>
      <patternFill patternType="none"/>
    </fill>
    <fill>
      <patternFill patternType="gray125"/>
    </fill>
    <fill>
      <patternFill patternType="solid">
        <fgColor rgb="FFCFE2F3"/>
        <bgColor rgb="FFCFE2F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xf numFmtId="0" fontId="1" fillId="0" borderId="0" xfId="0" applyFont="1" applyAlignment="1">
      <alignment wrapText="1"/>
    </xf>
    <xf numFmtId="0" fontId="1" fillId="0" borderId="0" xfId="0" applyFont="1" applyAlignment="1">
      <alignment vertical="center"/>
    </xf>
    <xf numFmtId="0" fontId="2" fillId="0" borderId="0" xfId="0" applyFont="1"/>
    <xf numFmtId="0" fontId="1" fillId="0" borderId="1" xfId="0" applyFont="1" applyBorder="1" applyAlignment="1">
      <alignment vertical="center"/>
    </xf>
    <xf numFmtId="3" fontId="2" fillId="0" borderId="1" xfId="0" applyNumberFormat="1" applyFont="1" applyBorder="1" applyAlignment="1">
      <alignment horizontal="right" vertical="center" wrapText="1"/>
    </xf>
    <xf numFmtId="4" fontId="2" fillId="0" borderId="1" xfId="0" applyNumberFormat="1" applyFont="1" applyBorder="1" applyAlignment="1">
      <alignment horizontal="right" vertical="center" wrapText="1"/>
    </xf>
    <xf numFmtId="0" fontId="2" fillId="0" borderId="1" xfId="0" applyFont="1" applyBorder="1" applyAlignment="1">
      <alignment vertical="center" wrapText="1"/>
    </xf>
    <xf numFmtId="49" fontId="2" fillId="0" borderId="1" xfId="0" applyNumberFormat="1" applyFont="1" applyBorder="1" applyAlignment="1">
      <alignment vertical="center" wrapText="1"/>
    </xf>
    <xf numFmtId="4" fontId="2" fillId="0" borderId="1" xfId="0" applyNumberFormat="1" applyFont="1" applyBorder="1" applyAlignment="1">
      <alignment vertical="center" wrapText="1"/>
    </xf>
    <xf numFmtId="3" fontId="2" fillId="0" borderId="1" xfId="0" applyNumberFormat="1" applyFont="1" applyBorder="1" applyAlignment="1">
      <alignment vertical="center" wrapText="1"/>
    </xf>
    <xf numFmtId="2" fontId="2" fillId="0" borderId="1" xfId="0" applyNumberFormat="1" applyFont="1" applyBorder="1" applyAlignment="1">
      <alignment horizontal="right" vertical="center" wrapText="1"/>
    </xf>
    <xf numFmtId="0" fontId="2" fillId="0" borderId="1" xfId="0" applyFont="1" applyBorder="1" applyAlignment="1">
      <alignment horizontal="right" vertical="center" wrapText="1"/>
    </xf>
    <xf numFmtId="0" fontId="3" fillId="2" borderId="1" xfId="0" applyFont="1" applyFill="1" applyBorder="1" applyAlignment="1">
      <alignment horizontal="center" vertical="center" wrapText="1"/>
    </xf>
    <xf numFmtId="3" fontId="4"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49" fontId="4" fillId="2" borderId="1" xfId="0" applyNumberFormat="1"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7E73B-0F13-446C-9630-064D10FA3276}">
  <sheetPr>
    <outlinePr summaryBelow="0" summaryRight="0"/>
  </sheetPr>
  <dimension ref="A1:J2885"/>
  <sheetViews>
    <sheetView showGridLines="0" tabSelected="1" workbookViewId="0">
      <pane ySplit="1" topLeftCell="A141" activePane="bottomLeft" state="frozen"/>
      <selection pane="bottomLeft" activeCell="B3" sqref="B3"/>
    </sheetView>
  </sheetViews>
  <sheetFormatPr defaultColWidth="12.5703125" defaultRowHeight="15.75" customHeight="1" x14ac:dyDescent="0.2"/>
  <cols>
    <col min="1" max="1" width="13.140625" customWidth="1"/>
    <col min="2" max="2" width="41.42578125" customWidth="1"/>
    <col min="3" max="3" width="102.28515625" customWidth="1"/>
    <col min="6" max="6" width="13.85546875" customWidth="1"/>
    <col min="7" max="7" width="14.42578125" customWidth="1"/>
    <col min="8" max="8" width="24.42578125" customWidth="1"/>
    <col min="9" max="10" width="55" customWidth="1"/>
  </cols>
  <sheetData>
    <row r="1" spans="1:10" ht="40.5" customHeight="1" x14ac:dyDescent="0.2">
      <c r="A1" s="16" t="s">
        <v>3502</v>
      </c>
      <c r="B1" s="15" t="s">
        <v>3501</v>
      </c>
      <c r="C1" s="15" t="s">
        <v>3500</v>
      </c>
      <c r="D1" s="14" t="s">
        <v>3499</v>
      </c>
      <c r="E1" s="13" t="s">
        <v>3498</v>
      </c>
      <c r="F1" s="2" t="s">
        <v>3497</v>
      </c>
      <c r="G1" s="2" t="s">
        <v>3496</v>
      </c>
      <c r="I1" s="1"/>
      <c r="J1" s="1"/>
    </row>
    <row r="2" spans="1:10" ht="29.25" customHeight="1" x14ac:dyDescent="0.2">
      <c r="A2" s="7"/>
      <c r="B2" s="7" t="s">
        <v>3495</v>
      </c>
      <c r="C2" s="7" t="s">
        <v>3494</v>
      </c>
      <c r="D2" s="6">
        <v>300900</v>
      </c>
      <c r="E2" s="5">
        <v>1</v>
      </c>
      <c r="F2" s="4" t="str">
        <f ca="1">IFERROR(__xludf.DUMMYFUNCTION("REGEXREPLACE(B2&amp;"" ""&amp;C2,""[^а-яa-z0-9 ]"","" "")")," ппарат для гальванизации и лекарственного электрофореза  портативный   ппарат электротерапии  оток 1  предназначен воздействия постоянным  током на организм человека  а также  проведения лекарственного  электрофореза ")</f>
        <v xml:space="preserve"> ппарат для гальванизации и лекарственного электрофореза  портативный   ппарат электротерапии  оток 1  предназначен воздействия постоянным  током на организм человека  а также  проведения лекарственного  электрофореза </v>
      </c>
      <c r="G2" s="4" t="str">
        <f ca="1">IFERROR(__xludf.DUMMYFUNCTION("TEXTJOIN(""|"",TRUE,UNIQUE(FILTER(SPLIT(F2,"" ""),LEN(SPLIT(F2,"" ""))&gt;2)))"),"ппарат|для|гальванизации|лекарственного|электрофореза|портативный|ппарат|электротерапии|оток|предназначен|воздействия|постоянным|током|организм|человека|также|проведения|лекарственного|электрофореза")</f>
        <v>ппарат|для|гальванизации|лекарственного|электрофореза|портативный|ппарат|электротерапии|оток|предназначен|воздействия|постоянным|током|организм|человека|также|проведения|лекарственного|электрофореза</v>
      </c>
      <c r="I2" s="1"/>
      <c r="J2" s="1"/>
    </row>
    <row r="3" spans="1:10" x14ac:dyDescent="0.2">
      <c r="A3" s="7"/>
      <c r="B3" s="7" t="s">
        <v>3493</v>
      </c>
      <c r="C3" s="7" t="s">
        <v>3492</v>
      </c>
      <c r="D3" s="6">
        <v>1627750</v>
      </c>
      <c r="E3" s="5">
        <v>1</v>
      </c>
      <c r="F3" s="4" t="str">
        <f ca="1">IFERROR(__xludf.DUMMYFUNCTION("LOWER(REGEXREPLACE(B3&amp;"" ""&amp;C3,""[^а-яa-z0-9 ]"","" ""))")," ппарат для дарсонвализации  ультратонотерапии   ппарат дарсонвализации   льтрадар    ед  е о        предназначен для лечебного воздействия импульсным переменным током средней частоты высокого напряжения ")</f>
        <v xml:space="preserve"> ппарат для дарсонвализации  ультратонотерапии   ппарат дарсонвализации   льтрадар    ед  е о        предназначен для лечебного воздействия импульсным переменным током средней частоты высокого напряжения </v>
      </c>
      <c r="G3" s="4" t="str">
        <f ca="1">IFERROR(__xludf.DUMMYFUNCTION("TEXTJOIN(""|"",TRUE,UNIQUE(FILTER(SPLIT(F3,"" ""),LEN(SPLIT(F3,"" ""))&gt;2)))"),"ппарат|для|дарсонвализации|ультратонотерапии|ппарат|дарсонвализации|льтрадар|предназначен|для|лечебного|воздействия|импульсным|переменным|током|средней|частоты|высокого|напряжения")</f>
        <v>ппарат|для|дарсонвализации|ультратонотерапии|ппарат|дарсонвализации|льтрадар|предназначен|для|лечебного|воздействия|импульсным|переменным|током|средней|частоты|высокого|напряжения</v>
      </c>
      <c r="I3" s="1"/>
      <c r="J3" s="1"/>
    </row>
    <row r="4" spans="1:10" x14ac:dyDescent="0.2">
      <c r="A4" s="7"/>
      <c r="B4" s="7" t="s">
        <v>3491</v>
      </c>
      <c r="C4" s="7" t="s">
        <v>3490</v>
      </c>
      <c r="D4" s="6">
        <v>104210</v>
      </c>
      <c r="E4" s="12">
        <v>1</v>
      </c>
      <c r="F4" s="4" t="str">
        <f ca="1">IFERROR(__xludf.DUMMYFUNCTION("LOWER(REGEXREPLACE(B4&amp;"" ""&amp;C4,""[^а-яa-z0-9 ]"","" ""))")," ппарат для ингаляционной терапии  небулайзер компрессорный   омпрессорный небулайзер  ингалятор  mron  omp  ir     28  модель     28      предназначен для лечения различных  респираторных заболеваний путем вдыхания  специальных лекарственных средств ")</f>
        <v xml:space="preserve"> ппарат для ингаляционной терапии  небулайзер компрессорный   омпрессорный небулайзер  ингалятор  mron  omp  ir     28  модель     28      предназначен для лечения различных  респираторных заболеваний путем вдыхания  специальных лекарственных средств </v>
      </c>
      <c r="G4" s="4" t="str">
        <f ca="1">IFERROR(__xludf.DUMMYFUNCTION("TEXTJOIN(""|"",TRUE,UNIQUE(FILTER(SPLIT(F4,"" ""),LEN(SPLIT(F4,"" ""))&gt;2)))"),"ппарат|для|ингаляционной|терапии|небулайзер|компрессорный|омпрессорный|небулайзер|ингалятор|mron|omp|модель|предназначен|для|лечения|различных|респираторных|заболеваний|путем|вдыхания|специальных|лекарственных|средств")</f>
        <v>ппарат|для|ингаляционной|терапии|небулайзер|компрессорный|омпрессорный|небулайзер|ингалятор|mron|omp|модель|предназначен|для|лечения|различных|респираторных|заболеваний|путем|вдыхания|специальных|лекарственных|средств</v>
      </c>
      <c r="I4" s="1"/>
      <c r="J4" s="1"/>
    </row>
    <row r="5" spans="1:10" x14ac:dyDescent="0.2">
      <c r="A5" s="7"/>
      <c r="B5" s="7" t="s">
        <v>3489</v>
      </c>
      <c r="C5" s="7" t="s">
        <v>3488</v>
      </c>
      <c r="D5" s="6">
        <v>2419100</v>
      </c>
      <c r="E5" s="5">
        <v>1</v>
      </c>
      <c r="F5" s="4" t="str">
        <f ca="1">IFERROR(__xludf.DUMMYFUNCTION("LOWER(REGEXREPLACE(B5&amp;"" ""&amp;C5,""[^а-яa-z0-9 ]"","" ""))")," ппарат для магнитотерапии  низкочастотной   ппарат для низкочастотной  магнитотерапии переносной  олюс 101   ля лечения конечностей больного  магнитным полем повышенной частоты")</f>
        <v xml:space="preserve"> ппарат для магнитотерапии  низкочастотной   ппарат для низкочастотной  магнитотерапии переносной  олюс 101   ля лечения конечностей больного  магнитным полем повышенной частоты</v>
      </c>
      <c r="G5" s="4" t="str">
        <f ca="1">IFERROR(__xludf.DUMMYFUNCTION("TEXTJOIN(""|"",TRUE,UNIQUE(FILTER(SPLIT(F5,"" ""),LEN(SPLIT(F5,"" ""))&gt;2)))"),"ппарат|для|магнитотерапии|низкочастотной|ппарат|для|низкочастотной|магнитотерапии|переносной|олюс|101|лечения|конечностей|больного|магнитным|полем|повышенной|частоты")</f>
        <v>ппарат|для|магнитотерапии|низкочастотной|ппарат|для|низкочастотной|магнитотерапии|переносной|олюс|101|лечения|конечностей|больного|магнитным|полем|повышенной|частоты</v>
      </c>
      <c r="I5" s="1"/>
      <c r="J5" s="1"/>
    </row>
    <row r="6" spans="1:10" x14ac:dyDescent="0.2">
      <c r="A6" s="7"/>
      <c r="B6" s="7" t="s">
        <v>3487</v>
      </c>
      <c r="C6" s="7" t="s">
        <v>3486</v>
      </c>
      <c r="D6" s="6">
        <v>2023000</v>
      </c>
      <c r="E6" s="5">
        <v>1</v>
      </c>
      <c r="F6" s="4" t="str">
        <f ca="1">IFERROR(__xludf.DUMMYFUNCTION("LOWER(REGEXREPLACE(B6&amp;"" ""&amp;C6,""[^а-яa-z0-9 ]"","" ""))")," ппарат для терапии ультравысокой частоты      терапия   ппарат     терапии       30   ед  е о ")</f>
        <v xml:space="preserve"> ппарат для терапии ультравысокой частоты      терапия   ппарат     терапии       30   ед  е о </v>
      </c>
      <c r="G6" s="4" t="str">
        <f ca="1">IFERROR(__xludf.DUMMYFUNCTION("TEXTJOIN(""|"",TRUE,UNIQUE(FILTER(SPLIT(F6,"" ""),LEN(SPLIT(F6,"" ""))&gt;2)))"),"ппарат|для|терапии|ультравысокой|частоты|терапия|ппарат|терапии")</f>
        <v>ппарат|для|терапии|ультравысокой|частоты|терапия|ппарат|терапии</v>
      </c>
      <c r="I6" s="1"/>
      <c r="J6" s="1"/>
    </row>
    <row r="7" spans="1:10" x14ac:dyDescent="0.2">
      <c r="A7" s="7"/>
      <c r="B7" s="7" t="s">
        <v>3485</v>
      </c>
      <c r="C7" s="7" t="s">
        <v>3484</v>
      </c>
      <c r="D7" s="6">
        <v>1800</v>
      </c>
      <c r="E7" s="5">
        <v>1</v>
      </c>
      <c r="F7" s="4" t="str">
        <f ca="1">IFERROR(__xludf.DUMMYFUNCTION("LOWER(REGEXREPLACE(B7&amp;"" ""&amp;C7,""[^а-яa-z0-9 ]"","" ""))")," едро для воды 10 л ведро для воды 10 л")</f>
        <v xml:space="preserve"> едро для воды 10 л ведро для воды 10 л</v>
      </c>
      <c r="G7" s="4" t="str">
        <f ca="1">IFERROR(__xludf.DUMMYFUNCTION("TEXTJOIN(""|"",TRUE,UNIQUE(FILTER(SPLIT(F7,"" ""),LEN(SPLIT(F7,"" ""))&gt;2)))"),"едро|для|воды|ведро|для|воды")</f>
        <v>едро|для|воды|ведро|для|воды</v>
      </c>
      <c r="I7" s="1"/>
      <c r="J7" s="1"/>
    </row>
    <row r="8" spans="1:10" x14ac:dyDescent="0.2">
      <c r="A8" s="7"/>
      <c r="B8" s="7" t="s">
        <v>3483</v>
      </c>
      <c r="C8" s="7" t="s">
        <v>3482</v>
      </c>
      <c r="D8" s="6">
        <v>61200</v>
      </c>
      <c r="E8" s="5">
        <v>10</v>
      </c>
      <c r="F8" s="4" t="str">
        <f ca="1">IFERROR(__xludf.DUMMYFUNCTION("LOWER(REGEXREPLACE(B8&amp;"" ""&amp;C8,""[^а-яa-z0-9 ]"","" ""))")," етоши   кань обтирочная нетканая холстопрошивная  ширина 140см")</f>
        <v xml:space="preserve"> етоши   кань обтирочная нетканая холстопрошивная  ширина 140см</v>
      </c>
      <c r="G8" s="4" t="str">
        <f ca="1">IFERROR(__xludf.DUMMYFUNCTION("TEXTJOIN(""|"",TRUE,UNIQUE(FILTER(SPLIT(F8,"" ""),LEN(SPLIT(F8,"" ""))&gt;2)))"),"етоши|кань|обтирочная|нетканая|холстопрошивная|ширина|140см")</f>
        <v>етоши|кань|обтирочная|нетканая|холстопрошивная|ширина|140см</v>
      </c>
      <c r="I8" s="1"/>
      <c r="J8" s="1"/>
    </row>
    <row r="9" spans="1:10" x14ac:dyDescent="0.2">
      <c r="A9" s="7"/>
      <c r="B9" s="7" t="s">
        <v>3481</v>
      </c>
      <c r="C9" s="7" t="s">
        <v>3480</v>
      </c>
      <c r="D9" s="6">
        <v>4900</v>
      </c>
      <c r="E9" s="5">
        <v>2</v>
      </c>
      <c r="F9" s="4" t="str">
        <f ca="1">IFERROR(__xludf.DUMMYFUNCTION("LOWER(REGEXREPLACE(B9&amp;"" ""&amp;C9,""[^а-яa-z0-9 ]"","" ""))")," релка резиновая  релка резиновая   это резиновый баллон с объемом 2000 мл с завинчивающейся крышкой ")</f>
        <v xml:space="preserve"> релка резиновая  релка резиновая   это резиновый баллон с объемом 2000 мл с завинчивающейся крышкой </v>
      </c>
      <c r="G9" s="4" t="str">
        <f ca="1">IFERROR(__xludf.DUMMYFUNCTION("TEXTJOIN(""|"",TRUE,UNIQUE(FILTER(SPLIT(F9,"" ""),LEN(SPLIT(F9,"" ""))&gt;2)))"),"релка|резиновая|релка|резиновая|это|резиновый|баллон|объемом|2000|завинчивающейся|крышкой")</f>
        <v>релка|резиновая|релка|резиновая|это|резиновый|баллон|объемом|2000|завинчивающейся|крышкой</v>
      </c>
      <c r="I9" s="1"/>
      <c r="J9" s="1"/>
    </row>
    <row r="10" spans="1:10" x14ac:dyDescent="0.2">
      <c r="A10" s="7"/>
      <c r="B10" s="7" t="s">
        <v>3479</v>
      </c>
      <c r="C10" s="7" t="s">
        <v>3478</v>
      </c>
      <c r="D10" s="6">
        <v>13500</v>
      </c>
      <c r="E10" s="5">
        <v>2</v>
      </c>
      <c r="F10" s="4" t="str">
        <f ca="1">IFERROR(__xludf.DUMMYFUNCTION("LOWER(REGEXREPLACE(B10&amp;"" ""&amp;C10,""[^а-яa-z0-9 ]"","" ""))")," озатор для антисептика  едицинский локтевой дозатор для антисептика 1000 мл ")</f>
        <v xml:space="preserve"> озатор для антисептика  едицинский локтевой дозатор для антисептика 1000 мл </v>
      </c>
      <c r="G10" s="4" t="str">
        <f ca="1">IFERROR(__xludf.DUMMYFUNCTION("TEXTJOIN(""|"",TRUE,UNIQUE(FILTER(SPLIT(F10,"" ""),LEN(SPLIT(F10,"" ""))&gt;2)))"),"озатор|для|антисептика|едицинский|локтевой|дозатор|для|антисептика|1000")</f>
        <v>озатор|для|антисептика|едицинский|локтевой|дозатор|для|антисептика|1000</v>
      </c>
      <c r="I10" s="1"/>
      <c r="J10" s="1"/>
    </row>
    <row r="11" spans="1:10" x14ac:dyDescent="0.2">
      <c r="A11" s="7"/>
      <c r="B11" s="7" t="s">
        <v>3477</v>
      </c>
      <c r="C11" s="7" t="s">
        <v>646</v>
      </c>
      <c r="D11" s="6">
        <v>12000</v>
      </c>
      <c r="E11" s="5">
        <v>2</v>
      </c>
      <c r="F11" s="4" t="str">
        <f ca="1">IFERROR(__xludf.DUMMYFUNCTION("LOWER(REGEXREPLACE(B11&amp;"" ""&amp;C11,""[^а-яa-z0-9 ]"","" ""))")," озатор для житкого мыла  озатор для жидкого мыла")</f>
        <v xml:space="preserve"> озатор для житкого мыла  озатор для жидкого мыла</v>
      </c>
      <c r="G11" s="4" t="str">
        <f ca="1">IFERROR(__xludf.DUMMYFUNCTION("TEXTJOIN(""|"",TRUE,UNIQUE(FILTER(SPLIT(F11,"" ""),LEN(SPLIT(F11,"" ""))&gt;2)))"),"озатор|для|житкого|мыла|озатор|для|жидкого|мыла")</f>
        <v>озатор|для|житкого|мыла|озатор|для|жидкого|мыла</v>
      </c>
      <c r="I11" s="1"/>
      <c r="J11" s="1"/>
    </row>
    <row r="12" spans="1:10" x14ac:dyDescent="0.2">
      <c r="A12" s="7"/>
      <c r="B12" s="7" t="s">
        <v>3476</v>
      </c>
      <c r="C12" s="7" t="s">
        <v>3475</v>
      </c>
      <c r="D12" s="6">
        <v>14490</v>
      </c>
      <c r="E12" s="5">
        <v>1</v>
      </c>
      <c r="F12" s="4" t="str">
        <f ca="1">IFERROR(__xludf.DUMMYFUNCTION("LOWER(REGEXREPLACE(B12&amp;"" ""&amp;C12,""[^а-яa-z0-9 ]"","" ""))")," мкости для дезинфекции инструментов и поверхностей  мкость контейнер для дезинфекции и  предстерилизационной обработки")</f>
        <v xml:space="preserve"> мкости для дезинфекции инструментов и поверхностей  мкость контейнер для дезинфекции и  предстерилизационной обработки</v>
      </c>
      <c r="G12" s="4" t="str">
        <f ca="1">IFERROR(__xludf.DUMMYFUNCTION("TEXTJOIN(""|"",TRUE,UNIQUE(FILTER(SPLIT(F12,"" ""),LEN(SPLIT(F12,"" ""))&gt;2)))"),"мкости|для|дезинфекции|инструментов|поверхностей|мкость|контейнер|для|дезинфекции|предстерилизационной|обработки")</f>
        <v>мкости|для|дезинфекции|инструментов|поверхностей|мкость|контейнер|для|дезинфекции|предстерилизационной|обработки</v>
      </c>
      <c r="I12" s="1"/>
      <c r="J12" s="1"/>
    </row>
    <row r="13" spans="1:10" x14ac:dyDescent="0.2">
      <c r="A13" s="7"/>
      <c r="B13" s="7" t="s">
        <v>3474</v>
      </c>
      <c r="C13" s="7" t="s">
        <v>3473</v>
      </c>
      <c r="D13" s="6">
        <v>14220</v>
      </c>
      <c r="E13" s="5">
        <v>1</v>
      </c>
      <c r="F13" s="4" t="str">
        <f ca="1">IFERROR(__xludf.DUMMYFUNCTION("LOWER(REGEXREPLACE(B13&amp;"" ""&amp;C13,""[^а-яa-z0-9 ]"","" ""))")," мкость для дезинфицирующих растворов  мкость контейнер")</f>
        <v xml:space="preserve"> мкость для дезинфицирующих растворов  мкость контейнер</v>
      </c>
      <c r="G13" s="4" t="str">
        <f ca="1">IFERROR(__xludf.DUMMYFUNCTION("TEXTJOIN(""|"",TRUE,UNIQUE(FILTER(SPLIT(F13,"" ""),LEN(SPLIT(F13,"" ""))&gt;2)))"),"мкость|для|дезинфицирующих|растворов|мкость|контейнер")</f>
        <v>мкость|для|дезинфицирующих|растворов|мкость|контейнер</v>
      </c>
      <c r="I13" s="1"/>
      <c r="J13" s="1"/>
    </row>
    <row r="14" spans="1:10" x14ac:dyDescent="0.2">
      <c r="A14" s="7"/>
      <c r="B14" s="7" t="s">
        <v>3472</v>
      </c>
      <c r="C14" s="7" t="s">
        <v>3471</v>
      </c>
      <c r="D14" s="6">
        <v>31860</v>
      </c>
      <c r="E14" s="5">
        <v>2</v>
      </c>
      <c r="F14" s="4" t="str">
        <f ca="1">IFERROR(__xludf.DUMMYFUNCTION("LOWER(REGEXREPLACE(B14&amp;"" ""&amp;C14,""[^а-яa-z0-9 ]"","" ""))")," мкость для уничтожения остатков вакцин  абаритные размеры 496х328х195 мм   асса не более    3 7 0 185 кг   нутренний размер поддона по диагонали   470мм   нутренние размеры поддона 320х252х165 мм   олезный объ м   10 литров   олный объ м    15  0  75  ли"&amp;"тров")</f>
        <v xml:space="preserve"> мкость для уничтожения остатков вакцин  абаритные размеры 496х328х195 мм   асса не более    3 7 0 185 кг   нутренний размер поддона по диагонали   470мм   нутренние размеры поддона 320х252х165 мм   олезный объ м   10 литров   олный объ м    15  0  75  литров</v>
      </c>
      <c r="G14" s="4" t="str">
        <f ca="1">IFERROR(__xludf.DUMMYFUNCTION("TEXTJOIN(""|"",TRUE,UNIQUE(FILTER(SPLIT(F14,"" ""),LEN(SPLIT(F14,"" ""))&gt;2)))"),"мкость|для|уничтожения|остатков|вакцин|абаритные|размеры|496х328х195|асса|более|185|нутренний|размер|поддона|диагонали|470мм|нутренние|размеры|поддона|320х252х165|олезный|объ|литров|олный|объ|литров")</f>
        <v>мкость|для|уничтожения|остатков|вакцин|абаритные|размеры|496х328х195|асса|более|185|нутренний|размер|поддона|диагонали|470мм|нутренние|размеры|поддона|320х252х165|олезный|объ|литров|олный|объ|литров</v>
      </c>
      <c r="I14" s="1"/>
      <c r="J14" s="1"/>
    </row>
    <row r="15" spans="1:10" x14ac:dyDescent="0.2">
      <c r="A15" s="7"/>
      <c r="B15" s="7" t="s">
        <v>3470</v>
      </c>
      <c r="C15" s="7" t="s">
        <v>3469</v>
      </c>
      <c r="D15" s="6">
        <v>198000</v>
      </c>
      <c r="E15" s="5">
        <v>1</v>
      </c>
      <c r="F15" s="4" t="str">
        <f ca="1">IFERROR(__xludf.DUMMYFUNCTION("LOWER(REGEXREPLACE(B15&amp;"" ""&amp;C15,""[^а-яa-z0-9 ]"","" ""))")," мкость для хранения ветошей  арь имеет жесткую модульную конструкцию  изготовленную из стального листа толщиной 1 2 мм  покрыт экологически чистой полимерно порошковой краской   дна дверка с ручкой   оставляется в собранном виде ")</f>
        <v xml:space="preserve"> мкость для хранения ветошей  арь имеет жесткую модульную конструкцию  изготовленную из стального листа толщиной 1 2 мм  покрыт экологически чистой полимерно порошковой краской   дна дверка с ручкой   оставляется в собранном виде </v>
      </c>
      <c r="G15" s="4" t="str">
        <f ca="1">IFERROR(__xludf.DUMMYFUNCTION("TEXTJOIN(""|"",TRUE,UNIQUE(FILTER(SPLIT(F15,"" ""),LEN(SPLIT(F15,"" ""))&gt;2)))"),"мкость|для|хранения|ветошей|арь|имеет|жесткую|модульную|конструкцию|изготовленную|стального|листа|толщиной|покрыт|экологически|чистой|полимерно|порошковой|краской|дна|дверка|ручкой|оставляется|собранном|виде")</f>
        <v>мкость|для|хранения|ветошей|арь|имеет|жесткую|модульную|конструкцию|изготовленную|стального|листа|толщиной|покрыт|экологически|чистой|полимерно|порошковой|краской|дна|дверка|ручкой|оставляется|собранном|виде</v>
      </c>
      <c r="I15" s="1"/>
      <c r="J15" s="1"/>
    </row>
    <row r="16" spans="1:10" x14ac:dyDescent="0.2">
      <c r="A16" s="7"/>
      <c r="B16" s="7" t="s">
        <v>3468</v>
      </c>
      <c r="C16" s="7" t="s">
        <v>3108</v>
      </c>
      <c r="D16" s="6">
        <v>2810</v>
      </c>
      <c r="E16" s="5">
        <v>2</v>
      </c>
      <c r="F16" s="4" t="str">
        <f ca="1">IFERROR(__xludf.DUMMYFUNCTION("LOWER(REGEXREPLACE(B16&amp;"" ""&amp;C16,""[^а-яa-z0-9 ]"","" ""))")," гут резиновый  спользуется для временной остановки кровотечения и при проведении медицинских процедур ")</f>
        <v xml:space="preserve"> гут резиновый  спользуется для временной остановки кровотечения и при проведении медицинских процедур </v>
      </c>
      <c r="G16" s="4" t="str">
        <f ca="1">IFERROR(__xludf.DUMMYFUNCTION("TEXTJOIN(""|"",TRUE,UNIQUE(FILTER(SPLIT(F16,"" ""),LEN(SPLIT(F16,"" ""))&gt;2)))"),"гут|резиновый|спользуется|для|временной|остановки|кровотечения|при|проведении|медицинских|процедур")</f>
        <v>гут|резиновый|спользуется|для|временной|остановки|кровотечения|при|проведении|медицинских|процедур</v>
      </c>
      <c r="I16" s="1"/>
      <c r="J16" s="1"/>
    </row>
    <row r="17" spans="1:10" x14ac:dyDescent="0.2">
      <c r="A17" s="7"/>
      <c r="B17" s="7" t="s">
        <v>6</v>
      </c>
      <c r="C17" s="7" t="s">
        <v>3467</v>
      </c>
      <c r="D17" s="6">
        <v>204000</v>
      </c>
      <c r="E17" s="5">
        <v>1</v>
      </c>
      <c r="F17" s="4" t="str">
        <f ca="1">IFERROR(__xludf.DUMMYFUNCTION("LOWER(REGEXREPLACE(B17&amp;"" ""&amp;C17,""[^а-яa-z0-9 ]"","" ""))")," онт вытяжной вентиляционный  онт вытяжной вентиляционный размерами 1200х700 мм")</f>
        <v xml:space="preserve"> онт вытяжной вентиляционный  онт вытяжной вентиляционный размерами 1200х700 мм</v>
      </c>
      <c r="G17" s="4" t="str">
        <f ca="1">IFERROR(__xludf.DUMMYFUNCTION("TEXTJOIN(""|"",TRUE,UNIQUE(FILTER(SPLIT(F17,"" ""),LEN(SPLIT(F17,"" ""))&gt;2)))"),"онт|вытяжной|вентиляционный|онт|вытяжной|вентиляционный|размерами|1200х700")</f>
        <v>онт|вытяжной|вентиляционный|онт|вытяжной|вентиляционный|размерами|1200х700</v>
      </c>
      <c r="I17" s="1"/>
      <c r="J17" s="1"/>
    </row>
    <row r="18" spans="1:10" x14ac:dyDescent="0.2">
      <c r="A18" s="7"/>
      <c r="B18" s="7"/>
      <c r="C18" s="7" t="s">
        <v>3466</v>
      </c>
      <c r="D18" s="6">
        <v>674900</v>
      </c>
      <c r="E18" s="12">
        <v>1</v>
      </c>
      <c r="F18" s="4" t="str">
        <f ca="1">IFERROR(__xludf.DUMMYFUNCTION("LOWER(REGEXREPLACE(B18&amp;"" ""&amp;C18,""[^а-яa-z0-9 ]"","" ""))"),"  онт вытяжной вентиляционный размерами 1200х700мм")</f>
        <v xml:space="preserve">  онт вытяжной вентиляционный размерами 1200х700мм</v>
      </c>
      <c r="G18" s="4" t="str">
        <f ca="1">IFERROR(__xludf.DUMMYFUNCTION("TEXTJOIN(""|"",TRUE,UNIQUE(FILTER(SPLIT(F18,"" ""),LEN(SPLIT(F18,"" ""))&gt;2)))"),"онт|вытяжной|вентиляционный|размерами|1200х700мм")</f>
        <v>онт|вытяжной|вентиляционный|размерами|1200х700мм</v>
      </c>
      <c r="I18" s="1"/>
      <c r="J18" s="1"/>
    </row>
    <row r="19" spans="1:10" x14ac:dyDescent="0.2">
      <c r="A19" s="7"/>
      <c r="B19" s="7"/>
      <c r="C19" s="7" t="s">
        <v>3465</v>
      </c>
      <c r="D19" s="6">
        <v>807500</v>
      </c>
      <c r="E19" s="12">
        <v>1</v>
      </c>
      <c r="F19" s="4" t="str">
        <f ca="1">IFERROR(__xludf.DUMMYFUNCTION("LOWER(REGEXREPLACE(B19&amp;"" ""&amp;C19,""[^а-яa-z0-9 ]"","" ""))"),"  онт вытяжной вентиляционный размерами 1600х800мм")</f>
        <v xml:space="preserve">  онт вытяжной вентиляционный размерами 1600х800мм</v>
      </c>
      <c r="G19" s="4" t="str">
        <f ca="1">IFERROR(__xludf.DUMMYFUNCTION("TEXTJOIN(""|"",TRUE,UNIQUE(FILTER(SPLIT(F19,"" ""),LEN(SPLIT(F19,"" ""))&gt;2)))"),"онт|вытяжной|вентиляционный|размерами|1600х800мм")</f>
        <v>онт|вытяжной|вентиляционный|размерами|1600х800мм</v>
      </c>
      <c r="I19" s="1"/>
      <c r="J19" s="1"/>
    </row>
    <row r="20" spans="1:10" x14ac:dyDescent="0.2">
      <c r="A20" s="7"/>
      <c r="B20" s="7"/>
      <c r="C20" s="7" t="s">
        <v>3464</v>
      </c>
      <c r="D20" s="6">
        <v>491300</v>
      </c>
      <c r="E20" s="12">
        <v>13</v>
      </c>
      <c r="F20" s="4" t="str">
        <f ca="1">IFERROR(__xludf.DUMMYFUNCTION("LOWER(REGEXREPLACE(B20&amp;"" ""&amp;C20,""[^а-яa-z0-9 ]"","" ""))"),"  онт вытяжной вентиляционный размерами 600х300мм")</f>
        <v xml:space="preserve">  онт вытяжной вентиляционный размерами 600х300мм</v>
      </c>
      <c r="G20" s="4" t="str">
        <f ca="1">IFERROR(__xludf.DUMMYFUNCTION("TEXTJOIN(""|"",TRUE,UNIQUE(FILTER(SPLIT(F20,"" ""),LEN(SPLIT(F20,"" ""))&gt;2)))"),"онт|вытяжной|вентиляционный|размерами|600х300мм")</f>
        <v>онт|вытяжной|вентиляционный|размерами|600х300мм</v>
      </c>
      <c r="I20" s="1"/>
      <c r="J20" s="1"/>
    </row>
    <row r="21" spans="1:10" x14ac:dyDescent="0.2">
      <c r="A21" s="7"/>
      <c r="B21" s="7" t="s">
        <v>3463</v>
      </c>
      <c r="C21" s="7" t="s">
        <v>3462</v>
      </c>
      <c r="D21" s="6">
        <v>2500</v>
      </c>
      <c r="E21" s="5">
        <v>1</v>
      </c>
      <c r="F21" s="4" t="str">
        <f ca="1">IFERROR(__xludf.DUMMYFUNCTION("LOWER(REGEXREPLACE(B21&amp;"" ""&amp;C21,""[^а-яa-z0-9 ]"","" ""))")," онтейнер для отходов класса    ак с крышкой для сбора медицинских отходов  класс    10 литров")</f>
        <v xml:space="preserve"> онтейнер для отходов класса    ак с крышкой для сбора медицинских отходов  класс    10 литров</v>
      </c>
      <c r="G21" s="4" t="str">
        <f ca="1">IFERROR(__xludf.DUMMYFUNCTION("TEXTJOIN(""|"",TRUE,UNIQUE(FILTER(SPLIT(F21,"" ""),LEN(SPLIT(F21,"" ""))&gt;2)))"),"онтейнер|для|отходов|класса|крышкой|для|сбора|медицинских|отходов|класс|литров")</f>
        <v>онтейнер|для|отходов|класса|крышкой|для|сбора|медицинских|отходов|класс|литров</v>
      </c>
      <c r="I21" s="1"/>
      <c r="J21" s="1"/>
    </row>
    <row r="22" spans="1:10" x14ac:dyDescent="0.2">
      <c r="A22" s="7"/>
      <c r="B22" s="7" t="s">
        <v>3461</v>
      </c>
      <c r="C22" s="7" t="s">
        <v>3460</v>
      </c>
      <c r="D22" s="6">
        <v>4900</v>
      </c>
      <c r="E22" s="5">
        <v>1</v>
      </c>
      <c r="F22" s="4" t="str">
        <f ca="1">IFERROR(__xludf.DUMMYFUNCTION("LOWER(REGEXREPLACE(B22&amp;"" ""&amp;C22,""[^а-яa-z0-9 ]"","" ""))")," онтейнер для отходов класса    ак для сбора медицинских отходов  класс    1 литр")</f>
        <v xml:space="preserve"> онтейнер для отходов класса    ак для сбора медицинских отходов  класс    1 литр</v>
      </c>
      <c r="G22" s="4" t="str">
        <f ca="1">IFERROR(__xludf.DUMMYFUNCTION("TEXTJOIN(""|"",TRUE,UNIQUE(FILTER(SPLIT(F22,"" ""),LEN(SPLIT(F22,"" ""))&gt;2)))"),"онтейнер|для|отходов|класса|для|сбора|медицинских|отходов|класс|литр")</f>
        <v>онтейнер|для|отходов|класса|для|сбора|медицинских|отходов|класс|литр</v>
      </c>
      <c r="I22" s="1"/>
      <c r="J22" s="1"/>
    </row>
    <row r="23" spans="1:10" x14ac:dyDescent="0.2">
      <c r="A23" s="7"/>
      <c r="B23" s="7" t="s">
        <v>2604</v>
      </c>
      <c r="C23" s="7" t="s">
        <v>2603</v>
      </c>
      <c r="D23" s="6">
        <v>35100</v>
      </c>
      <c r="E23" s="5">
        <v>1</v>
      </c>
      <c r="F23" s="4" t="str">
        <f ca="1">IFERROR(__xludf.DUMMYFUNCTION("LOWER(REGEXREPLACE(B23&amp;"" ""&amp;C23,""[^а-яa-z0-9 ]"","" ""))")," орзина для мусора с педалью  онтейнер для мусора с педальным механизмом открывания крышки   беспечивает гигиеничное использование без контакта рук с крышкой ")</f>
        <v xml:space="preserve"> орзина для мусора с педалью  онтейнер для мусора с педальным механизмом открывания крышки   беспечивает гигиеничное использование без контакта рук с крышкой </v>
      </c>
      <c r="G23" s="4" t="str">
        <f ca="1">IFERROR(__xludf.DUMMYFUNCTION("TEXTJOIN(""|"",TRUE,UNIQUE(FILTER(SPLIT(F23,"" ""),LEN(SPLIT(F23,"" ""))&gt;2)))"),"орзина|для|мусора|педалью|онтейнер|для|мусора|педальным|механизмом|открывания|крышки|беспечивает|гигиеничное|использование|без|контакта|рук|крышкой")</f>
        <v>орзина|для|мусора|педалью|онтейнер|для|мусора|педальным|механизмом|открывания|крышки|беспечивает|гигиеничное|использование|без|контакта|рук|крышкой</v>
      </c>
      <c r="I23" s="1"/>
      <c r="J23" s="1"/>
    </row>
    <row r="24" spans="1:10" x14ac:dyDescent="0.2">
      <c r="A24" s="7"/>
      <c r="B24" s="7" t="s">
        <v>2298</v>
      </c>
      <c r="C24" s="7" t="s">
        <v>2297</v>
      </c>
      <c r="D24" s="6">
        <v>8200</v>
      </c>
      <c r="E24" s="5">
        <v>3</v>
      </c>
      <c r="F24" s="4" t="str">
        <f ca="1">IFERROR(__xludf.DUMMYFUNCTION("LOWER(REGEXREPLACE(B24&amp;"" ""&amp;C24,""[^а-яa-z0-9 ]"","" ""))")," оток медицинский почкообразный  редназначен для размещения инструментов и расходных материалов во время процедур ")</f>
        <v xml:space="preserve"> оток медицинский почкообразный  редназначен для размещения инструментов и расходных материалов во время процедур </v>
      </c>
      <c r="G24" s="4" t="str">
        <f ca="1">IFERROR(__xludf.DUMMYFUNCTION("TEXTJOIN(""|"",TRUE,UNIQUE(FILTER(SPLIT(F24,"" ""),LEN(SPLIT(F24,"" ""))&gt;2)))"),"оток|медицинский|почкообразный|редназначен|для|размещения|инструментов|расходных|материалов|время|процедур")</f>
        <v>оток|медицинский|почкообразный|редназначен|для|размещения|инструментов|расходных|материалов|время|процедур</v>
      </c>
      <c r="I24" s="1"/>
      <c r="J24" s="1"/>
    </row>
    <row r="25" spans="1:10" x14ac:dyDescent="0.2">
      <c r="A25" s="7"/>
      <c r="B25" s="7" t="s">
        <v>3459</v>
      </c>
      <c r="C25" s="7" t="s">
        <v>3458</v>
      </c>
      <c r="D25" s="6">
        <v>40</v>
      </c>
      <c r="E25" s="5">
        <v>100</v>
      </c>
      <c r="F25" s="4" t="str">
        <f ca="1">IFERROR(__xludf.DUMMYFUNCTION("LOWER(REGEXREPLACE(B25&amp;"" ""&amp;C25,""[^а-яa-z0-9 ]"","" ""))")," аски одноразовые  аска на резинках медицинская 3 х слойная")</f>
        <v xml:space="preserve"> аски одноразовые  аска на резинках медицинская 3 х слойная</v>
      </c>
      <c r="G25" s="4" t="str">
        <f ca="1">IFERROR(__xludf.DUMMYFUNCTION("TEXTJOIN(""|"",TRUE,UNIQUE(FILTER(SPLIT(F25,"" ""),LEN(SPLIT(F25,"" ""))&gt;2)))"),"аски|одноразовые|аска|резинках|медицинская|слойная")</f>
        <v>аски|одноразовые|аска|резинках|медицинская|слойная</v>
      </c>
      <c r="I25" s="1"/>
      <c r="J25" s="1"/>
    </row>
    <row r="26" spans="1:10" x14ac:dyDescent="0.2">
      <c r="A26" s="7"/>
      <c r="B26" s="7" t="s">
        <v>3457</v>
      </c>
      <c r="C26" s="7" t="s">
        <v>3456</v>
      </c>
      <c r="D26" s="6">
        <v>220710</v>
      </c>
      <c r="E26" s="5">
        <v>1</v>
      </c>
      <c r="F26" s="4" t="str">
        <f ca="1">IFERROR(__xludf.DUMMYFUNCTION("LOWER(REGEXREPLACE(B26&amp;"" ""&amp;C26,""[^а-яa-z0-9 ]"","" ""))")," ойка двойная  ойка 120х60   147                                   ")</f>
        <v xml:space="preserve"> ойка двойная  ойка 120х60   147                                   </v>
      </c>
      <c r="G26" s="4" t="str">
        <f ca="1">IFERROR(__xludf.DUMMYFUNCTION("TEXTJOIN(""|"",TRUE,UNIQUE(FILTER(SPLIT(F26,"" ""),LEN(SPLIT(F26,"" ""))&gt;2)))"),"ойка|двойная|ойка|120х60|147")</f>
        <v>ойка|двойная|ойка|120х60|147</v>
      </c>
      <c r="I26" s="1"/>
      <c r="J26" s="1"/>
    </row>
    <row r="27" spans="1:10" ht="30" customHeight="1" x14ac:dyDescent="0.2">
      <c r="A27" s="7"/>
      <c r="B27" s="7" t="s">
        <v>3455</v>
      </c>
      <c r="C27" s="7" t="s">
        <v>3454</v>
      </c>
      <c r="D27" s="6">
        <v>43690</v>
      </c>
      <c r="E27" s="5">
        <v>1</v>
      </c>
      <c r="F27" s="4" t="str">
        <f ca="1">IFERROR(__xludf.DUMMYFUNCTION("LOWER(REGEXREPLACE(B27&amp;"" ""&amp;C27,""[^а-яa-z0-9 ]"","" ""))")," блучатель ультрафиолетовый  кварцевая лампа  с комплектом тубусов  блучатель ультрафиолетовый  кварцевый      01  олнышко   тандартная комплектация ")</f>
        <v xml:space="preserve"> блучатель ультрафиолетовый  кварцевая лампа  с комплектом тубусов  блучатель ультрафиолетовый  кварцевый      01  олнышко   тандартная комплектация </v>
      </c>
      <c r="G27" s="4" t="str">
        <f ca="1">IFERROR(__xludf.DUMMYFUNCTION("TEXTJOIN(""|"",TRUE,UNIQUE(FILTER(SPLIT(F27,"" ""),LEN(SPLIT(F27,"" ""))&gt;2)))"),"блучатель|ультрафиолетовый|кварцевая|лампа|комплектом|тубусов|блучатель|ультрафиолетовый|кварцевый|олнышко|тандартная|комплектация")</f>
        <v>блучатель|ультрафиолетовый|кварцевая|лампа|комплектом|тубусов|блучатель|ультрафиолетовый|кварцевый|олнышко|тандартная|комплектация</v>
      </c>
      <c r="I27" s="1"/>
      <c r="J27" s="1"/>
    </row>
    <row r="28" spans="1:10" x14ac:dyDescent="0.2">
      <c r="A28" s="7"/>
      <c r="B28" s="7" t="s">
        <v>3453</v>
      </c>
      <c r="C28" s="7"/>
      <c r="D28" s="6">
        <v>2520</v>
      </c>
      <c r="E28" s="5">
        <v>20</v>
      </c>
      <c r="F28" s="4" t="str">
        <f ca="1">IFERROR(__xludf.DUMMYFUNCTION("LOWER(REGEXREPLACE(B28&amp;"" ""&amp;C28,""[^а-яa-z0-9 ]"","" ""))")," ерчатки из резины ")</f>
        <v xml:space="preserve"> ерчатки из резины </v>
      </c>
      <c r="G28" s="4" t="str">
        <f ca="1">IFERROR(__xludf.DUMMYFUNCTION("TEXTJOIN(""|"",TRUE,UNIQUE(FILTER(SPLIT(F28,"" ""),LEN(SPLIT(F28,"" ""))&gt;2)))"),"ерчатки|резины")</f>
        <v>ерчатки|резины</v>
      </c>
      <c r="I28" s="1"/>
      <c r="J28" s="1"/>
    </row>
    <row r="29" spans="1:10" x14ac:dyDescent="0.2">
      <c r="A29" s="7"/>
      <c r="B29" s="7" t="s">
        <v>3452</v>
      </c>
      <c r="C29" s="7" t="s">
        <v>3451</v>
      </c>
      <c r="D29" s="6">
        <v>11750</v>
      </c>
      <c r="E29" s="5">
        <v>20</v>
      </c>
      <c r="F29" s="4" t="str">
        <f ca="1">IFERROR(__xludf.DUMMYFUNCTION("LOWER(REGEXREPLACE(B29&amp;"" ""&amp;C29,""[^а-яa-z0-9 ]"","" ""))")," олотенца одноразовые  олотенца одноразовые из спанлейса  35 70 см  40 г м2  50 шт упак")</f>
        <v xml:space="preserve"> олотенца одноразовые  олотенца одноразовые из спанлейса  35 70 см  40 г м2  50 шт упак</v>
      </c>
      <c r="G29" s="4" t="str">
        <f ca="1">IFERROR(__xludf.DUMMYFUNCTION("TEXTJOIN(""|"",TRUE,UNIQUE(FILTER(SPLIT(F29,"" ""),LEN(SPLIT(F29,"" ""))&gt;2)))"),"олотенца|одноразовые|олотенца|одноразовые|спанлейса|упак")</f>
        <v>олотенца|одноразовые|олотенца|одноразовые|спанлейса|упак</v>
      </c>
      <c r="I29" s="1"/>
      <c r="J29" s="1"/>
    </row>
    <row r="30" spans="1:10" x14ac:dyDescent="0.2">
      <c r="A30" s="7"/>
      <c r="B30" s="7" t="s">
        <v>3450</v>
      </c>
      <c r="C30" s="7" t="s">
        <v>3449</v>
      </c>
      <c r="D30" s="6">
        <v>15930</v>
      </c>
      <c r="E30" s="5">
        <v>20</v>
      </c>
      <c r="F30" s="4" t="str">
        <f ca="1">IFERROR(__xludf.DUMMYFUNCTION("LOWER(REGEXREPLACE(B30&amp;"" ""&amp;C30,""[^а-яa-z0-9 ]"","" ""))")," ростыни одноразовые  ростыня 140 80  пл  40  нестер    это медицинский расходный материал  который используется для защиты операционного стола  инструментов и пациента от инфекций и загрязнений   та простыня имеет следующие характеристики ")</f>
        <v xml:space="preserve"> ростыни одноразовые  ростыня 140 80  пл  40  нестер    это медицинский расходный материал  который используется для защиты операционного стола  инструментов и пациента от инфекций и загрязнений   та простыня имеет следующие характеристики </v>
      </c>
      <c r="G30" s="4" t="str">
        <f ca="1">IFERROR(__xludf.DUMMYFUNCTION("TEXTJOIN(""|"",TRUE,UNIQUE(FILTER(SPLIT(F30,"" ""),LEN(SPLIT(F30,"" ""))&gt;2)))"),"ростыни|одноразовые|ростыня|140|нестер|это|медицинский|расходный|материал|который|используется|для|защиты|операционного|стола|инструментов|пациента|инфекций|загрязнений|простыня|имеет|следующие|характеристики")</f>
        <v>ростыни|одноразовые|ростыня|140|нестер|это|медицинский|расходный|материал|который|используется|для|защиты|операционного|стола|инструментов|пациента|инфекций|загрязнений|простыня|имеет|следующие|характеристики</v>
      </c>
      <c r="I30" s="1"/>
      <c r="J30" s="1"/>
    </row>
    <row r="31" spans="1:10" x14ac:dyDescent="0.2">
      <c r="A31" s="7"/>
      <c r="B31" s="7" t="s">
        <v>3448</v>
      </c>
      <c r="C31" s="7" t="s">
        <v>583</v>
      </c>
      <c r="D31" s="6">
        <v>729360</v>
      </c>
      <c r="E31" s="5">
        <v>6</v>
      </c>
      <c r="F31" s="4" t="str">
        <f ca="1">IFERROR(__xludf.DUMMYFUNCTION("LOWER(REGEXREPLACE(B31&amp;"" ""&amp;C31,""[^а-яa-z0-9 ]"","" ""))"),"       2               120 70  ержавеющая сталь      430    бортиком без полки   ойка  50x40x25 см   араметры  1200x700x850 мм")</f>
        <v xml:space="preserve">       2               120 70  ержавеющая сталь      430    бортиком без полки   ойка  50x40x25 см   араметры  1200x700x850 мм</v>
      </c>
      <c r="G31" s="4" t="str">
        <f ca="1">IFERROR(__xludf.DUMMYFUNCTION("TEXTJOIN(""|"",TRUE,UNIQUE(FILTER(SPLIT(F31,"" ""),LEN(SPLIT(F31,"" ""))&gt;2)))"),"120|ержавеющая|сталь|430|бортиком|без|полки|ойка|50x40x25|араметры|1200x700x850")</f>
        <v>120|ержавеющая|сталь|430|бортиком|без|полки|ойка|50x40x25|араметры|1200x700x850</v>
      </c>
      <c r="I31" s="1"/>
      <c r="J31" s="1"/>
    </row>
    <row r="32" spans="1:10" x14ac:dyDescent="0.2">
      <c r="A32" s="7"/>
      <c r="B32" s="7" t="s">
        <v>996</v>
      </c>
      <c r="C32" s="7" t="s">
        <v>3447</v>
      </c>
      <c r="D32" s="6">
        <v>3800</v>
      </c>
      <c r="E32" s="5">
        <v>37</v>
      </c>
      <c r="F32" s="4" t="str">
        <f ca="1">IFERROR(__xludf.DUMMYFUNCTION("LOWER(REGEXREPLACE(B32&amp;"" ""&amp;C32,""[^а-яa-z0-9 ]"","" ""))")," ермометр  ермометр исп 1   20 70   с  поверкой  комнатный скл помещения     применяется для измерения  температуры в складских и производственных  помещениях")</f>
        <v xml:space="preserve"> ермометр  ермометр исп 1   20 70   с  поверкой  комнатный скл помещения     применяется для измерения  температуры в складских и производственных  помещениях</v>
      </c>
      <c r="G32" s="4" t="str">
        <f ca="1">IFERROR(__xludf.DUMMYFUNCTION("TEXTJOIN(""|"",TRUE,UNIQUE(FILTER(SPLIT(F32,"" ""),LEN(SPLIT(F32,"" ""))&gt;2)))"),"ермометр|ермометр|исп|поверкой|комнатный|скл|помещения|применяется|для|измерения|температуры|складских|производственных|помещениях")</f>
        <v>ермометр|ермометр|исп|поверкой|комнатный|скл|помещения|применяется|для|измерения|температуры|складских|производственных|помещениях</v>
      </c>
      <c r="I32" s="1"/>
      <c r="J32" s="1"/>
    </row>
    <row r="33" spans="1:10" x14ac:dyDescent="0.2">
      <c r="A33" s="7"/>
      <c r="B33" s="7" t="s">
        <v>3446</v>
      </c>
      <c r="C33" s="7" t="s">
        <v>3445</v>
      </c>
      <c r="D33" s="6">
        <v>19000</v>
      </c>
      <c r="E33" s="5">
        <v>2</v>
      </c>
      <c r="F33" s="4" t="str">
        <f ca="1">IFERROR(__xludf.DUMMYFUNCTION("LOWER(REGEXREPLACE(B33&amp;"" ""&amp;C33,""[^а-яa-z0-9 ]"","" ""))")," алаты темные для уборки  алат рабочий    вет серый    екомендован для защиты от незначительных загрязнений бытовой и производственной пыли   одробнее  https   largo kz p75874235 halat seryj html")</f>
        <v xml:space="preserve"> алаты темные для уборки  алат рабочий    вет серый    екомендован для защиты от незначительных загрязнений бытовой и производственной пыли   одробнее  https   largo kz p75874235 halat seryj html</v>
      </c>
      <c r="G33" s="4" t="str">
        <f ca="1">IFERROR(__xludf.DUMMYFUNCTION("TEXTJOIN(""|"",TRUE,UNIQUE(FILTER(SPLIT(F33,"" ""),LEN(SPLIT(F33,"" ""))&gt;2)))"),"алаты|темные|для|уборки|алат|рабочий|вет|серый|екомендован|для|защиты|незначительных|загрязнений|бытовой|производственной|пыли|одробнее|https|largo|p75874235|halat|seryj|html")</f>
        <v>алаты|темные|для|уборки|алат|рабочий|вет|серый|екомендован|для|защиты|незначительных|загрязнений|бытовой|производственной|пыли|одробнее|https|largo|p75874235|halat|seryj|html</v>
      </c>
      <c r="I33" s="1"/>
      <c r="J33" s="1"/>
    </row>
    <row r="34" spans="1:10" x14ac:dyDescent="0.2">
      <c r="A34" s="7"/>
      <c r="B34" s="7" t="s">
        <v>3444</v>
      </c>
      <c r="C34" s="7" t="s">
        <v>3443</v>
      </c>
      <c r="D34" s="6">
        <v>41040</v>
      </c>
      <c r="E34" s="5">
        <v>5</v>
      </c>
      <c r="F34" s="4" t="str">
        <f ca="1">IFERROR(__xludf.DUMMYFUNCTION("LOWER(REGEXREPLACE(B34&amp;"" ""&amp;C34,""[^а-яa-z0-9 ]"","" ""))")," ины  рамера   транспортные проволочные для ног  ина проволочная для нижних конечностей   ина  рамера  предназначена для фиксации нижней конечности  тазо бедренного  коленного  голеностопного сустава с костями бедра и голени ")</f>
        <v xml:space="preserve"> ины  рамера   транспортные проволочные для ног  ина проволочная для нижних конечностей   ина  рамера  предназначена для фиксации нижней конечности  тазо бедренного  коленного  голеностопного сустава с костями бедра и голени </v>
      </c>
      <c r="G34" s="4" t="str">
        <f ca="1">IFERROR(__xludf.DUMMYFUNCTION("TEXTJOIN(""|"",TRUE,UNIQUE(FILTER(SPLIT(F34,"" ""),LEN(SPLIT(F34,"" ""))&gt;2)))"),"ины|рамера|транспортные|проволочные|для|ног|ина|проволочная|для|нижних|конечностей|ина|рамера|предназначена|для|фиксации|нижней|конечности|тазо|бедренного|коленного|голеностопного|сустава|костями|бедра|голени")</f>
        <v>ины|рамера|транспортные|проволочные|для|ног|ина|проволочная|для|нижних|конечностей|ина|рамера|предназначена|для|фиксации|нижней|конечности|тазо|бедренного|коленного|голеностопного|сустава|костями|бедра|голени</v>
      </c>
      <c r="I34" s="1"/>
      <c r="J34" s="1"/>
    </row>
    <row r="35" spans="1:10" x14ac:dyDescent="0.2">
      <c r="A35" s="7"/>
      <c r="B35" s="7" t="s">
        <v>3442</v>
      </c>
      <c r="C35" s="7" t="s">
        <v>3441</v>
      </c>
      <c r="D35" s="6">
        <v>41040</v>
      </c>
      <c r="E35" s="5">
        <v>5</v>
      </c>
      <c r="F35" s="4" t="str">
        <f ca="1">IFERROR(__xludf.DUMMYFUNCTION("LOWER(REGEXREPLACE(B35&amp;"" ""&amp;C35,""[^а-яa-z0-9 ]"","" ""))")," ины  рамера   транспортные проволочные для рук  ина  рамера при переломах нередко прибегают к способу иммобилизации   креплению бинтами поврежденной верхней конечности к туловищу ")</f>
        <v xml:space="preserve"> ины  рамера   транспортные проволочные для рук  ина  рамера при переломах нередко прибегают к способу иммобилизации   креплению бинтами поврежденной верхней конечности к туловищу </v>
      </c>
      <c r="G35" s="4" t="str">
        <f ca="1">IFERROR(__xludf.DUMMYFUNCTION("TEXTJOIN(""|"",TRUE,UNIQUE(FILTER(SPLIT(F35,"" ""),LEN(SPLIT(F35,"" ""))&gt;2)))"),"ины|рамера|транспортные|проволочные|для|рук|ина|рамера|при|переломах|нередко|прибегают|способу|иммобилизации|креплению|бинтами|поврежденной|верхней|конечности|туловищу")</f>
        <v>ины|рамера|транспортные|проволочные|для|рук|ина|рамера|при|переломах|нередко|прибегают|способу|иммобилизации|креплению|бинтами|поврежденной|верхней|конечности|туловищу</v>
      </c>
      <c r="I35" s="1"/>
      <c r="J35" s="1"/>
    </row>
    <row r="36" spans="1:10" x14ac:dyDescent="0.2">
      <c r="A36" s="7"/>
      <c r="B36" s="7" t="s">
        <v>3440</v>
      </c>
      <c r="C36" s="7" t="s">
        <v>3439</v>
      </c>
      <c r="D36" s="6">
        <v>132800</v>
      </c>
      <c r="E36" s="5">
        <v>2</v>
      </c>
      <c r="F36" s="4" t="str">
        <f ca="1">IFERROR(__xludf.DUMMYFUNCTION("LOWER(REGEXREPLACE(B36&amp;"" ""&amp;C36,""[^а-яa-z0-9 ]"","" ""))")," ирмы медицинские  металлический каркас   моющаяся ткань пластик  ирма 2 створчатая  ткань болонь  на колесах")</f>
        <v xml:space="preserve"> ирмы медицинские  металлический каркас   моющаяся ткань пластик  ирма 2 створчатая  ткань болонь  на колесах</v>
      </c>
      <c r="G36" s="4" t="str">
        <f ca="1">IFERROR(__xludf.DUMMYFUNCTION("TEXTJOIN(""|"",TRUE,UNIQUE(FILTER(SPLIT(F36,"" ""),LEN(SPLIT(F36,"" ""))&gt;2)))"),"ирмы|медицинские|металлический|каркас|моющаяся|ткань|пластик|ирма|створчатая|ткань|болонь|колесах")</f>
        <v>ирмы|медицинские|металлический|каркас|моющаяся|ткань|пластик|ирма|створчатая|ткань|болонь|колесах</v>
      </c>
      <c r="I36" s="1"/>
      <c r="J36" s="1"/>
    </row>
    <row r="37" spans="1:10" x14ac:dyDescent="0.2">
      <c r="A37" s="7"/>
      <c r="B37" s="7" t="s">
        <v>3438</v>
      </c>
      <c r="C37" s="7" t="s">
        <v>3437</v>
      </c>
      <c r="D37" s="6">
        <v>67</v>
      </c>
      <c r="E37" s="5">
        <v>100</v>
      </c>
      <c r="F37" s="4" t="str">
        <f ca="1">IFERROR(__xludf.DUMMYFUNCTION("LOWER(REGEXREPLACE(B37&amp;"" ""&amp;C37,""[^а-яa-z0-9 ]"","" ""))")," прицы одноразовые с иглами 10 0  терильные трехкомпонентные шприцы объемом 10 мл с иглой размером 21   0  8   40 мм  ")</f>
        <v xml:space="preserve"> прицы одноразовые с иглами 10 0  терильные трехкомпонентные шприцы объемом 10 мл с иглой размером 21   0  8   40 мм  </v>
      </c>
      <c r="G37" s="4" t="str">
        <f ca="1">IFERROR(__xludf.DUMMYFUNCTION("TEXTJOIN(""|"",TRUE,UNIQUE(FILTER(SPLIT(F37,"" ""),LEN(SPLIT(F37,"" ""))&gt;2)))"),"прицы|одноразовые|иглами|терильные|трехкомпонентные|шприцы|объемом|иглой|размером")</f>
        <v>прицы|одноразовые|иглами|терильные|трехкомпонентные|шприцы|объемом|иглой|размером</v>
      </c>
      <c r="I37" s="1"/>
      <c r="J37" s="1"/>
    </row>
    <row r="38" spans="1:10" x14ac:dyDescent="0.2">
      <c r="A38" s="7"/>
      <c r="B38" s="7" t="s">
        <v>3436</v>
      </c>
      <c r="C38" s="7" t="s">
        <v>3435</v>
      </c>
      <c r="D38" s="6">
        <v>40</v>
      </c>
      <c r="E38" s="5">
        <v>100</v>
      </c>
      <c r="F38" s="4" t="str">
        <f ca="1">IFERROR(__xludf.DUMMYFUNCTION("LOWER(REGEXREPLACE(B38&amp;"" ""&amp;C38,""[^а-яa-z0-9 ]"","" ""))")," прицы одноразовые с иглами 2 0  терильные трехкомпонентные шприцы объемом 2 мл с установленной иглой 23   0  6   30 мм  ")</f>
        <v xml:space="preserve"> прицы одноразовые с иглами 2 0  терильные трехкомпонентные шприцы объемом 2 мл с установленной иглой 23   0  6   30 мм  </v>
      </c>
      <c r="G38" s="4" t="str">
        <f ca="1">IFERROR(__xludf.DUMMYFUNCTION("TEXTJOIN(""|"",TRUE,UNIQUE(FILTER(SPLIT(F38,"" ""),LEN(SPLIT(F38,"" ""))&gt;2)))"),"прицы|одноразовые|иглами|терильные|трехкомпонентные|шприцы|объемом|установленной|иглой")</f>
        <v>прицы|одноразовые|иглами|терильные|трехкомпонентные|шприцы|объемом|установленной|иглой</v>
      </c>
      <c r="I38" s="1"/>
      <c r="J38" s="1"/>
    </row>
    <row r="39" spans="1:10" x14ac:dyDescent="0.2">
      <c r="A39" s="7"/>
      <c r="B39" s="7" t="s">
        <v>3434</v>
      </c>
      <c r="C39" s="7" t="s">
        <v>3433</v>
      </c>
      <c r="D39" s="6">
        <v>45</v>
      </c>
      <c r="E39" s="5">
        <v>100</v>
      </c>
      <c r="F39" s="4" t="str">
        <f ca="1">IFERROR(__xludf.DUMMYFUNCTION("LOWER(REGEXREPLACE(B39&amp;"" ""&amp;C39,""[^а-яa-z0-9 ]"","" ""))")," прицы одноразовые с иглами 5 0  дноразовые стерильные шприцы объ мом 5 мл с иглой 22   0 7 мм   30 мм ")</f>
        <v xml:space="preserve"> прицы одноразовые с иглами 5 0  дноразовые стерильные шприцы объ мом 5 мл с иглой 22   0 7 мм   30 мм </v>
      </c>
      <c r="G39" s="4" t="str">
        <f ca="1">IFERROR(__xludf.DUMMYFUNCTION("TEXTJOIN(""|"",TRUE,UNIQUE(FILTER(SPLIT(F39,"" ""),LEN(SPLIT(F39,"" ""))&gt;2)))"),"прицы|одноразовые|иглами|дноразовые|стерильные|шприцы|объ|мом|иглой")</f>
        <v>прицы|одноразовые|иглами|дноразовые|стерильные|шприцы|объ|мом|иглой</v>
      </c>
      <c r="I39" s="1"/>
      <c r="J39" s="1"/>
    </row>
    <row r="40" spans="1:10" x14ac:dyDescent="0.2">
      <c r="A40" s="8" t="s">
        <v>3422</v>
      </c>
      <c r="B40" s="7"/>
      <c r="C40" s="7" t="s">
        <v>3422</v>
      </c>
      <c r="D40" s="7"/>
      <c r="E40" s="5">
        <v>0</v>
      </c>
      <c r="F40" s="4" t="str">
        <f ca="1">IFERROR(__xludf.DUMMYFUNCTION("LOWER(REGEXREPLACE(B40&amp;"" ""&amp;C40,""[^а-яa-z0-9 ]"","" ""))")," ")</f>
        <v xml:space="preserve"> </v>
      </c>
      <c r="G40" s="4" t="str">
        <f ca="1">IFERROR(__xludf.DUMMYFUNCTION("TEXTJOIN(""|"",TRUE,UNIQUE(FILTER(SPLIT(F40,"" ""),LEN(SPLIT(F40,"" ""))&gt;2)))"),"#N/A")</f>
        <v>#N/A</v>
      </c>
      <c r="I40" s="1"/>
      <c r="J40" s="1"/>
    </row>
    <row r="41" spans="1:10" x14ac:dyDescent="0.2">
      <c r="A41" s="7"/>
      <c r="B41" s="7" t="s">
        <v>3432</v>
      </c>
      <c r="C41" s="7" t="s">
        <v>3422</v>
      </c>
      <c r="D41" s="7"/>
      <c r="E41" s="5">
        <v>0</v>
      </c>
      <c r="F41" s="4" t="str">
        <f ca="1">IFERROR(__xludf.DUMMYFUNCTION("LOWER(REGEXREPLACE(B41&amp;"" ""&amp;C41,""[^а-яa-z0-9 ]"","" ""))")," рупповая ")</f>
        <v xml:space="preserve"> рупповая </v>
      </c>
      <c r="G41" s="4" t="str">
        <f ca="1">IFERROR(__xludf.DUMMYFUNCTION("TEXTJOIN(""|"",TRUE,UNIQUE(FILTER(SPLIT(F41,"" ""),LEN(SPLIT(F41,"" ""))&gt;2)))"),"рупповая")</f>
        <v>рупповая</v>
      </c>
      <c r="I41" s="1"/>
      <c r="J41" s="1"/>
    </row>
    <row r="42" spans="1:10" x14ac:dyDescent="0.2">
      <c r="A42" s="7"/>
      <c r="B42" s="7" t="s">
        <v>3431</v>
      </c>
      <c r="C42" s="7" t="s">
        <v>3422</v>
      </c>
      <c r="D42" s="7"/>
      <c r="E42" s="5">
        <v>0</v>
      </c>
      <c r="F42" s="4" t="str">
        <f ca="1">IFERROR(__xludf.DUMMYFUNCTION("LOWER(REGEXREPLACE(B42&amp;"" ""&amp;C42,""[^а-яa-z0-9 ]"","" ""))")," ополнительные товары ")</f>
        <v xml:space="preserve"> ополнительные товары </v>
      </c>
      <c r="G42" s="4" t="str">
        <f ca="1">IFERROR(__xludf.DUMMYFUNCTION("TEXTJOIN(""|"",TRUE,UNIQUE(FILTER(SPLIT(F42,"" ""),LEN(SPLIT(F42,"" ""))&gt;2)))"),"ополнительные|товары")</f>
        <v>ополнительные|товары</v>
      </c>
      <c r="I42" s="1"/>
      <c r="J42" s="1"/>
    </row>
    <row r="43" spans="1:10" x14ac:dyDescent="0.2">
      <c r="A43" s="7"/>
      <c r="B43" s="7" t="s">
        <v>3430</v>
      </c>
      <c r="C43" s="7" t="s">
        <v>3422</v>
      </c>
      <c r="D43" s="7"/>
      <c r="E43" s="5">
        <v>0</v>
      </c>
      <c r="F43" s="4" t="str">
        <f ca="1">IFERROR(__xludf.DUMMYFUNCTION("LOWER(REGEXREPLACE(B43&amp;"" ""&amp;C43,""[^а-яa-z0-9 ]"","" ""))")," ладовая овощей ")</f>
        <v xml:space="preserve"> ладовая овощей </v>
      </c>
      <c r="G43" s="4" t="str">
        <f ca="1">IFERROR(__xludf.DUMMYFUNCTION("TEXTJOIN(""|"",TRUE,UNIQUE(FILTER(SPLIT(F43,"" ""),LEN(SPLIT(F43,"" ""))&gt;2)))"),"ладовая|овощей")</f>
        <v>ладовая|овощей</v>
      </c>
      <c r="I43" s="1"/>
      <c r="J43" s="1"/>
    </row>
    <row r="44" spans="1:10" x14ac:dyDescent="0.2">
      <c r="A44" s="7"/>
      <c r="B44" s="7" t="s">
        <v>3429</v>
      </c>
      <c r="C44" s="7" t="s">
        <v>3422</v>
      </c>
      <c r="D44" s="7"/>
      <c r="E44" s="5">
        <v>0</v>
      </c>
      <c r="F44" s="4" t="str">
        <f ca="1">IFERROR(__xludf.DUMMYFUNCTION("LOWER(REGEXREPLACE(B44&amp;"" ""&amp;C44,""[^а-яa-z0-9 ]"","" ""))")," омпьютерная техника и устройства ")</f>
        <v xml:space="preserve"> омпьютерная техника и устройства </v>
      </c>
      <c r="G44" s="4" t="str">
        <f ca="1">IFERROR(__xludf.DUMMYFUNCTION("TEXTJOIN(""|"",TRUE,UNIQUE(FILTER(SPLIT(F44,"" ""),LEN(SPLIT(F44,"" ""))&gt;2)))"),"омпьютерная|техника|устройства")</f>
        <v>омпьютерная|техника|устройства</v>
      </c>
      <c r="I44" s="1"/>
      <c r="J44" s="1"/>
    </row>
    <row r="45" spans="1:10" x14ac:dyDescent="0.2">
      <c r="A45" s="7"/>
      <c r="B45" s="7" t="s">
        <v>3428</v>
      </c>
      <c r="C45" s="7" t="s">
        <v>3422</v>
      </c>
      <c r="D45" s="7"/>
      <c r="E45" s="5">
        <v>0</v>
      </c>
      <c r="F45" s="4" t="str">
        <f ca="1">IFERROR(__xludf.DUMMYFUNCTION("LOWER(REGEXREPLACE(B45&amp;"" ""&amp;C45,""[^а-яa-z0-9 ]"","" ""))")," атериалы для гончарки ")</f>
        <v xml:space="preserve"> атериалы для гончарки </v>
      </c>
      <c r="G45" s="4" t="str">
        <f ca="1">IFERROR(__xludf.DUMMYFUNCTION("TEXTJOIN(""|"",TRUE,UNIQUE(FILTER(SPLIT(F45,"" ""),LEN(SPLIT(F45,"" ""))&gt;2)))"),"атериалы|для|гончарки")</f>
        <v>атериалы|для|гончарки</v>
      </c>
      <c r="I45" s="1"/>
      <c r="J45" s="1"/>
    </row>
    <row r="46" spans="1:10" x14ac:dyDescent="0.2">
      <c r="A46" s="7"/>
      <c r="B46" s="7" t="s">
        <v>3427</v>
      </c>
      <c r="C46" s="7" t="s">
        <v>3422</v>
      </c>
      <c r="D46" s="7"/>
      <c r="E46" s="5">
        <v>0</v>
      </c>
      <c r="F46" s="4" t="str">
        <f ca="1">IFERROR(__xludf.DUMMYFUNCTION("LOWER(REGEXREPLACE(B46&amp;"" ""&amp;C46,""[^а-яa-z0-9 ]"","" ""))")," ебель ")</f>
        <v xml:space="preserve"> ебель </v>
      </c>
      <c r="G46" s="4" t="str">
        <f ca="1">IFERROR(__xludf.DUMMYFUNCTION("TEXTJOIN(""|"",TRUE,UNIQUE(FILTER(SPLIT(F46,"" ""),LEN(SPLIT(F46,"" ""))&gt;2)))"),"ебель")</f>
        <v>ебель</v>
      </c>
      <c r="I46" s="1"/>
      <c r="J46" s="1"/>
    </row>
    <row r="47" spans="1:10" x14ac:dyDescent="0.2">
      <c r="A47" s="7"/>
      <c r="B47" s="7" t="s">
        <v>3426</v>
      </c>
      <c r="C47" s="7" t="s">
        <v>3422</v>
      </c>
      <c r="D47" s="7"/>
      <c r="E47" s="5">
        <v>0</v>
      </c>
      <c r="F47" s="4" t="str">
        <f ca="1">IFERROR(__xludf.DUMMYFUNCTION("LOWER(REGEXREPLACE(B47&amp;"" ""&amp;C47,""[^а-яa-z0-9 ]"","" ""))")," ебель для гончарки ")</f>
        <v xml:space="preserve"> ебель для гончарки </v>
      </c>
      <c r="G47" s="4" t="str">
        <f ca="1">IFERROR(__xludf.DUMMYFUNCTION("TEXTJOIN(""|"",TRUE,UNIQUE(FILTER(SPLIT(F47,"" ""),LEN(SPLIT(F47,"" ""))&gt;2)))"),"ебель|для|гончарки")</f>
        <v>ебель|для|гончарки</v>
      </c>
      <c r="I47" s="1"/>
      <c r="J47" s="1"/>
    </row>
    <row r="48" spans="1:10" x14ac:dyDescent="0.2">
      <c r="A48" s="7"/>
      <c r="B48" s="7" t="s">
        <v>3425</v>
      </c>
      <c r="C48" s="7" t="s">
        <v>3422</v>
      </c>
      <c r="D48" s="7"/>
      <c r="E48" s="5">
        <v>0</v>
      </c>
      <c r="F48" s="4" t="str">
        <f ca="1">IFERROR(__xludf.DUMMYFUNCTION("LOWER(REGEXREPLACE(B48&amp;"" ""&amp;C48,""[^а-яa-z0-9 ]"","" ""))")," ебель для     и  телье ")</f>
        <v xml:space="preserve"> ебель для     и  телье </v>
      </c>
      <c r="G48" s="4" t="str">
        <f ca="1">IFERROR(__xludf.DUMMYFUNCTION("TEXTJOIN(""|"",TRUE,UNIQUE(FILTER(SPLIT(F48,"" ""),LEN(SPLIT(F48,"" ""))&gt;2)))"),"ебель|для|телье")</f>
        <v>ебель|для|телье</v>
      </c>
      <c r="I48" s="1"/>
      <c r="J48" s="1"/>
    </row>
    <row r="49" spans="1:10" x14ac:dyDescent="0.2">
      <c r="A49" s="7"/>
      <c r="B49" s="7" t="s">
        <v>3424</v>
      </c>
      <c r="C49" s="7" t="s">
        <v>3422</v>
      </c>
      <c r="D49" s="7"/>
      <c r="E49" s="5">
        <v>0</v>
      </c>
      <c r="F49" s="4" t="str">
        <f ca="1">IFERROR(__xludf.DUMMYFUNCTION("LOWER(REGEXREPLACE(B49&amp;"" ""&amp;C49,""[^а-яa-z0-9 ]"","" ""))")," борудование для гончарки ")</f>
        <v xml:space="preserve"> борудование для гончарки </v>
      </c>
      <c r="G49" s="4" t="str">
        <f ca="1">IFERROR(__xludf.DUMMYFUNCTION("TEXTJOIN(""|"",TRUE,UNIQUE(FILTER(SPLIT(F49,"" ""),LEN(SPLIT(F49,"" ""))&gt;2)))"),"борудование|для|гончарки")</f>
        <v>борудование|для|гончарки</v>
      </c>
      <c r="I49" s="1"/>
      <c r="J49" s="1"/>
    </row>
    <row r="50" spans="1:10" x14ac:dyDescent="0.2">
      <c r="A50" s="7"/>
      <c r="B50" s="7" t="s">
        <v>3423</v>
      </c>
      <c r="C50" s="7" t="s">
        <v>3422</v>
      </c>
      <c r="D50" s="7"/>
      <c r="E50" s="12">
        <v>0</v>
      </c>
      <c r="F50" s="4" t="str">
        <f ca="1">IFERROR(__xludf.DUMMYFUNCTION("LOWER(REGEXREPLACE(B50&amp;"" ""&amp;C50,""[^а-яa-z0-9 ]"","" ""))")," омещение камеры охлаждения ")</f>
        <v xml:space="preserve"> омещение камеры охлаждения </v>
      </c>
      <c r="G50" s="4" t="str">
        <f ca="1">IFERROR(__xludf.DUMMYFUNCTION("TEXTJOIN(""|"",TRUE,UNIQUE(FILTER(SPLIT(F50,"" ""),LEN(SPLIT(F50,"" ""))&gt;2)))"),"омещение|камеры|охлаждения")</f>
        <v>омещение|камеры|охлаждения</v>
      </c>
      <c r="I50" s="1"/>
      <c r="J50" s="1"/>
    </row>
    <row r="51" spans="1:10" x14ac:dyDescent="0.2">
      <c r="A51" s="8" t="s">
        <v>3421</v>
      </c>
      <c r="B51" s="7" t="s">
        <v>487</v>
      </c>
      <c r="C51" s="7" t="s">
        <v>3420</v>
      </c>
      <c r="D51" s="11">
        <v>55386.789120000009</v>
      </c>
      <c r="E51" s="5">
        <v>59</v>
      </c>
      <c r="F51" s="4" t="str">
        <f ca="1">IFERROR(__xludf.DUMMYFUNCTION("LOWER(REGEXREPLACE(B51&amp;"" ""&amp;C51,""[^а-яa-z0-9 ]"","" ""))")," олл шторы  олл шторы белые однотонные   х х в м2               2410х1810х4360 мм")</f>
        <v xml:space="preserve"> олл шторы  олл шторы белые однотонные   х х в м2               2410х1810х4360 мм</v>
      </c>
      <c r="G51" s="4" t="str">
        <f ca="1">IFERROR(__xludf.DUMMYFUNCTION("TEXTJOIN(""|"",TRUE,UNIQUE(FILTER(SPLIT(F51,"" ""),LEN(SPLIT(F51,"" ""))&gt;2)))"),"олл|шторы|олл|шторы|белые|однотонные|2410х1810х4360")</f>
        <v>олл|шторы|олл|шторы|белые|однотонные|2410х1810х4360</v>
      </c>
      <c r="I51" s="1"/>
      <c r="J51" s="1"/>
    </row>
    <row r="52" spans="1:10" x14ac:dyDescent="0.2">
      <c r="A52" s="8" t="s">
        <v>3419</v>
      </c>
      <c r="B52" s="7" t="s">
        <v>487</v>
      </c>
      <c r="C52" s="7" t="s">
        <v>3418</v>
      </c>
      <c r="D52" s="11">
        <v>41667.125759999995</v>
      </c>
      <c r="E52" s="5">
        <v>49</v>
      </c>
      <c r="F52" s="4" t="str">
        <f ca="1">IFERROR(__xludf.DUMMYFUNCTION("LOWER(REGEXREPLACE(B52&amp;"" ""&amp;C52,""[^а-яa-z0-9 ]"","" ""))")," олл шторы  олл шторы белые однотонные   х х в м2               1810х1810х3280 мм")</f>
        <v xml:space="preserve"> олл шторы  олл шторы белые однотонные   х х в м2               1810х1810х3280 мм</v>
      </c>
      <c r="G52" s="4" t="str">
        <f ca="1">IFERROR(__xludf.DUMMYFUNCTION("TEXTJOIN(""|"",TRUE,UNIQUE(FILTER(SPLIT(F52,"" ""),LEN(SPLIT(F52,"" ""))&gt;2)))"),"олл|шторы|олл|шторы|белые|однотонные|1810х1810х3280")</f>
        <v>олл|шторы|олл|шторы|белые|однотонные|1810х1810х3280</v>
      </c>
      <c r="I52" s="1"/>
      <c r="J52" s="1"/>
    </row>
    <row r="53" spans="1:10" x14ac:dyDescent="0.2">
      <c r="A53" s="8" t="s">
        <v>3417</v>
      </c>
      <c r="B53" s="7" t="s">
        <v>487</v>
      </c>
      <c r="C53" s="7" t="s">
        <v>3416</v>
      </c>
      <c r="D53" s="11">
        <v>27820.428479999999</v>
      </c>
      <c r="E53" s="5">
        <v>3</v>
      </c>
      <c r="F53" s="4" t="str">
        <f ca="1">IFERROR(__xludf.DUMMYFUNCTION("LOWER(REGEXREPLACE(B53&amp;"" ""&amp;C53,""[^а-яa-z0-9 ]"","" ""))")," олл шторы  олл шторы белые однотонные   х х в м2               1210х1810х2190 мм")</f>
        <v xml:space="preserve"> олл шторы  олл шторы белые однотонные   х х в м2               1210х1810х2190 мм</v>
      </c>
      <c r="G53" s="4" t="str">
        <f ca="1">IFERROR(__xludf.DUMMYFUNCTION("TEXTJOIN(""|"",TRUE,UNIQUE(FILTER(SPLIT(F53,"" ""),LEN(SPLIT(F53,"" ""))&gt;2)))"),"олл|шторы|олл|шторы|белые|однотонные|1210х1810х2190")</f>
        <v>олл|шторы|олл|шторы|белые|однотонные|1210х1810х2190</v>
      </c>
      <c r="I53" s="1"/>
      <c r="J53" s="1"/>
    </row>
    <row r="54" spans="1:10" x14ac:dyDescent="0.2">
      <c r="A54" s="8" t="s">
        <v>3415</v>
      </c>
      <c r="B54" s="7" t="s">
        <v>487</v>
      </c>
      <c r="C54" s="7" t="s">
        <v>3414</v>
      </c>
      <c r="D54" s="11">
        <v>41158.990079999996</v>
      </c>
      <c r="E54" s="5">
        <v>2</v>
      </c>
      <c r="F54" s="4" t="str">
        <f ca="1">IFERROR(__xludf.DUMMYFUNCTION("LOWER(REGEXREPLACE(B54&amp;"" ""&amp;C54,""[^а-яa-z0-9 ]"","" ""))")," олл шторы  олл шторы белые однотонные   х х в м2               2000х1200х3240 мм")</f>
        <v xml:space="preserve"> олл шторы  олл шторы белые однотонные   х х в м2               2000х1200х3240 мм</v>
      </c>
      <c r="G54" s="4" t="str">
        <f ca="1">IFERROR(__xludf.DUMMYFUNCTION("TEXTJOIN(""|"",TRUE,UNIQUE(FILTER(SPLIT(F54,"" ""),LEN(SPLIT(F54,"" ""))&gt;2)))"),"олл|шторы|олл|шторы|белые|однотонные|2000х1200х3240")</f>
        <v>олл|шторы|олл|шторы|белые|однотонные|2000х1200х3240</v>
      </c>
      <c r="I54" s="1"/>
      <c r="J54" s="1"/>
    </row>
    <row r="55" spans="1:10" x14ac:dyDescent="0.2">
      <c r="A55" s="8" t="s">
        <v>3413</v>
      </c>
      <c r="B55" s="7" t="s">
        <v>487</v>
      </c>
      <c r="C55" s="7" t="s">
        <v>3412</v>
      </c>
      <c r="D55" s="11">
        <v>100991.9664</v>
      </c>
      <c r="E55" s="5">
        <v>6</v>
      </c>
      <c r="F55" s="4" t="str">
        <f ca="1">IFERROR(__xludf.DUMMYFUNCTION("LOWER(REGEXREPLACE(B55&amp;"" ""&amp;C55,""[^а-яa-z0-9 ]"","" ""))")," олл шторы  олл шторы белые однотонные   х х в м2               2410х3300х7950 мм")</f>
        <v xml:space="preserve"> олл шторы  олл шторы белые однотонные   х х в м2               2410х3300х7950 мм</v>
      </c>
      <c r="G55" s="4" t="str">
        <f ca="1">IFERROR(__xludf.DUMMYFUNCTION("TEXTJOIN(""|"",TRUE,UNIQUE(FILTER(SPLIT(F55,"" ""),LEN(SPLIT(F55,"" ""))&gt;2)))"),"олл|шторы|олл|шторы|белые|однотонные|2410х3300х7950")</f>
        <v>олл|шторы|олл|шторы|белые|однотонные|2410х3300х7950</v>
      </c>
      <c r="I55" s="1"/>
      <c r="J55" s="1"/>
    </row>
    <row r="56" spans="1:10" x14ac:dyDescent="0.2">
      <c r="A56" s="8" t="s">
        <v>3411</v>
      </c>
      <c r="B56" s="7" t="s">
        <v>487</v>
      </c>
      <c r="C56" s="7" t="s">
        <v>3410</v>
      </c>
      <c r="D56" s="11">
        <v>19055.088</v>
      </c>
      <c r="E56" s="5">
        <v>4</v>
      </c>
      <c r="F56" s="4" t="str">
        <f ca="1">IFERROR(__xludf.DUMMYFUNCTION("LOWER(REGEXREPLACE(B56&amp;"" ""&amp;C56,""[^а-яa-z0-9 ]"","" ""))")," олл шторы  олл шторы белые однотонные   х х в м2               910х1650х1500 мм")</f>
        <v xml:space="preserve"> олл шторы  олл шторы белые однотонные   х х в м2               910х1650х1500 мм</v>
      </c>
      <c r="G56" s="4" t="str">
        <f ca="1">IFERROR(__xludf.DUMMYFUNCTION("TEXTJOIN(""|"",TRUE,UNIQUE(FILTER(SPLIT(F56,"" ""),LEN(SPLIT(F56,"" ""))&gt;2)))"),"олл|шторы|олл|шторы|белые|однотонные|910х1650х1500")</f>
        <v>олл|шторы|олл|шторы|белые|однотонные|910х1650х1500</v>
      </c>
      <c r="I56" s="1"/>
      <c r="J56" s="1"/>
    </row>
    <row r="57" spans="1:10" x14ac:dyDescent="0.2">
      <c r="A57" s="8" t="s">
        <v>3409</v>
      </c>
      <c r="B57" s="7" t="s">
        <v>487</v>
      </c>
      <c r="C57" s="7" t="s">
        <v>3408</v>
      </c>
      <c r="D57" s="11">
        <v>27439.326720000005</v>
      </c>
      <c r="E57" s="5">
        <v>6</v>
      </c>
      <c r="F57" s="4" t="str">
        <f ca="1">IFERROR(__xludf.DUMMYFUNCTION("LOWER(REGEXREPLACE(B57&amp;"" ""&amp;C57,""[^а-яa-z0-9 ]"","" ""))")," олл шторы  олл шторы белые однотонные   х х в м2               1310х1650х2160 мм")</f>
        <v xml:space="preserve"> олл шторы  олл шторы белые однотонные   х х в м2               1310х1650х2160 мм</v>
      </c>
      <c r="G57" s="4" t="str">
        <f ca="1">IFERROR(__xludf.DUMMYFUNCTION("TEXTJOIN(""|"",TRUE,UNIQUE(FILTER(SPLIT(F57,"" ""),LEN(SPLIT(F57,"" ""))&gt;2)))"),"олл|шторы|олл|шторы|белые|однотонные|1310х1650х2160")</f>
        <v>олл|шторы|олл|шторы|белые|однотонные|1310х1650х2160</v>
      </c>
      <c r="I57" s="1"/>
      <c r="J57" s="1"/>
    </row>
    <row r="58" spans="1:10" ht="28.5" customHeight="1" x14ac:dyDescent="0.2">
      <c r="A58" s="8" t="s">
        <v>3407</v>
      </c>
      <c r="B58" s="7" t="s">
        <v>3406</v>
      </c>
      <c r="C58" s="7" t="s">
        <v>2414</v>
      </c>
      <c r="D58" s="6">
        <v>1400</v>
      </c>
      <c r="E58" s="5">
        <v>1</v>
      </c>
      <c r="F58" s="4" t="str">
        <f ca="1">IFERROR(__xludf.DUMMYFUNCTION("LOWER(REGEXREPLACE(B58&amp;"" ""&amp;C58,""[^а-яa-z0-9 ]"","" ""))"),"   ылды  бояма    аз    мная  раскраска   аскрась по коду   ето  енаги   ")</f>
        <v xml:space="preserve">   ылды  бояма    аз    мная  раскраска   аскрась по коду   ето  енаги   </v>
      </c>
      <c r="G58" s="4" t="str">
        <f ca="1">IFERROR(__xludf.DUMMYFUNCTION("TEXTJOIN(""|"",TRUE,UNIQUE(FILTER(SPLIT(F58,"" ""),LEN(SPLIT(F58,"" ""))&gt;2)))"),"ылды|бояма|мная|раскраска|аскрась|коду|ето|енаги")</f>
        <v>ылды|бояма|мная|раскраска|аскрась|коду|ето|енаги</v>
      </c>
      <c r="I58" s="1"/>
      <c r="J58" s="1"/>
    </row>
    <row r="59" spans="1:10" x14ac:dyDescent="0.2">
      <c r="A59" s="8" t="s">
        <v>3405</v>
      </c>
      <c r="B59" s="7" t="s">
        <v>3404</v>
      </c>
      <c r="C59" s="7" t="s">
        <v>3403</v>
      </c>
      <c r="D59" s="6">
        <v>16000</v>
      </c>
      <c r="E59" s="5">
        <v>50</v>
      </c>
      <c r="F59" s="4" t="str">
        <f ca="1">IFERROR(__xludf.DUMMYFUNCTION("LOWER(REGEXREPLACE(B59&amp;"" ""&amp;C59,""[^а-яa-z0-9 ]"","" ""))"),"   ркем  рнек    нтеллектум   гра предназначена для расширения познания и для развития пространственного мышления ребенка    карточки   32 шт    дощечка   1 шт    разноцветные детали   27 шт    красные детали   5 шт    розовые детали   5 шт    синие детал"&amp;"и   6 шт    желтые детали   6 шт    зеленые детали   5 шт ")</f>
        <v xml:space="preserve">   ркем  рнек    нтеллектум   гра предназначена для расширения познания и для развития пространственного мышления ребенка    карточки   32 шт    дощечка   1 шт    разноцветные детали   27 шт    красные детали   5 шт    розовые детали   5 шт    синие детали   6 шт    желтые детали   6 шт    зеленые детали   5 шт </v>
      </c>
      <c r="G59" s="4" t="str">
        <f ca="1">IFERROR(__xludf.DUMMYFUNCTION("TEXTJOIN(""|"",TRUE,UNIQUE(FILTER(SPLIT(F59,"" ""),LEN(SPLIT(F59,"" ""))&gt;2)))"),"ркем|рнек|нтеллектум|гра|предназначена|для|расширения|познания|для|развития|пространственного|мышления|ребенка|карточки|дощечка|разноцветные|детали|красные|детали|розовые|детали|синие|детали|желтые|детали|зеленые|детали")</f>
        <v>ркем|рнек|нтеллектум|гра|предназначена|для|расширения|познания|для|развития|пространственного|мышления|ребенка|карточки|дощечка|разноцветные|детали|красные|детали|розовые|детали|синие|детали|желтые|детали|зеленые|детали</v>
      </c>
      <c r="I59" s="1"/>
      <c r="J59" s="1"/>
    </row>
    <row r="60" spans="1:10" ht="21.75" customHeight="1" x14ac:dyDescent="0.2">
      <c r="A60" s="8" t="s">
        <v>3402</v>
      </c>
      <c r="B60" s="7" t="s">
        <v>3401</v>
      </c>
      <c r="C60" s="7" t="s">
        <v>3400</v>
      </c>
      <c r="D60" s="6">
        <v>6700</v>
      </c>
      <c r="E60" s="5">
        <v>5</v>
      </c>
      <c r="F60" s="4" t="str">
        <f ca="1">IFERROR(__xludf.DUMMYFUNCTION("LOWER(REGEXREPLACE(B60&amp;"" ""&amp;C60,""[^а-яa-z0-9 ]"","" ""))")," емонстрационные картинки   омашние животные   емонстрационные картинки предназначены для ознакомления с домашними животными   спользуются при рассматривании изображений и обсуждении особенностей содержания и внешнего вида    набор входит 16 демонстрацион"&amp;"ных картинок и 16 раздаточных карточек ")</f>
        <v xml:space="preserve"> емонстрационные картинки   омашние животные   емонстрационные картинки предназначены для ознакомления с домашними животными   спользуются при рассматривании изображений и обсуждении особенностей содержания и внешнего вида    набор входит 16 демонстрационных картинок и 16 раздаточных карточек </v>
      </c>
      <c r="G60" s="4" t="str">
        <f ca="1">IFERROR(__xludf.DUMMYFUNCTION("TEXTJOIN(""|"",TRUE,UNIQUE(FILTER(SPLIT(F60,"" ""),LEN(SPLIT(F60,"" ""))&gt;2)))"),"емонстрационные|картинки|омашние|животные|емонстрационные|картинки|предназначены|для|ознакомления|домашними|животными|спользуются|при|рассматривании|изображений|обсуждении|особенностей|содержания|внешнего|вида|набор|входит|демонстрационных|картинок|раздат"&amp;"очных|карточек")</f>
        <v>емонстрационные|картинки|омашние|животные|емонстрационные|картинки|предназначены|для|ознакомления|домашними|животными|спользуются|при|рассматривании|изображений|обсуждении|особенностей|содержания|внешнего|вида|набор|входит|демонстрационных|картинок|раздаточных|карточек</v>
      </c>
      <c r="I60" s="1"/>
      <c r="J60" s="1"/>
    </row>
    <row r="61" spans="1:10" ht="31.5" customHeight="1" x14ac:dyDescent="0.2">
      <c r="A61" s="8" t="s">
        <v>3399</v>
      </c>
      <c r="B61" s="7" t="s">
        <v>3398</v>
      </c>
      <c r="C61" s="7" t="s">
        <v>3398</v>
      </c>
      <c r="D61" s="6">
        <v>229300</v>
      </c>
      <c r="E61" s="5">
        <v>5</v>
      </c>
      <c r="F61" s="4" t="str">
        <f ca="1">IFERROR(__xludf.DUMMYFUNCTION("LOWER(REGEXREPLACE(B61&amp;"" ""&amp;C61,""[^а-яa-z0-9 ]"","" ""))")," акет расходных материалов для инструментов  akerspace  акет расходных материалов для инструментов  akerspace")</f>
        <v xml:space="preserve"> акет расходных материалов для инструментов  akerspace  акет расходных материалов для инструментов  akerspace</v>
      </c>
      <c r="G61" s="4" t="str">
        <f ca="1">IFERROR(__xludf.DUMMYFUNCTION("TEXTJOIN(""|"",TRUE,UNIQUE(FILTER(SPLIT(F61,"" ""),LEN(SPLIT(F61,"" ""))&gt;2)))"),"акет|расходных|материалов|для|инструментов|akerspace|акет|расходных|материалов|для|инструментов|akerspace")</f>
        <v>акет|расходных|материалов|для|инструментов|akerspace|акет|расходных|материалов|для|инструментов|akerspace</v>
      </c>
      <c r="I61" s="1"/>
      <c r="J61" s="1"/>
    </row>
    <row r="62" spans="1:10" x14ac:dyDescent="0.2">
      <c r="A62" s="8" t="s">
        <v>3397</v>
      </c>
      <c r="B62" s="7" t="s">
        <v>3396</v>
      </c>
      <c r="C62" s="7" t="s">
        <v>3395</v>
      </c>
      <c r="D62" s="6">
        <v>567000</v>
      </c>
      <c r="E62" s="5">
        <v>0</v>
      </c>
      <c r="F62" s="4" t="str">
        <f ca="1">IFERROR(__xludf.DUMMYFUNCTION("LOWER(REGEXREPLACE(B62&amp;"" ""&amp;C62,""[^а-яa-z0-9 ]"","" ""))"),"3  принтер  1  ombo 3  принтер ")</f>
        <v xml:space="preserve">3  принтер  1  ombo 3  принтер </v>
      </c>
      <c r="G62" s="4" t="str">
        <f ca="1">IFERROR(__xludf.DUMMYFUNCTION("TEXTJOIN(""|"",TRUE,UNIQUE(FILTER(SPLIT(F62,"" ""),LEN(SPLIT(F62,"" ""))&gt;2)))"),"принтер|ombo|принтер")</f>
        <v>принтер|ombo|принтер</v>
      </c>
      <c r="I62" s="1"/>
      <c r="J62" s="1"/>
    </row>
    <row r="63" spans="1:10" x14ac:dyDescent="0.2">
      <c r="A63" s="8" t="s">
        <v>3394</v>
      </c>
      <c r="B63" s="8" t="s">
        <v>3393</v>
      </c>
      <c r="C63" s="7" t="s">
        <v>3392</v>
      </c>
      <c r="D63" s="6">
        <v>1429200</v>
      </c>
      <c r="E63" s="5">
        <v>3</v>
      </c>
      <c r="F63" s="4" t="str">
        <f ca="1">IFERROR(__xludf.DUMMYFUNCTION("LOWER(REGEXREPLACE(B63&amp;"" ""&amp;C63,""[^а-яa-z0-9 ]"","" ""))")," ерстак для сборки   сновная рабочая зона для конструирования моделей и работы с инструментами ")</f>
        <v xml:space="preserve"> ерстак для сборки   сновная рабочая зона для конструирования моделей и работы с инструментами </v>
      </c>
      <c r="G63" s="4" t="str">
        <f ca="1">IFERROR(__xludf.DUMMYFUNCTION("TEXTJOIN(""|"",TRUE,UNIQUE(FILTER(SPLIT(F63,"" ""),LEN(SPLIT(F63,"" ""))&gt;2)))"),"ерстак|для|сборки|сновная|рабочая|зона|для|конструирования|моделей|работы|инструментами")</f>
        <v>ерстак|для|сборки|сновная|рабочая|зона|для|конструирования|моделей|работы|инструментами</v>
      </c>
      <c r="I63" s="1"/>
      <c r="J63" s="1"/>
    </row>
    <row r="64" spans="1:10" x14ac:dyDescent="0.2">
      <c r="A64" s="8" t="s">
        <v>3391</v>
      </c>
      <c r="B64" s="8" t="s">
        <v>3390</v>
      </c>
      <c r="C64" s="7" t="s">
        <v>3389</v>
      </c>
      <c r="D64" s="6">
        <v>163000</v>
      </c>
      <c r="E64" s="5">
        <v>15</v>
      </c>
      <c r="F64" s="4" t="str">
        <f ca="1">IFERROR(__xludf.DUMMYFUNCTION("LOWER(REGEXREPLACE(B64&amp;"" ""&amp;C64,""[^а-яa-z0-9 ]"","" ""))")," тулья   ысота сиденья  25   26 см  ирина сиденья  29 см  лубина сиденья  27 см  ысота спинки  общая   52 см")</f>
        <v xml:space="preserve"> тулья   ысота сиденья  25   26 см  ирина сиденья  29 см  лубина сиденья  27 см  ысота спинки  общая   52 см</v>
      </c>
      <c r="G64" s="4" t="str">
        <f ca="1">IFERROR(__xludf.DUMMYFUNCTION("TEXTJOIN(""|"",TRUE,UNIQUE(FILTER(SPLIT(F64,"" ""),LEN(SPLIT(F64,"" ""))&gt;2)))"),"тулья|ысота|сиденья|ирина|сиденья|лубина|сиденья|ысота|спинки|общая")</f>
        <v>тулья|ысота|сиденья|ирина|сиденья|лубина|сиденья|ысота|спинки|общая</v>
      </c>
      <c r="I64" s="1"/>
      <c r="J64" s="1"/>
    </row>
    <row r="65" spans="1:10" x14ac:dyDescent="0.2">
      <c r="A65" s="8" t="s">
        <v>3388</v>
      </c>
      <c r="B65" s="8" t="s">
        <v>3387</v>
      </c>
      <c r="C65" s="7" t="s">
        <v>3386</v>
      </c>
      <c r="D65" s="6">
        <v>722400</v>
      </c>
      <c r="E65" s="5">
        <v>3</v>
      </c>
      <c r="F65" s="4" t="str">
        <f ca="1">IFERROR(__xludf.DUMMYFUNCTION("LOWER(REGEXREPLACE(B65&amp;"" ""&amp;C65,""[^а-яa-z0-9 ]"","" ""))")," истема хранения   теллаж для организации лотков с деталями роботов и микросхемами ")</f>
        <v xml:space="preserve"> истема хранения   теллаж для организации лотков с деталями роботов и микросхемами </v>
      </c>
      <c r="G65" s="4" t="str">
        <f ca="1">IFERROR(__xludf.DUMMYFUNCTION("TEXTJOIN(""|"",TRUE,UNIQUE(FILTER(SPLIT(F65,"" ""),LEN(SPLIT(F65,"" ""))&gt;2)))"),"истема|хранения|теллаж|для|организации|лотков|деталями|роботов|микросхемами")</f>
        <v>истема|хранения|теллаж|для|организации|лотков|деталями|роботов|микросхемами</v>
      </c>
      <c r="I65" s="1"/>
      <c r="J65" s="1"/>
    </row>
    <row r="66" spans="1:10" x14ac:dyDescent="0.2">
      <c r="A66" s="8" t="s">
        <v>3385</v>
      </c>
      <c r="B66" s="8" t="s">
        <v>3384</v>
      </c>
      <c r="C66" s="7" t="s">
        <v>3383</v>
      </c>
      <c r="D66" s="6">
        <v>166600</v>
      </c>
      <c r="E66" s="5">
        <v>3</v>
      </c>
      <c r="F66" s="4" t="str">
        <f ca="1">IFERROR(__xludf.DUMMYFUNCTION("LOWER(REGEXREPLACE(B66&amp;"" ""&amp;C66,""[^а-яa-z0-9 ]"","" ""))")," лубокие лотки   онтейнеры для сортировки конструкторов по типам деталей ")</f>
        <v xml:space="preserve"> лубокие лотки   онтейнеры для сортировки конструкторов по типам деталей </v>
      </c>
      <c r="G66" s="4" t="str">
        <f ca="1">IFERROR(__xludf.DUMMYFUNCTION("TEXTJOIN(""|"",TRUE,UNIQUE(FILTER(SPLIT(F66,"" ""),LEN(SPLIT(F66,"" ""))&gt;2)))"),"лубокие|лотки|онтейнеры|для|сортировки|конструкторов|типам|деталей")</f>
        <v>лубокие|лотки|онтейнеры|для|сортировки|конструкторов|типам|деталей</v>
      </c>
      <c r="I66" s="1"/>
      <c r="J66" s="1"/>
    </row>
    <row r="67" spans="1:10" x14ac:dyDescent="0.2">
      <c r="A67" s="8" t="s">
        <v>3382</v>
      </c>
      <c r="B67" s="8" t="s">
        <v>3381</v>
      </c>
      <c r="C67" s="7" t="s">
        <v>3380</v>
      </c>
      <c r="D67" s="6">
        <v>1826200</v>
      </c>
      <c r="E67" s="5">
        <v>1</v>
      </c>
      <c r="F67" s="4" t="str">
        <f ca="1">IFERROR(__xludf.DUMMYFUNCTION("LOWER(REGEXREPLACE(B67&amp;"" ""&amp;C67,""[^а-яa-z0-9 ]"","" ""))")," астенная механика  нтерактивный стенд для изучения передач  вращения и крутящего момента")</f>
        <v xml:space="preserve"> астенная механика  нтерактивный стенд для изучения передач  вращения и крутящего момента</v>
      </c>
      <c r="G67" s="4" t="str">
        <f ca="1">IFERROR(__xludf.DUMMYFUNCTION("TEXTJOIN(""|"",TRUE,UNIQUE(FILTER(SPLIT(F67,"" ""),LEN(SPLIT(F67,"" ""))&gt;2)))"),"астенная|механика|нтерактивный|стенд|для|изучения|передач|вращения|крутящего|момента")</f>
        <v>астенная|механика|нтерактивный|стенд|для|изучения|передач|вращения|крутящего|момента</v>
      </c>
      <c r="I67" s="1"/>
      <c r="J67" s="1"/>
    </row>
    <row r="68" spans="1:10" x14ac:dyDescent="0.2">
      <c r="A68" s="8" t="s">
        <v>3379</v>
      </c>
      <c r="B68" s="8" t="s">
        <v>3378</v>
      </c>
      <c r="C68" s="7" t="s">
        <v>3377</v>
      </c>
      <c r="D68" s="6">
        <v>338900</v>
      </c>
      <c r="E68" s="5">
        <v>4</v>
      </c>
      <c r="F68" s="4" t="str">
        <f ca="1">IFERROR(__xludf.DUMMYFUNCTION("LOWER(REGEXREPLACE(B68&amp;"" ""&amp;C68,""[^а-яa-z0-9 ]"","" ""))")," сновы алгоритмики   гра для развития логического мышления  база перед программированием ")</f>
        <v xml:space="preserve"> сновы алгоритмики   гра для развития логического мышления  база перед программированием </v>
      </c>
      <c r="G68" s="4" t="str">
        <f ca="1">IFERROR(__xludf.DUMMYFUNCTION("TEXTJOIN(""|"",TRUE,UNIQUE(FILTER(SPLIT(F68,"" ""),LEN(SPLIT(F68,"" ""))&gt;2)))"),"сновы|алгоритмики|гра|для|развития|логического|мышления|база|перед|программированием")</f>
        <v>сновы|алгоритмики|гра|для|развития|логического|мышления|база|перед|программированием</v>
      </c>
      <c r="I68" s="1"/>
      <c r="J68" s="1"/>
    </row>
    <row r="69" spans="1:10" x14ac:dyDescent="0.2">
      <c r="A69" s="8" t="s">
        <v>3376</v>
      </c>
      <c r="B69" s="8" t="s">
        <v>3375</v>
      </c>
      <c r="C69" s="7" t="s">
        <v>3374</v>
      </c>
      <c r="D69" s="6">
        <v>104900</v>
      </c>
      <c r="E69" s="5">
        <v>5</v>
      </c>
      <c r="F69" s="4" t="str">
        <f ca="1">IFERROR(__xludf.DUMMYFUNCTION("LOWER(REGEXREPLACE(B69&amp;"" ""&amp;C69,""[^а-яa-z0-9 ]"","" ""))")," аборатория шестеренок  астольный набор для понимания принципов работы механических узлов ")</f>
        <v xml:space="preserve"> аборатория шестеренок  астольный набор для понимания принципов работы механических узлов </v>
      </c>
      <c r="G69" s="4" t="str">
        <f ca="1">IFERROR(__xludf.DUMMYFUNCTION("TEXTJOIN(""|"",TRUE,UNIQUE(FILTER(SPLIT(F69,"" ""),LEN(SPLIT(F69,"" ""))&gt;2)))"),"аборатория|шестеренок|астольный|набор|для|понимания|принципов|работы|механических|узлов")</f>
        <v>аборатория|шестеренок|астольный|набор|для|понимания|принципов|работы|механических|узлов</v>
      </c>
      <c r="I69" s="1"/>
      <c r="J69" s="1"/>
    </row>
    <row r="70" spans="1:10" x14ac:dyDescent="0.2">
      <c r="A70" s="8" t="s">
        <v>3373</v>
      </c>
      <c r="B70" s="8" t="s">
        <v>3372</v>
      </c>
      <c r="C70" s="7" t="s">
        <v>3371</v>
      </c>
      <c r="D70" s="6">
        <v>777000</v>
      </c>
      <c r="E70" s="5">
        <v>1</v>
      </c>
      <c r="F70" s="4" t="str">
        <f ca="1">IFERROR(__xludf.DUMMYFUNCTION("LOWER(REGEXREPLACE(B70&amp;"" ""&amp;C70,""[^а-яa-z0-9 ]"","" ""))")," спытательный полигон   ягкая зона для запуска мобильных роботов и групповых обсуждений ")</f>
        <v xml:space="preserve"> спытательный полигон   ягкая зона для запуска мобильных роботов и групповых обсуждений </v>
      </c>
      <c r="G70" s="4" t="str">
        <f ca="1">IFERROR(__xludf.DUMMYFUNCTION("TEXTJOIN(""|"",TRUE,UNIQUE(FILTER(SPLIT(F70,"" ""),LEN(SPLIT(F70,"" ""))&gt;2)))"),"спытательный|полигон|ягкая|зона|для|запуска|мобильных|роботов|групповых|обсуждений")</f>
        <v>спытательный|полигон|ягкая|зона|для|запуска|мобильных|роботов|групповых|обсуждений</v>
      </c>
      <c r="I70" s="1"/>
      <c r="J70" s="1"/>
    </row>
    <row r="71" spans="1:10" ht="26.25" customHeight="1" x14ac:dyDescent="0.2">
      <c r="A71" s="8" t="s">
        <v>3370</v>
      </c>
      <c r="B71" s="7" t="s">
        <v>3369</v>
      </c>
      <c r="C71" s="7" t="s">
        <v>3368</v>
      </c>
      <c r="D71" s="6">
        <v>6700</v>
      </c>
      <c r="E71" s="5">
        <v>5</v>
      </c>
      <c r="F71" s="4" t="str">
        <f ca="1">IFERROR(__xludf.DUMMYFUNCTION("LOWER(REGEXREPLACE(B71&amp;"" ""&amp;C71,""[^а-яa-z0-9 ]"","" ""))")," емонстрационные картинки   ивотные жарких стран   абор демонстрационных картинок используется для наглядного ознакомления с животными жарких климатических зон   рименяется при рассматривании и сравнении животных разных сред обитания    комплект входит 16"&amp;" демонстрационных и 16 раздаточных карточек ")</f>
        <v xml:space="preserve"> емонстрационные картинки   ивотные жарких стран   абор демонстрационных картинок используется для наглядного ознакомления с животными жарких климатических зон   рименяется при рассматривании и сравнении животных разных сред обитания    комплект входит 16 демонстрационных и 16 раздаточных карточек </v>
      </c>
      <c r="G71" s="4" t="str">
        <f ca="1">IFERROR(__xludf.DUMMYFUNCTION("TEXTJOIN(""|"",TRUE,UNIQUE(FILTER(SPLIT(F71,"" ""),LEN(SPLIT(F71,"" ""))&gt;2)))"),"емонстрационные|картинки|ивотные|жарких|стран|абор|демонстрационных|картинок|используется|для|наглядного|ознакомления|животными|жарких|климатических|зон|рименяется|при|рассматривании|сравнении|животных|разных|сред|обитания|комплект|входит|демонстрационных"&amp;"|раздаточных|карточек")</f>
        <v>емонстрационные|картинки|ивотные|жарких|стран|абор|демонстрационных|картинок|используется|для|наглядного|ознакомления|животными|жарких|климатических|зон|рименяется|при|рассматривании|сравнении|животных|разных|сред|обитания|комплект|входит|демонстрационных|раздаточных|карточек</v>
      </c>
      <c r="I71" s="1"/>
      <c r="J71" s="1"/>
    </row>
    <row r="72" spans="1:10" x14ac:dyDescent="0.2">
      <c r="A72" s="8" t="s">
        <v>3367</v>
      </c>
      <c r="B72" s="8" t="s">
        <v>3366</v>
      </c>
      <c r="C72" s="7" t="s">
        <v>3365</v>
      </c>
      <c r="D72" s="6">
        <v>94800</v>
      </c>
      <c r="E72" s="5">
        <v>2</v>
      </c>
      <c r="F72" s="4" t="str">
        <f ca="1">IFERROR(__xludf.DUMMYFUNCTION("LOWER(REGEXREPLACE(B72&amp;"" ""&amp;C72,""[^а-яa-z0-9 ]"","" ""))")," азовый набор робототехники для детей     онструктор  ego  ducation      iscover")</f>
        <v xml:space="preserve"> азовый набор робототехники для детей     онструктор  ego  ducation      iscover</v>
      </c>
      <c r="G72" s="4" t="str">
        <f ca="1">IFERROR(__xludf.DUMMYFUNCTION("TEXTJOIN(""|"",TRUE,UNIQUE(FILTER(SPLIT(F72,"" ""),LEN(SPLIT(F72,"" ""))&gt;2)))"),"азовый|набор|робототехники|для|детей|онструктор|ego|ducation|iscover")</f>
        <v>азовый|набор|робототехники|для|детей|онструктор|ego|ducation|iscover</v>
      </c>
      <c r="I72" s="1"/>
      <c r="J72" s="1"/>
    </row>
    <row r="73" spans="1:10" x14ac:dyDescent="0.2">
      <c r="A73" s="8" t="s">
        <v>3364</v>
      </c>
      <c r="B73" s="8" t="s">
        <v>3363</v>
      </c>
      <c r="C73" s="7" t="s">
        <v>3362</v>
      </c>
      <c r="D73" s="6">
        <v>453300</v>
      </c>
      <c r="E73" s="5">
        <v>4</v>
      </c>
      <c r="F73" s="4" t="str">
        <f ca="1">IFERROR(__xludf.DUMMYFUNCTION("LOWER(REGEXREPLACE(B73&amp;"" ""&amp;C73,""[^а-яa-z0-9 ]"","" ""))"),"  obo  underkind  ducation  it  азовый набор  obowunderkind для начальных классов")</f>
        <v xml:space="preserve">  obo  underkind  ducation  it  азовый набор  obowunderkind для начальных классов</v>
      </c>
      <c r="G73" s="4" t="str">
        <f ca="1">IFERROR(__xludf.DUMMYFUNCTION("TEXTJOIN(""|"",TRUE,UNIQUE(FILTER(SPLIT(F73,"" ""),LEN(SPLIT(F73,"" ""))&gt;2)))"),"obo|underkind|ducation|азовый|набор|obowunderkind|для|начальных|классов")</f>
        <v>obo|underkind|ducation|азовый|набор|obowunderkind|для|начальных|классов</v>
      </c>
      <c r="I73" s="1"/>
      <c r="J73" s="1"/>
    </row>
    <row r="74" spans="1:10" x14ac:dyDescent="0.2">
      <c r="A74" s="8" t="s">
        <v>3361</v>
      </c>
      <c r="B74" s="8" t="s">
        <v>3360</v>
      </c>
      <c r="C74" s="7" t="s">
        <v>3359</v>
      </c>
      <c r="D74" s="6">
        <v>313400</v>
      </c>
      <c r="E74" s="5">
        <v>4</v>
      </c>
      <c r="F74" s="4" t="str">
        <f ca="1">IFERROR(__xludf.DUMMYFUNCTION("LOWER(REGEXREPLACE(B74&amp;"" ""&amp;C74,""[^а-яa-z0-9 ]"","" ""))")," obo  underkind  xtension  it  азовый набор  obo wunderkind для начальных классов")</f>
        <v xml:space="preserve"> obo  underkind  xtension  it  азовый набор  obo wunderkind для начальных классов</v>
      </c>
      <c r="G74" s="4" t="str">
        <f ca="1">IFERROR(__xludf.DUMMYFUNCTION("TEXTJOIN(""|"",TRUE,UNIQUE(FILTER(SPLIT(F74,"" ""),LEN(SPLIT(F74,"" ""))&gt;2)))"),"obo|underkind|xtension|азовый|набор|obo|wunderkind|для|начальных|классов")</f>
        <v>obo|underkind|xtension|азовый|набор|obo|wunderkind|для|начальных|классов</v>
      </c>
      <c r="I74" s="1"/>
      <c r="J74" s="1"/>
    </row>
    <row r="75" spans="1:10" x14ac:dyDescent="0.2">
      <c r="A75" s="8" t="s">
        <v>3358</v>
      </c>
      <c r="B75" s="8" t="s">
        <v>3357</v>
      </c>
      <c r="C75" s="7" t="s">
        <v>3357</v>
      </c>
      <c r="D75" s="6">
        <v>965600</v>
      </c>
      <c r="E75" s="5">
        <v>1</v>
      </c>
      <c r="F75" s="4" t="str">
        <f ca="1">IFERROR(__xludf.DUMMYFUNCTION("LOWER(REGEXREPLACE(B75&amp;"" ""&amp;C75,""[^а-яa-z0-9 ]"","" ""))")," абор для изучения управлению роботом  убо  абор для изучения управлению роботом  убо")</f>
        <v xml:space="preserve"> абор для изучения управлению роботом  убо  абор для изучения управлению роботом  убо</v>
      </c>
      <c r="G75" s="4" t="str">
        <f ca="1">IFERROR(__xludf.DUMMYFUNCTION("TEXTJOIN(""|"",TRUE,UNIQUE(FILTER(SPLIT(F75,"" ""),LEN(SPLIT(F75,"" ""))&gt;2)))"),"абор|для|изучения|управлению|роботом|убо|абор|для|изучения|управлению|роботом|убо")</f>
        <v>абор|для|изучения|управлению|роботом|убо|абор|для|изучения|управлению|роботом|убо</v>
      </c>
      <c r="I75" s="1"/>
      <c r="J75" s="1"/>
    </row>
    <row r="76" spans="1:10" ht="27.75" customHeight="1" x14ac:dyDescent="0.2">
      <c r="A76" s="8" t="s">
        <v>3356</v>
      </c>
      <c r="B76" s="7" t="s">
        <v>3355</v>
      </c>
      <c r="C76" s="7" t="s">
        <v>3354</v>
      </c>
      <c r="D76" s="6">
        <v>6700</v>
      </c>
      <c r="E76" s="5">
        <v>5</v>
      </c>
      <c r="F76" s="4" t="str">
        <f ca="1">IFERROR(__xludf.DUMMYFUNCTION("LOWER(REGEXREPLACE(B76&amp;"" ""&amp;C76,""[^а-яa-z0-9 ]"","" ""))")," емонстрационные картинки   ивотные холодных широт   емонстрационные картинки используются для ознакомления с животными  обитающими в холодных климатических условиях   рименяются при рассматривании изображений и обсуждении приспособлений к среде    набор "&amp;"входит 16 демонстрационных и 16 раздаточных карточек ")</f>
        <v xml:space="preserve"> емонстрационные картинки   ивотные холодных широт   емонстрационные картинки используются для ознакомления с животными  обитающими в холодных климатических условиях   рименяются при рассматривании изображений и обсуждении приспособлений к среде    набор входит 16 демонстрационных и 16 раздаточных карточек </v>
      </c>
      <c r="G76" s="4" t="str">
        <f ca="1">IFERROR(__xludf.DUMMYFUNCTION("TEXTJOIN(""|"",TRUE,UNIQUE(FILTER(SPLIT(F76,"" ""),LEN(SPLIT(F76,"" ""))&gt;2)))"),"емонстрационные|картинки|ивотные|холодных|широт|емонстрационные|картинки|используются|для|ознакомления|животными|обитающими|холодных|климатических|условиях|рименяются|при|рассматривании|изображений|обсуждении|приспособлений|среде|набор|входит|демонстрацио"&amp;"нных|раздаточных|карточек")</f>
        <v>емонстрационные|картинки|ивотные|холодных|широт|емонстрационные|картинки|используются|для|ознакомления|животными|обитающими|холодных|климатических|условиях|рименяются|при|рассматривании|изображений|обсуждении|приспособлений|среде|набор|входит|демонстрационных|раздаточных|карточек</v>
      </c>
      <c r="I76" s="1"/>
      <c r="J76" s="1"/>
    </row>
    <row r="77" spans="1:10" x14ac:dyDescent="0.2">
      <c r="A77" s="8" t="s">
        <v>3353</v>
      </c>
      <c r="B77" s="7" t="s">
        <v>3352</v>
      </c>
      <c r="C77" s="7" t="s">
        <v>3351</v>
      </c>
      <c r="D77" s="6">
        <v>6700</v>
      </c>
      <c r="E77" s="5">
        <v>5</v>
      </c>
      <c r="F77" s="4" t="str">
        <f ca="1">IFERROR(__xludf.DUMMYFUNCTION("LOWER(REGEXREPLACE(B77&amp;"" ""&amp;C77,""[^а-яa-z0-9 ]"","" ""))")," емонстрационные картинки   грушки   абор демонстрационных картинок используется для наглядного ознакомления с различными видами игрушек   рименяется при рассматривании  сравнении и классификации предметов    комплект входит 16 демонстрационных и 16 разда"&amp;"точных карточек ")</f>
        <v xml:space="preserve"> емонстрационные картинки   грушки   абор демонстрационных картинок используется для наглядного ознакомления с различными видами игрушек   рименяется при рассматривании  сравнении и классификации предметов    комплект входит 16 демонстрационных и 16 раздаточных карточек </v>
      </c>
      <c r="G77" s="4" t="str">
        <f ca="1">IFERROR(__xludf.DUMMYFUNCTION("TEXTJOIN(""|"",TRUE,UNIQUE(FILTER(SPLIT(F77,"" ""),LEN(SPLIT(F77,"" ""))&gt;2)))"),"емонстрационные|картинки|грушки|абор|демонстрационных|картинок|используется|для|наглядного|ознакомления|различными|видами|игрушек|рименяется|при|рассматривании|сравнении|классификации|предметов|комплект|входит|демонстрационных|раздаточных|карточек")</f>
        <v>емонстрационные|картинки|грушки|абор|демонстрационных|картинок|используется|для|наглядного|ознакомления|различными|видами|игрушек|рименяется|при|рассматривании|сравнении|классификации|предметов|комплект|входит|демонстрационных|раздаточных|карточек</v>
      </c>
      <c r="I77" s="1"/>
      <c r="J77" s="1"/>
    </row>
    <row r="78" spans="1:10" ht="21.75" customHeight="1" x14ac:dyDescent="0.2">
      <c r="A78" s="8" t="s">
        <v>3350</v>
      </c>
      <c r="B78" s="7" t="s">
        <v>3349</v>
      </c>
      <c r="C78" s="7" t="s">
        <v>3348</v>
      </c>
      <c r="D78" s="6">
        <v>6700</v>
      </c>
      <c r="E78" s="5">
        <v>5</v>
      </c>
      <c r="F78" s="4" t="str">
        <f ca="1">IFERROR(__xludf.DUMMYFUNCTION("LOWER(REGEXREPLACE(B78&amp;"" ""&amp;C78,""[^а-яa-z0-9 ]"","" ""))")," емонстрационные картинки   омнатные растения   емонстрационные картинки предназначены для ознакомления с видами комнатных растений   спользуются при рассматривании изображений и обсуждении внешних признаков   абор включает 16 демонстрационных и 16 раздат"&amp;"очных карточек ")</f>
        <v xml:space="preserve"> емонстрационные картинки   омнатные растения   емонстрационные картинки предназначены для ознакомления с видами комнатных растений   спользуются при рассматривании изображений и обсуждении внешних признаков   абор включает 16 демонстрационных и 16 раздаточных карточек </v>
      </c>
      <c r="G78" s="4" t="str">
        <f ca="1">IFERROR(__xludf.DUMMYFUNCTION("TEXTJOIN(""|"",TRUE,UNIQUE(FILTER(SPLIT(F78,"" ""),LEN(SPLIT(F78,"" ""))&gt;2)))"),"емонстрационные|картинки|омнатные|растения|емонстрационные|картинки|предназначены|для|ознакомления|видами|комнатных|растений|спользуются|при|рассматривании|изображений|обсуждении|внешних|признаков|абор|включает|демонстрационных|раздаточных|карточек")</f>
        <v>емонстрационные|картинки|омнатные|растения|емонстрационные|картинки|предназначены|для|ознакомления|видами|комнатных|растений|спользуются|при|рассматривании|изображений|обсуждении|внешних|признаков|абор|включает|демонстрационных|раздаточных|карточек</v>
      </c>
      <c r="I78" s="1"/>
      <c r="J78" s="1"/>
    </row>
    <row r="79" spans="1:10" x14ac:dyDescent="0.2">
      <c r="A79" s="8" t="s">
        <v>3347</v>
      </c>
      <c r="B79" s="7" t="s">
        <v>3346</v>
      </c>
      <c r="C79" s="7" t="s">
        <v>3345</v>
      </c>
      <c r="D79" s="6">
        <v>6700</v>
      </c>
      <c r="E79" s="5">
        <v>5</v>
      </c>
      <c r="F79" s="4" t="str">
        <f ca="1">IFERROR(__xludf.DUMMYFUNCTION("LOWER(REGEXREPLACE(B79&amp;"" ""&amp;C79,""[^а-яa-z0-9 ]"","" ""))")," емонстрационные картинки   ебель   абор демонстрационных картинок используется для ознакомления с предметами мебели   рименяется при рассматривании изображений и обсуждении назначения предметов    комплект входит 16 демонстрационных и 16 раздаточных карт"&amp;"очек ")</f>
        <v xml:space="preserve"> емонстрационные картинки   ебель   абор демонстрационных картинок используется для ознакомления с предметами мебели   рименяется при рассматривании изображений и обсуждении назначения предметов    комплект входит 16 демонстрационных и 16 раздаточных карточек </v>
      </c>
      <c r="G79" s="4" t="str">
        <f ca="1">IFERROR(__xludf.DUMMYFUNCTION("TEXTJOIN(""|"",TRUE,UNIQUE(FILTER(SPLIT(F79,"" ""),LEN(SPLIT(F79,"" ""))&gt;2)))"),"емонстрационные|картинки|ебель|абор|демонстрационных|картинок|используется|для|ознакомления|предметами|мебели|рименяется|при|рассматривании|изображений|обсуждении|назначения|предметов|комплект|входит|демонстрационных|раздаточных|карточек")</f>
        <v>емонстрационные|картинки|ебель|абор|демонстрационных|картинок|используется|для|ознакомления|предметами|мебели|рименяется|при|рассматривании|изображений|обсуждении|назначения|предметов|комплект|входит|демонстрационных|раздаточных|карточек</v>
      </c>
      <c r="I79" s="1"/>
      <c r="J79" s="1"/>
    </row>
    <row r="80" spans="1:10" ht="31.5" customHeight="1" x14ac:dyDescent="0.2">
      <c r="A80" s="8" t="s">
        <v>3344</v>
      </c>
      <c r="B80" s="7" t="s">
        <v>3343</v>
      </c>
      <c r="C80" s="7" t="s">
        <v>3342</v>
      </c>
      <c r="D80" s="6">
        <v>6700</v>
      </c>
      <c r="E80" s="5">
        <v>5</v>
      </c>
      <c r="F80" s="4" t="str">
        <f ca="1">IFERROR(__xludf.DUMMYFUNCTION("LOWER(REGEXREPLACE(B80&amp;"" ""&amp;C80,""[^а-яa-z0-9 ]"","" ""))")," емонстрационные картинки   ир морей и океанов   емонстрационные картинки используются для наглядного ознакомления с обитателями морей и океанов   рименяются при рассматривании и обсуждении особенностей морской среды   абор включает 16 демонстрационных и "&amp;"16 раздаточных карточек ")</f>
        <v xml:space="preserve"> емонстрационные картинки   ир морей и океанов   емонстрационные картинки используются для наглядного ознакомления с обитателями морей и океанов   рименяются при рассматривании и обсуждении особенностей морской среды   абор включает 16 демонстрационных и 16 раздаточных карточек </v>
      </c>
      <c r="G80" s="4" t="str">
        <f ca="1">IFERROR(__xludf.DUMMYFUNCTION("TEXTJOIN(""|"",TRUE,UNIQUE(FILTER(SPLIT(F80,"" ""),LEN(SPLIT(F80,"" ""))&gt;2)))"),"емонстрационные|картинки|морей|океанов|емонстрационные|картинки|используются|для|наглядного|ознакомления|обитателями|морей|океанов|рименяются|при|рассматривании|обсуждении|особенностей|морской|среды|абор|включает|демонстрационных|раздаточных|карточек")</f>
        <v>емонстрационные|картинки|морей|океанов|емонстрационные|картинки|используются|для|наглядного|ознакомления|обитателями|морей|океанов|рименяются|при|рассматривании|обсуждении|особенностей|морской|среды|абор|включает|демонстрационных|раздаточных|карточек</v>
      </c>
      <c r="I80" s="1"/>
      <c r="J80" s="1"/>
    </row>
    <row r="81" spans="1:10" ht="25.5" customHeight="1" x14ac:dyDescent="0.2">
      <c r="A81" s="8" t="s">
        <v>3341</v>
      </c>
      <c r="B81" s="7" t="s">
        <v>3340</v>
      </c>
      <c r="C81" s="7" t="s">
        <v>3339</v>
      </c>
      <c r="D81" s="6">
        <v>6700</v>
      </c>
      <c r="E81" s="5">
        <v>5</v>
      </c>
      <c r="F81" s="4" t="str">
        <f ca="1">IFERROR(__xludf.DUMMYFUNCTION("LOWER(REGEXREPLACE(B81&amp;"" ""&amp;C81,""[^а-яa-z0-9 ]"","" ""))")," емонстрационные картинки   узыкальные инструменты   абор демонстрационных картинок предназначен для ознакомления с различными музыкальными инструментами   спользуется при рассматривании изображений и обсуждении способов извлечения звука    комплект входи"&amp;"т 16 демонстрационных и 16 раздаточных карточек ")</f>
        <v xml:space="preserve"> емонстрационные картинки   узыкальные инструменты   абор демонстрационных картинок предназначен для ознакомления с различными музыкальными инструментами   спользуется при рассматривании изображений и обсуждении способов извлечения звука    комплект входит 16 демонстрационных и 16 раздаточных карточек </v>
      </c>
      <c r="G81" s="4" t="str">
        <f ca="1">IFERROR(__xludf.DUMMYFUNCTION("TEXTJOIN(""|"",TRUE,UNIQUE(FILTER(SPLIT(F81,"" ""),LEN(SPLIT(F81,"" ""))&gt;2)))"),"емонстрационные|картинки|узыкальные|инструменты|абор|демонстрационных|картинок|предназначен|для|ознакомления|различными|музыкальными|инструментами|спользуется|при|рассматривании|изображений|обсуждении|способов|извлечения|звука|комплект|входит|демонстрацио"&amp;"нных|раздаточных|карточек")</f>
        <v>емонстрационные|картинки|узыкальные|инструменты|абор|демонстрационных|картинок|предназначен|для|ознакомления|различными|музыкальными|инструментами|спользуется|при|рассматривании|изображений|обсуждении|способов|извлечения|звука|комплект|входит|демонстрационных|раздаточных|карточек</v>
      </c>
      <c r="I81" s="1"/>
      <c r="J81" s="1"/>
    </row>
    <row r="82" spans="1:10" x14ac:dyDescent="0.2">
      <c r="A82" s="8" t="s">
        <v>3338</v>
      </c>
      <c r="B82" s="7" t="s">
        <v>3337</v>
      </c>
      <c r="C82" s="7" t="s">
        <v>3336</v>
      </c>
      <c r="D82" s="6">
        <v>6700</v>
      </c>
      <c r="E82" s="5">
        <v>5</v>
      </c>
      <c r="F82" s="4" t="str">
        <f ca="1">IFERROR(__xludf.DUMMYFUNCTION("LOWER(REGEXREPLACE(B82&amp;"" ""&amp;C82,""[^а-яa-z0-9 ]"","" ""))")," емонстрационные картинки   асекомые   емонстрационные картинки используются для ознакомления с насекомыми   рименяются при рассматривании изображений и обсуждении строения и разнообразия насекомых    набор входит 16 демонстрационных и 16 раздаточных карт"&amp;"очек ")</f>
        <v xml:space="preserve"> емонстрационные картинки   асекомые   емонстрационные картинки используются для ознакомления с насекомыми   рименяются при рассматривании изображений и обсуждении строения и разнообразия насекомых    набор входит 16 демонстрационных и 16 раздаточных карточек </v>
      </c>
      <c r="G82" s="4" t="str">
        <f ca="1">IFERROR(__xludf.DUMMYFUNCTION("TEXTJOIN(""|"",TRUE,UNIQUE(FILTER(SPLIT(F82,"" ""),LEN(SPLIT(F82,"" ""))&gt;2)))"),"емонстрационные|картинки|асекомые|емонстрационные|картинки|используются|для|ознакомления|насекомыми|рименяются|при|рассматривании|изображений|обсуждении|строения|разнообразия|насекомых|набор|входит|демонстрационных|раздаточных|карточек")</f>
        <v>емонстрационные|картинки|асекомые|емонстрационные|картинки|используются|для|ознакомления|насекомыми|рименяются|при|рассматривании|изображений|обсуждении|строения|разнообразия|насекомых|набор|входит|демонстрационных|раздаточных|карточек</v>
      </c>
      <c r="I82" s="1"/>
      <c r="J82" s="1"/>
    </row>
    <row r="83" spans="1:10" x14ac:dyDescent="0.2">
      <c r="A83" s="8" t="s">
        <v>3335</v>
      </c>
      <c r="B83" s="7" t="s">
        <v>3334</v>
      </c>
      <c r="C83" s="7" t="s">
        <v>3333</v>
      </c>
      <c r="D83" s="6">
        <v>6700</v>
      </c>
      <c r="E83" s="5">
        <v>5</v>
      </c>
      <c r="F83" s="4" t="str">
        <f ca="1">IFERROR(__xludf.DUMMYFUNCTION("LOWER(REGEXREPLACE(B83&amp;"" ""&amp;C83,""[^а-яa-z0-9 ]"","" ""))")," емонстрационные картинки   вощи   абор демонстрационных картинок предназначен для ознакомления с овощами   спользуется при рассматривании изображений и обсуждении внешнего вида и названий    комплект входит 16 демонстрационных и 16 раздаточных карточек ")</f>
        <v xml:space="preserve"> емонстрационные картинки   вощи   абор демонстрационных картинок предназначен для ознакомления с овощами   спользуется при рассматривании изображений и обсуждении внешнего вида и названий    комплект входит 16 демонстрационных и 16 раздаточных карточек </v>
      </c>
      <c r="G83" s="4" t="str">
        <f ca="1">IFERROR(__xludf.DUMMYFUNCTION("TEXTJOIN(""|"",TRUE,UNIQUE(FILTER(SPLIT(F83,"" ""),LEN(SPLIT(F83,"" ""))&gt;2)))"),"емонстрационные|картинки|вощи|абор|демонстрационных|картинок|предназначен|для|ознакомления|овощами|спользуется|при|рассматривании|изображений|обсуждении|внешнего|вида|названий|комплект|входит|демонстрационных|раздаточных|карточек")</f>
        <v>емонстрационные|картинки|вощи|абор|демонстрационных|картинок|предназначен|для|ознакомления|овощами|спользуется|при|рассматривании|изображений|обсуждении|внешнего|вида|названий|комплект|входит|демонстрационных|раздаточных|карточек</v>
      </c>
      <c r="I83" s="1"/>
      <c r="J83" s="1"/>
    </row>
    <row r="84" spans="1:10" x14ac:dyDescent="0.2">
      <c r="A84" s="8" t="s">
        <v>3332</v>
      </c>
      <c r="B84" s="7" t="s">
        <v>3331</v>
      </c>
      <c r="C84" s="7" t="s">
        <v>3330</v>
      </c>
      <c r="D84" s="6">
        <v>3500</v>
      </c>
      <c r="E84" s="5">
        <v>5</v>
      </c>
      <c r="F84" s="4" t="str">
        <f ca="1">IFERROR(__xludf.DUMMYFUNCTION("LOWER(REGEXREPLACE(B84&amp;"" ""&amp;C84,""[^а-яa-z0-9 ]"","" ""))"),"   л мен жолбарыс   ртег    ояма    етская книга раскраска на основе сказочного сюжета предназначена для развития воображения  речи  творческих способностей и мелкой моторики   спользуется в образовательной и художественно творческой деятельности дошкольн"&amp;"иков  а также для ознакомления с художественной литературой ")</f>
        <v xml:space="preserve">   л мен жолбарыс   ртег    ояма    етская книга раскраска на основе сказочного сюжета предназначена для развития воображения  речи  творческих способностей и мелкой моторики   спользуется в образовательной и художественно творческой деятельности дошкольников  а также для ознакомления с художественной литературой </v>
      </c>
      <c r="G84" s="4" t="str">
        <f ca="1">IFERROR(__xludf.DUMMYFUNCTION("TEXTJOIN(""|"",TRUE,UNIQUE(FILTER(SPLIT(F84,"" ""),LEN(SPLIT(F84,"" ""))&gt;2)))"),"мен|жолбарыс|ртег|ояма|етская|книга|раскраска|основе|сказочного|сюжета|предназначена|для|развития|воображения|речи|творческих|способностей|мелкой|моторики|спользуется|образовательной|художественно|творческой|деятельности|дошкольников|также|для|ознакомлени"&amp;"я|художественной|литературой")</f>
        <v>мен|жолбарыс|ртег|ояма|етская|книга|раскраска|основе|сказочного|сюжета|предназначена|для|развития|воображения|речи|творческих|способностей|мелкой|моторики|спользуется|образовательной|художественно|творческой|деятельности|дошкольников|также|для|ознакомления|художественной|литературой</v>
      </c>
      <c r="I84" s="1"/>
      <c r="J84" s="1"/>
    </row>
    <row r="85" spans="1:10" x14ac:dyDescent="0.2">
      <c r="A85" s="8" t="s">
        <v>3329</v>
      </c>
      <c r="B85" s="7" t="s">
        <v>3328</v>
      </c>
      <c r="C85" s="7" t="s">
        <v>3327</v>
      </c>
      <c r="D85" s="6">
        <v>6700</v>
      </c>
      <c r="E85" s="5">
        <v>5</v>
      </c>
      <c r="F85" s="4" t="str">
        <f ca="1">IFERROR(__xludf.DUMMYFUNCTION("LOWER(REGEXREPLACE(B85&amp;"" ""&amp;C85,""[^а-яa-z0-9 ]"","" ""))")," емонстрационные картинки   дежда   емонстрационные картинки используются для ознакомления с предметами одежды   рименяются при рассматривании изображений и обсуждении назначения и сезонности   абор включает 16 демонстрационных и 16 раздаточных карточек ")</f>
        <v xml:space="preserve"> емонстрационные картинки   дежда   емонстрационные картинки используются для ознакомления с предметами одежды   рименяются при рассматривании изображений и обсуждении назначения и сезонности   абор включает 16 демонстрационных и 16 раздаточных карточек </v>
      </c>
      <c r="G85" s="4" t="str">
        <f ca="1">IFERROR(__xludf.DUMMYFUNCTION("TEXTJOIN(""|"",TRUE,UNIQUE(FILTER(SPLIT(F85,"" ""),LEN(SPLIT(F85,"" ""))&gt;2)))"),"емонстрационные|картинки|дежда|емонстрационные|картинки|используются|для|ознакомления|предметами|одежды|рименяются|при|рассматривании|изображений|обсуждении|назначения|сезонности|абор|включает|демонстрационных|раздаточных|карточек")</f>
        <v>емонстрационные|картинки|дежда|емонстрационные|картинки|используются|для|ознакомления|предметами|одежды|рименяются|при|рассматривании|изображений|обсуждении|назначения|сезонности|абор|включает|демонстрационных|раздаточных|карточек</v>
      </c>
      <c r="I85" s="1"/>
      <c r="J85" s="1"/>
    </row>
    <row r="86" spans="1:10" x14ac:dyDescent="0.2">
      <c r="A86" s="8" t="s">
        <v>3326</v>
      </c>
      <c r="B86" s="7" t="s">
        <v>3325</v>
      </c>
      <c r="C86" s="7" t="s">
        <v>3324</v>
      </c>
      <c r="D86" s="6">
        <v>6700</v>
      </c>
      <c r="E86" s="5">
        <v>5</v>
      </c>
      <c r="F86" s="4" t="str">
        <f ca="1">IFERROR(__xludf.DUMMYFUNCTION("LOWER(REGEXREPLACE(B86&amp;"" ""&amp;C86,""[^а-яa-z0-9 ]"","" ""))")," емонстрационные картинки   осуда   абор демонстрационных картинок предназначен для ознакомления с видами посуды   спользуется при рассматривании изображений и обсуждении назначения предметов    комплект входит 16 демонстрационных и 16 раздаточных карточе"&amp;"к ")</f>
        <v xml:space="preserve"> емонстрационные картинки   осуда   абор демонстрационных картинок предназначен для ознакомления с видами посуды   спользуется при рассматривании изображений и обсуждении назначения предметов    комплект входит 16 демонстрационных и 16 раздаточных карточек </v>
      </c>
      <c r="G86" s="4" t="str">
        <f ca="1">IFERROR(__xludf.DUMMYFUNCTION("TEXTJOIN(""|"",TRUE,UNIQUE(FILTER(SPLIT(F86,"" ""),LEN(SPLIT(F86,"" ""))&gt;2)))"),"емонстрационные|картинки|осуда|абор|демонстрационных|картинок|предназначен|для|ознакомления|видами|посуды|спользуется|при|рассматривании|изображений|обсуждении|назначения|предметов|комплект|входит|демонстрационных|раздаточных|карточек")</f>
        <v>емонстрационные|картинки|осуда|абор|демонстрационных|картинок|предназначен|для|ознакомления|видами|посуды|спользуется|при|рассматривании|изображений|обсуждении|назначения|предметов|комплект|входит|демонстрационных|раздаточных|карточек</v>
      </c>
      <c r="I86" s="1"/>
      <c r="J86" s="1"/>
    </row>
    <row r="87" spans="1:10" ht="29.25" customHeight="1" x14ac:dyDescent="0.2">
      <c r="A87" s="8" t="s">
        <v>3323</v>
      </c>
      <c r="B87" s="7" t="s">
        <v>3322</v>
      </c>
      <c r="C87" s="7" t="s">
        <v>3321</v>
      </c>
      <c r="D87" s="6">
        <v>6700</v>
      </c>
      <c r="E87" s="5">
        <v>5</v>
      </c>
      <c r="F87" s="4" t="str">
        <f ca="1">IFERROR(__xludf.DUMMYFUNCTION("LOWER(REGEXREPLACE(B87&amp;"" ""&amp;C87,""[^а-яa-z0-9 ]"","" ""))")," емонстрационные картинки   родукты питания   емонстрационные картинки используются для ознакомления с продуктами питания   рименяются при рассматривании изображений и обсуждении групп продуктов    набор входит 16 демонстрационных и 16 раздаточных карточе"&amp;"к ")</f>
        <v xml:space="preserve"> емонстрационные картинки   родукты питания   емонстрационные картинки используются для ознакомления с продуктами питания   рименяются при рассматривании изображений и обсуждении групп продуктов    набор входит 16 демонстрационных и 16 раздаточных карточек </v>
      </c>
      <c r="G87" s="4" t="str">
        <f ca="1">IFERROR(__xludf.DUMMYFUNCTION("TEXTJOIN(""|"",TRUE,UNIQUE(FILTER(SPLIT(F87,"" ""),LEN(SPLIT(F87,"" ""))&gt;2)))"),"емонстрационные|картинки|родукты|питания|емонстрационные|картинки|используются|для|ознакомления|продуктами|питания|рименяются|при|рассматривании|изображений|обсуждении|групп|продуктов|набор|входит|демонстрационных|раздаточных|карточек")</f>
        <v>емонстрационные|картинки|родукты|питания|емонстрационные|картинки|используются|для|ознакомления|продуктами|питания|рименяются|при|рассматривании|изображений|обсуждении|групп|продуктов|набор|входит|демонстрационных|раздаточных|карточек</v>
      </c>
      <c r="I87" s="1"/>
      <c r="J87" s="1"/>
    </row>
    <row r="88" spans="1:10" x14ac:dyDescent="0.2">
      <c r="A88" s="8" t="s">
        <v>3320</v>
      </c>
      <c r="B88" s="7" t="s">
        <v>3319</v>
      </c>
      <c r="C88" s="7" t="s">
        <v>3318</v>
      </c>
      <c r="D88" s="6">
        <v>6700</v>
      </c>
      <c r="E88" s="5">
        <v>5</v>
      </c>
      <c r="F88" s="4" t="str">
        <f ca="1">IFERROR(__xludf.DUMMYFUNCTION("LOWER(REGEXREPLACE(B88&amp;"" ""&amp;C88,""[^а-яa-z0-9 ]"","" ""))")," емонстрационные картинки   рофессии   абор демонстрационных картинок предназначен для ознакомления с различными профессиями   спользуется при рассматривании изображений и обсуждении трудовой деятельности    комплект входит 16 демонстрационных и 16 раздат"&amp;"очных карточек ")</f>
        <v xml:space="preserve"> емонстрационные картинки   рофессии   абор демонстрационных картинок предназначен для ознакомления с различными профессиями   спользуется при рассматривании изображений и обсуждении трудовой деятельности    комплект входит 16 демонстрационных и 16 раздаточных карточек </v>
      </c>
      <c r="G88" s="4" t="str">
        <f ca="1">IFERROR(__xludf.DUMMYFUNCTION("TEXTJOIN(""|"",TRUE,UNIQUE(FILTER(SPLIT(F88,"" ""),LEN(SPLIT(F88,"" ""))&gt;2)))"),"емонстрационные|картинки|рофессии|абор|демонстрационных|картинок|предназначен|для|ознакомления|различными|профессиями|спользуется|при|рассматривании|изображений|обсуждении|трудовой|деятельности|комплект|входит|демонстрационных|раздаточных|карточек")</f>
        <v>емонстрационные|картинки|рофессии|абор|демонстрационных|картинок|предназначен|для|ознакомления|различными|профессиями|спользуется|при|рассматривании|изображений|обсуждении|трудовой|деятельности|комплект|входит|демонстрационных|раздаточных|карточек</v>
      </c>
      <c r="I88" s="1"/>
      <c r="J88" s="1"/>
    </row>
    <row r="89" spans="1:10" ht="25.5" customHeight="1" x14ac:dyDescent="0.2">
      <c r="A89" s="8" t="s">
        <v>3317</v>
      </c>
      <c r="B89" s="7" t="s">
        <v>3316</v>
      </c>
      <c r="C89" s="7" t="s">
        <v>3315</v>
      </c>
      <c r="D89" s="6">
        <v>6700</v>
      </c>
      <c r="E89" s="5">
        <v>5</v>
      </c>
      <c r="F89" s="4" t="str">
        <f ca="1">IFERROR(__xludf.DUMMYFUNCTION("LOWER(REGEXREPLACE(B89&amp;"" ""&amp;C89,""[^а-яa-z0-9 ]"","" ""))")," емонстрационные картинки   тицы домашние и декоративные   емонстрационные картинки используются для ознакомления с домашними и декоративными птицами   рименяются при рассматривании изображений и обсуждении внешних признаков   абор включает 16 демонстраци"&amp;"онных и 16 раздаточных карточек ")</f>
        <v xml:space="preserve"> емонстрационные картинки   тицы домашние и декоративные   емонстрационные картинки используются для ознакомления с домашними и декоративными птицами   рименяются при рассматривании изображений и обсуждении внешних признаков   абор включает 16 демонстрационных и 16 раздаточных карточек </v>
      </c>
      <c r="G89" s="4" t="str">
        <f ca="1">IFERROR(__xludf.DUMMYFUNCTION("TEXTJOIN(""|"",TRUE,UNIQUE(FILTER(SPLIT(F89,"" ""),LEN(SPLIT(F89,"" ""))&gt;2)))"),"емонстрационные|картинки|тицы|домашние|декоративные|емонстрационные|картинки|используются|для|ознакомления|домашними|декоративными|птицами|рименяются|при|рассматривании|изображений|обсуждении|внешних|признаков|абор|включает|демонстрационных|раздаточных|ка"&amp;"рточек")</f>
        <v>емонстрационные|картинки|тицы|домашние|декоративные|емонстрационные|картинки|используются|для|ознакомления|домашними|декоративными|птицами|рименяются|при|рассматривании|изображений|обсуждении|внешних|признаков|абор|включает|демонстрационных|раздаточных|карточек</v>
      </c>
      <c r="I89" s="1"/>
      <c r="J89" s="1"/>
    </row>
    <row r="90" spans="1:10" ht="31.5" customHeight="1" x14ac:dyDescent="0.2">
      <c r="A90" s="8" t="s">
        <v>3314</v>
      </c>
      <c r="B90" s="7" t="s">
        <v>3313</v>
      </c>
      <c r="C90" s="7" t="s">
        <v>3312</v>
      </c>
      <c r="D90" s="6">
        <v>6700</v>
      </c>
      <c r="E90" s="5">
        <v>5</v>
      </c>
      <c r="F90" s="4" t="str">
        <f ca="1">IFERROR(__xludf.DUMMYFUNCTION("LOWER(REGEXREPLACE(B90&amp;"" ""&amp;C90,""[^а-яa-z0-9 ]"","" ""))")," емонстрационные картинки   тицы разных широт   абор демонстрационных картинок предназначен для ознакомления с птицами различных климатических зон   спользуется при сравнении и обсуждении среды обитания    комплект входит 16 демонстрационных и 16 раздаточ"&amp;"ных карточек ")</f>
        <v xml:space="preserve"> емонстрационные картинки   тицы разных широт   абор демонстрационных картинок предназначен для ознакомления с птицами различных климатических зон   спользуется при сравнении и обсуждении среды обитания    комплект входит 16 демонстрационных и 16 раздаточных карточек </v>
      </c>
      <c r="G90" s="4" t="str">
        <f ca="1">IFERROR(__xludf.DUMMYFUNCTION("TEXTJOIN(""|"",TRUE,UNIQUE(FILTER(SPLIT(F90,"" ""),LEN(SPLIT(F90,"" ""))&gt;2)))"),"емонстрационные|картинки|тицы|разных|широт|абор|демонстрационных|картинок|предназначен|для|ознакомления|птицами|различных|климатических|зон|спользуется|при|сравнении|обсуждении|среды|обитания|комплект|входит|демонстрационных|раздаточных|карточек")</f>
        <v>емонстрационные|картинки|тицы|разных|широт|абор|демонстрационных|картинок|предназначен|для|ознакомления|птицами|различных|климатических|зон|спользуется|при|сравнении|обсуждении|среды|обитания|комплект|входит|демонстрационных|раздаточных|карточек</v>
      </c>
      <c r="I90" s="1"/>
      <c r="J90" s="1"/>
    </row>
    <row r="91" spans="1:10" x14ac:dyDescent="0.2">
      <c r="A91" s="8" t="s">
        <v>3311</v>
      </c>
      <c r="B91" s="7" t="s">
        <v>3310</v>
      </c>
      <c r="C91" s="7" t="s">
        <v>3309</v>
      </c>
      <c r="D91" s="6">
        <v>7600</v>
      </c>
      <c r="E91" s="5">
        <v>5</v>
      </c>
      <c r="F91" s="4" t="str">
        <f ca="1">IFERROR(__xludf.DUMMYFUNCTION("LOWER(REGEXREPLACE(B91&amp;"" ""&amp;C91,""[^а-яa-z0-9 ]"","" ""))")," емонстрационные картинки   тицы  оссии   емонстрационные картинки используются для ознакомления с птицами  обитающими на территории  оссии   рименяются при рассматривании изображений и обсуждении особенностей видов    набор входит 16 демонстрационных и 1"&amp;"6 раздаточных карточек ")</f>
        <v xml:space="preserve"> емонстрационные картинки   тицы  оссии   емонстрационные картинки используются для ознакомления с птицами  обитающими на территории  оссии   рименяются при рассматривании изображений и обсуждении особенностей видов    набор входит 16 демонстрационных и 16 раздаточных карточек </v>
      </c>
      <c r="G91" s="4" t="str">
        <f ca="1">IFERROR(__xludf.DUMMYFUNCTION("TEXTJOIN(""|"",TRUE,UNIQUE(FILTER(SPLIT(F91,"" ""),LEN(SPLIT(F91,"" ""))&gt;2)))"),"емонстрационные|картинки|тицы|оссии|емонстрационные|картинки|используются|для|ознакомления|птицами|обитающими|территории|оссии|рименяются|при|рассматривании|изображений|обсуждении|особенностей|видов|набор|входит|демонстрационных|раздаточных|карточек")</f>
        <v>емонстрационные|картинки|тицы|оссии|емонстрационные|картинки|используются|для|ознакомления|птицами|обитающими|территории|оссии|рименяются|при|рассматривании|изображений|обсуждении|особенностей|видов|набор|входит|демонстрационных|раздаточных|карточек</v>
      </c>
      <c r="I91" s="1"/>
      <c r="J91" s="1"/>
    </row>
    <row r="92" spans="1:10" x14ac:dyDescent="0.2">
      <c r="A92" s="8" t="s">
        <v>3308</v>
      </c>
      <c r="B92" s="7" t="s">
        <v>3307</v>
      </c>
      <c r="C92" s="7" t="s">
        <v>3306</v>
      </c>
      <c r="D92" s="6">
        <v>7600</v>
      </c>
      <c r="E92" s="5">
        <v>5</v>
      </c>
      <c r="F92" s="4" t="str">
        <f ca="1">IFERROR(__xludf.DUMMYFUNCTION("LOWER(REGEXREPLACE(B92&amp;"" ""&amp;C92,""[^а-яa-z0-9 ]"","" ""))")," емонстрационные картинки   ранспорт   абор демонстрационных картинок предназначен для ознакомления с видами транспорта   спользуется при рассматривании изображений и обсуждении назначения транспортных средств    комплект входит 16 демонстрационных и 16 р"&amp;"аздаточных карточек ")</f>
        <v xml:space="preserve"> емонстрационные картинки   ранспорт   абор демонстрационных картинок предназначен для ознакомления с видами транспорта   спользуется при рассматривании изображений и обсуждении назначения транспортных средств    комплект входит 16 демонстрационных и 16 раздаточных карточек </v>
      </c>
      <c r="G92" s="4" t="str">
        <f ca="1">IFERROR(__xludf.DUMMYFUNCTION("TEXTJOIN(""|"",TRUE,UNIQUE(FILTER(SPLIT(F92,"" ""),LEN(SPLIT(F92,"" ""))&gt;2)))"),"емонстрационные|картинки|ранспорт|абор|демонстрационных|картинок|предназначен|для|ознакомления|видами|транспорта|спользуется|при|рассматривании|изображений|обсуждении|назначения|транспортных|средств|комплект|входит|демонстрационных|раздаточных|карточек")</f>
        <v>емонстрационные|картинки|ранспорт|абор|демонстрационных|картинок|предназначен|для|ознакомления|видами|транспорта|спользуется|при|рассматривании|изображений|обсуждении|назначения|транспортных|средств|комплект|входит|демонстрационных|раздаточных|карточек</v>
      </c>
      <c r="I92" s="1"/>
      <c r="J92" s="1"/>
    </row>
    <row r="93" spans="1:10" x14ac:dyDescent="0.2">
      <c r="A93" s="8" t="s">
        <v>3305</v>
      </c>
      <c r="B93" s="7" t="s">
        <v>3304</v>
      </c>
      <c r="C93" s="7" t="s">
        <v>3303</v>
      </c>
      <c r="D93" s="6">
        <v>7600</v>
      </c>
      <c r="E93" s="5">
        <v>5</v>
      </c>
      <c r="F93" s="4" t="str">
        <f ca="1">IFERROR(__xludf.DUMMYFUNCTION("LOWER(REGEXREPLACE(B93&amp;"" ""&amp;C93,""[^а-яa-z0-9 ]"","" ""))")," емонстрационные картинки   рукты   емонстрационные картинки используются для ознакомления с фруктами   рименяются при рассматривании изображений и обсуждении внешнего вида и названий    набор входит 16 демонстрационных и 16 раздаточных карточек ")</f>
        <v xml:space="preserve"> емонстрационные картинки   рукты   емонстрационные картинки используются для ознакомления с фруктами   рименяются при рассматривании изображений и обсуждении внешнего вида и названий    набор входит 16 демонстрационных и 16 раздаточных карточек </v>
      </c>
      <c r="G93" s="4" t="str">
        <f ca="1">IFERROR(__xludf.DUMMYFUNCTION("TEXTJOIN(""|"",TRUE,UNIQUE(FILTER(SPLIT(F93,"" ""),LEN(SPLIT(F93,"" ""))&gt;2)))"),"емонстрационные|картинки|рукты|емонстрационные|картинки|используются|для|ознакомления|фруктами|рименяются|при|рассматривании|изображений|обсуждении|внешнего|вида|названий|набор|входит|демонстрационных|раздаточных|карточек")</f>
        <v>емонстрационные|картинки|рукты|емонстрационные|картинки|используются|для|ознакомления|фруктами|рименяются|при|рассматривании|изображений|обсуждении|внешнего|вида|названий|набор|входит|демонстрационных|раздаточных|карточек</v>
      </c>
      <c r="I93" s="1"/>
      <c r="J93" s="1"/>
    </row>
    <row r="94" spans="1:10" x14ac:dyDescent="0.2">
      <c r="A94" s="8" t="s">
        <v>3302</v>
      </c>
      <c r="B94" s="7" t="s">
        <v>3301</v>
      </c>
      <c r="C94" s="7" t="s">
        <v>3300</v>
      </c>
      <c r="D94" s="6">
        <v>7600</v>
      </c>
      <c r="E94" s="5">
        <v>5</v>
      </c>
      <c r="F94" s="4" t="str">
        <f ca="1">IFERROR(__xludf.DUMMYFUNCTION("LOWER(REGEXREPLACE(B94&amp;"" ""&amp;C94,""[^а-яa-z0-9 ]"","" ""))")," емонстрационные картинки   веты полевые   абор демонстрационных картинок предназначен для ознакомления с полевыми цветами   спользуется при рассматривании изображений и обсуждении внешних признаков растений    комплект входит 16 демонстрационных и 16 раз"&amp;"даточных карточек ")</f>
        <v xml:space="preserve"> емонстрационные картинки   веты полевые   абор демонстрационных картинок предназначен для ознакомления с полевыми цветами   спользуется при рассматривании изображений и обсуждении внешних признаков растений    комплект входит 16 демонстрационных и 16 раздаточных карточек </v>
      </c>
      <c r="G94" s="4" t="str">
        <f ca="1">IFERROR(__xludf.DUMMYFUNCTION("TEXTJOIN(""|"",TRUE,UNIQUE(FILTER(SPLIT(F94,"" ""),LEN(SPLIT(F94,"" ""))&gt;2)))"),"емонстрационные|картинки|веты|полевые|абор|демонстрационных|картинок|предназначен|для|ознакомления|полевыми|цветами|спользуется|при|рассматривании|изображений|обсуждении|внешних|признаков|растений|комплект|входит|демонстрационных|раздаточных|карточек")</f>
        <v>емонстрационные|картинки|веты|полевые|абор|демонстрационных|картинок|предназначен|для|ознакомления|полевыми|цветами|спользуется|при|рассматривании|изображений|обсуждении|внешних|признаков|растений|комплект|входит|демонстрационных|раздаточных|карточек</v>
      </c>
      <c r="I94" s="1"/>
      <c r="J94" s="1"/>
    </row>
    <row r="95" spans="1:10" x14ac:dyDescent="0.2">
      <c r="A95" s="8" t="s">
        <v>3299</v>
      </c>
      <c r="B95" s="7" t="s">
        <v>3298</v>
      </c>
      <c r="C95" s="7" t="s">
        <v>3297</v>
      </c>
      <c r="D95" s="6">
        <v>10400</v>
      </c>
      <c r="E95" s="5">
        <v>125</v>
      </c>
      <c r="F95" s="4" t="str">
        <f ca="1">IFERROR(__xludf.DUMMYFUNCTION("LOWER(REGEXREPLACE(B95&amp;"" ""&amp;C95,""[^а-яa-z0-9 ]"","" ""))"),"   ш ндер    нтеллектум   идактический материал предназначен для ознакомления детей с геометрическими формами   спользуется для развития логического мышления  зрительного восприятия  навыков классификации и пространственной ориентации   рименяется в образ"&amp;"овательной деятельности дошкольного учреждения ")</f>
        <v xml:space="preserve">   ш ндер    нтеллектум   идактический материал предназначен для ознакомления детей с геометрическими формами   спользуется для развития логического мышления  зрительного восприятия  навыков классификации и пространственной ориентации   рименяется в образовательной деятельности дошкольного учреждения </v>
      </c>
      <c r="G95" s="4" t="str">
        <f ca="1">IFERROR(__xludf.DUMMYFUNCTION("TEXTJOIN(""|"",TRUE,UNIQUE(FILTER(SPLIT(F95,"" ""),LEN(SPLIT(F95,"" ""))&gt;2)))"),"ндер|нтеллектум|идактический|материал|предназначен|для|ознакомления|детей|геометрическими|формами|спользуется|для|развития|логического|мышления|зрительного|восприятия|навыков|классификации|пространственной|ориентации|рименяется|образовательной|деятельност"&amp;"и|дошкольного|учреждения")</f>
        <v>ндер|нтеллектум|идактический|материал|предназначен|для|ознакомления|детей|геометрическими|формами|спользуется|для|развития|логического|мышления|зрительного|восприятия|навыков|классификации|пространственной|ориентации|рименяется|образовательной|деятельности|дошкольного|учреждения</v>
      </c>
      <c r="I95" s="1"/>
      <c r="J95" s="1"/>
    </row>
    <row r="96" spans="1:10" x14ac:dyDescent="0.2">
      <c r="A96" s="8" t="s">
        <v>3296</v>
      </c>
      <c r="B96" s="7" t="s">
        <v>3295</v>
      </c>
      <c r="C96" s="7" t="s">
        <v>3294</v>
      </c>
      <c r="D96" s="6">
        <v>6700</v>
      </c>
      <c r="E96" s="5">
        <v>5</v>
      </c>
      <c r="F96" s="4" t="str">
        <f ca="1">IFERROR(__xludf.DUMMYFUNCTION("LOWER(REGEXREPLACE(B96&amp;"" ""&amp;C96,""[^а-яa-z0-9 ]"","" ""))")," емонстрационные картинки   веты садовые   емонстрационные картинки используются для ознакомления с садовыми цветами   рименяются при рассматривании изображений и обсуждении декоративных растений    набор входит 16 демонстрационных и 16 раздаточных карточ"&amp;"ек ")</f>
        <v xml:space="preserve"> емонстрационные картинки   веты садовые   емонстрационные картинки используются для ознакомления с садовыми цветами   рименяются при рассматривании изображений и обсуждении декоративных растений    набор входит 16 демонстрационных и 16 раздаточных карточек </v>
      </c>
      <c r="G96" s="4" t="str">
        <f ca="1">IFERROR(__xludf.DUMMYFUNCTION("TEXTJOIN(""|"",TRUE,UNIQUE(FILTER(SPLIT(F96,"" ""),LEN(SPLIT(F96,"" ""))&gt;2)))"),"емонстрационные|картинки|веты|садовые|емонстрационные|картинки|используются|для|ознакомления|садовыми|цветами|рименяются|при|рассматривании|изображений|обсуждении|декоративных|растений|набор|входит|демонстрационных|раздаточных|карточек")</f>
        <v>емонстрационные|картинки|веты|садовые|емонстрационные|картинки|используются|для|ознакомления|садовыми|цветами|рименяются|при|рассматривании|изображений|обсуждении|декоративных|растений|набор|входит|демонстрационных|раздаточных|карточек</v>
      </c>
      <c r="I96" s="1"/>
      <c r="J96" s="1"/>
    </row>
    <row r="97" spans="1:10" ht="27" customHeight="1" x14ac:dyDescent="0.2">
      <c r="A97" s="8" t="s">
        <v>3293</v>
      </c>
      <c r="B97" s="7" t="s">
        <v>3292</v>
      </c>
      <c r="C97" s="7" t="s">
        <v>3291</v>
      </c>
      <c r="D97" s="6">
        <v>6700</v>
      </c>
      <c r="E97" s="5">
        <v>5</v>
      </c>
      <c r="F97" s="4" t="str">
        <f ca="1">IFERROR(__xludf.DUMMYFUNCTION("LOWER(REGEXREPLACE(B97&amp;"" ""&amp;C97,""[^а-яa-z0-9 ]"","" ""))")," емонстрационные картинки   лектроприборы   абор демонстрационных картинок предназначен для ознакомления с бытовыми электроприборами   спользуется при рассматривании изображений и обсуждении назначения предметов    комплект входит 16 демонстрационных и 16"&amp;" раздаточных карточек ")</f>
        <v xml:space="preserve"> емонстрационные картинки   лектроприборы   абор демонстрационных картинок предназначен для ознакомления с бытовыми электроприборами   спользуется при рассматривании изображений и обсуждении назначения предметов    комплект входит 16 демонстрационных и 16 раздаточных карточек </v>
      </c>
      <c r="G97" s="4" t="str">
        <f ca="1">IFERROR(__xludf.DUMMYFUNCTION("TEXTJOIN(""|"",TRUE,UNIQUE(FILTER(SPLIT(F97,"" ""),LEN(SPLIT(F97,"" ""))&gt;2)))"),"емонстрационные|картинки|лектроприборы|абор|демонстрационных|картинок|предназначен|для|ознакомления|бытовыми|электроприборами|спользуется|при|рассматривании|изображений|обсуждении|назначения|предметов|комплект|входит|демонстрационных|раздаточных|карточек")</f>
        <v>емонстрационные|картинки|лектроприборы|абор|демонстрационных|картинок|предназначен|для|ознакомления|бытовыми|электроприборами|спользуется|при|рассматривании|изображений|обсуждении|назначения|предметов|комплект|входит|демонстрационных|раздаточных|карточек</v>
      </c>
      <c r="I97" s="1"/>
      <c r="J97" s="1"/>
    </row>
    <row r="98" spans="1:10" x14ac:dyDescent="0.2">
      <c r="A98" s="8" t="s">
        <v>3290</v>
      </c>
      <c r="B98" s="7" t="s">
        <v>3289</v>
      </c>
      <c r="C98" s="7" t="s">
        <v>3288</v>
      </c>
      <c r="D98" s="6">
        <v>6700</v>
      </c>
      <c r="E98" s="5">
        <v>5</v>
      </c>
      <c r="F98" s="4" t="str">
        <f ca="1">IFERROR(__xludf.DUMMYFUNCTION("LOWER(REGEXREPLACE(B98&amp;"" ""&amp;C98,""[^а-яa-z0-9 ]"","" ""))")," емонстрационные картинки   годы   емонстрационные картинки используются для ознакомления с ягодами   рименяются при рассматривании изображений и обсуждении внешнего вида и названий    набор входит 16 демонстрационных и 16 раздаточных карточек ")</f>
        <v xml:space="preserve"> емонстрационные картинки   годы   емонстрационные картинки используются для ознакомления с ягодами   рименяются при рассматривании изображений и обсуждении внешнего вида и названий    набор входит 16 демонстрационных и 16 раздаточных карточек </v>
      </c>
      <c r="G98" s="4" t="str">
        <f ca="1">IFERROR(__xludf.DUMMYFUNCTION("TEXTJOIN(""|"",TRUE,UNIQUE(FILTER(SPLIT(F98,"" ""),LEN(SPLIT(F98,"" ""))&gt;2)))"),"емонстрационные|картинки|годы|емонстрационные|картинки|используются|для|ознакомления|ягодами|рименяются|при|рассматривании|изображений|обсуждении|внешнего|вида|названий|набор|входит|демонстрационных|раздаточных|карточек")</f>
        <v>емонстрационные|картинки|годы|емонстрационные|картинки|используются|для|ознакомления|ягодами|рименяются|при|рассматривании|изображений|обсуждении|внешнего|вида|названий|набор|входит|демонстрационных|раздаточных|карточек</v>
      </c>
      <c r="I98" s="1"/>
      <c r="J98" s="1"/>
    </row>
    <row r="99" spans="1:10" x14ac:dyDescent="0.2">
      <c r="A99" s="8" t="s">
        <v>3287</v>
      </c>
      <c r="B99" s="8" t="s">
        <v>3286</v>
      </c>
      <c r="C99" s="7" t="s">
        <v>3285</v>
      </c>
      <c r="D99" s="6">
        <v>1110200</v>
      </c>
      <c r="E99" s="5">
        <v>2</v>
      </c>
      <c r="F99" s="4" t="str">
        <f ca="1">IFERROR(__xludf.DUMMYFUNCTION("LOWER(REGEXREPLACE(B99&amp;"" ""&amp;C99,""[^а-яa-z0-9 ]"","" ""))")," ветовой стол   тол для опытов и изучения цвета света")</f>
        <v xml:space="preserve"> ветовой стол   тол для опытов и изучения цвета света</v>
      </c>
      <c r="G99" s="4" t="str">
        <f ca="1">IFERROR(__xludf.DUMMYFUNCTION("TEXTJOIN(""|"",TRUE,UNIQUE(FILTER(SPLIT(F99,"" ""),LEN(SPLIT(F99,"" ""))&gt;2)))"),"ветовой|стол|тол|для|опытов|изучения|цвета|света")</f>
        <v>ветовой|стол|тол|для|опытов|изучения|цвета|света</v>
      </c>
      <c r="I99" s="1"/>
      <c r="J99" s="1"/>
    </row>
    <row r="100" spans="1:10" x14ac:dyDescent="0.2">
      <c r="A100" s="8" t="s">
        <v>3284</v>
      </c>
      <c r="B100" s="7" t="s">
        <v>3283</v>
      </c>
      <c r="C100" s="7" t="s">
        <v>3282</v>
      </c>
      <c r="D100" s="6">
        <v>14300</v>
      </c>
      <c r="E100" s="5">
        <v>7</v>
      </c>
      <c r="F100" s="4" t="str">
        <f ca="1">IFERROR(__xludf.DUMMYFUNCTION("LOWER(REGEXREPLACE(B100&amp;"" ""&amp;C100,""[^а-яa-z0-9 ]"","" ""))")," емонстрационные материалы по формированию математических представлений  электронная версия   емонстрационные материалы предназначены для наглядного сопровождения занятий по формированию математических представлений   спользуются для показа чисел  форм  в"&amp;"еличин и соотношений   рименяются при объяснении и закреплении учебного материала   атериалы представлены в электронном формате ")</f>
        <v xml:space="preserve"> емонстрационные материалы по формированию математических представлений  электронная версия   емонстрационные материалы предназначены для наглядного сопровождения занятий по формированию математических представлений   спользуются для показа чисел  форм  величин и соотношений   рименяются при объяснении и закреплении учебного материала   атериалы представлены в электронном формате </v>
      </c>
      <c r="G100" s="4" t="str">
        <f ca="1">IFERROR(__xludf.DUMMYFUNCTION("TEXTJOIN(""|"",TRUE,UNIQUE(FILTER(SPLIT(F100,"" ""),LEN(SPLIT(F100,"" ""))&gt;2)))"),"емонстрационные|материалы|формированию|математических|представлений|электронная|версия|емонстрационные|материалы|предназначены|для|наглядного|сопровождения|занятий|формированию|математических|представлений|спользуются|для|показа|чисел|форм|величин|соотнош"&amp;"ений|рименяются|при|объяснении|закреплении|учебного|материала|атериалы|представлены|электронном|формате")</f>
        <v>емонстрационные|материалы|формированию|математических|представлений|электронная|версия|емонстрационные|материалы|предназначены|для|наглядного|сопровождения|занятий|формированию|математических|представлений|спользуются|для|показа|чисел|форм|величин|соотношений|рименяются|при|объяснении|закреплении|учебного|материала|атериалы|представлены|электронном|формате</v>
      </c>
      <c r="I100" s="1"/>
      <c r="J100" s="1"/>
    </row>
    <row r="101" spans="1:10" x14ac:dyDescent="0.2">
      <c r="A101" s="8" t="s">
        <v>3281</v>
      </c>
      <c r="B101" s="7" t="s">
        <v>3280</v>
      </c>
      <c r="C101" s="7"/>
      <c r="D101" s="6">
        <v>1700</v>
      </c>
      <c r="E101" s="5">
        <v>1</v>
      </c>
      <c r="F101" s="4" t="str">
        <f ca="1">IFERROR(__xludf.DUMMYFUNCTION("LOWER(REGEXREPLACE(B101&amp;"" ""&amp;C101,""[^а-яa-z0-9 ]"","" ""))")," енсаулы ты  алай са тау а болады   ак сохранить здоровье   ow to stay fit  каз   рус   англ яз   ")</f>
        <v xml:space="preserve"> енсаулы ты  алай са тау а болады   ак сохранить здоровье   ow to stay fit  каз   рус   англ яз   </v>
      </c>
      <c r="G101" s="4" t="str">
        <f ca="1">IFERROR(__xludf.DUMMYFUNCTION("TEXTJOIN(""|"",TRUE,UNIQUE(FILTER(SPLIT(F101,"" ""),LEN(SPLIT(F101,"" ""))&gt;2)))"),"енсаулы|алай|тау|болады|сохранить|здоровье|stay|fit|каз|рус|англ")</f>
        <v>енсаулы|алай|тау|болады|сохранить|здоровье|stay|fit|каз|рус|англ</v>
      </c>
      <c r="I101" s="1"/>
      <c r="J101" s="1"/>
    </row>
    <row r="102" spans="1:10" x14ac:dyDescent="0.2">
      <c r="A102" s="8" t="s">
        <v>3279</v>
      </c>
      <c r="B102" s="7" t="s">
        <v>3278</v>
      </c>
      <c r="C102" s="7" t="s">
        <v>3277</v>
      </c>
      <c r="D102" s="6">
        <v>5700</v>
      </c>
      <c r="E102" s="5">
        <v>1</v>
      </c>
      <c r="F102" s="4" t="str">
        <f ca="1">IFERROR(__xludf.DUMMYFUNCTION("LOWER(REGEXREPLACE(B102&amp;"" ""&amp;C102,""[^а-яa-z0-9 ]"","" ""))")," еревянная дудочка  свистковый духовой инструмент   еревянная дудочка используется как детский духовой музыкальный инструмент для извлечения простых звуков    процессе игры выполняются действия по выдоху воздуха и смене положения губ  что связано с формир"&amp;"ованием дыхательных навыков и слухового восприятия   зделие изготовлено из дерева   лина дудочки составляет не менее 13 см   редназначена для многократного использования ")</f>
        <v xml:space="preserve"> еревянная дудочка  свистковый духовой инструмент   еревянная дудочка используется как детский духовой музыкальный инструмент для извлечения простых звуков    процессе игры выполняются действия по выдоху воздуха и смене положения губ  что связано с формированием дыхательных навыков и слухового восприятия   зделие изготовлено из дерева   лина дудочки составляет не менее 13 см   редназначена для многократного использования </v>
      </c>
      <c r="G102" s="4" t="str">
        <f ca="1">IFERROR(__xludf.DUMMYFUNCTION("TEXTJOIN(""|"",TRUE,UNIQUE(FILTER(SPLIT(F102,"" ""),LEN(SPLIT(F102,"" ""))&gt;2)))"),"еревянная|дудочка|свистковый|духовой|инструмент|еревянная|дудочка|используется|как|детский|духовой|музыкальный|инструмент|для|извлечения|простых|звуков|процессе|игры|выполняются|действия|выдоху|воздуха|смене|положения|губ|что|связано|формированием|дыхател"&amp;"ьных|навыков|слухового|восприятия|зделие|изготовлено|дерева|лина|дудочки|составляет|менее|редназначена|для|многократного|использования")</f>
        <v>еревянная|дудочка|свистковый|духовой|инструмент|еревянная|дудочка|используется|как|детский|духовой|музыкальный|инструмент|для|извлечения|простых|звуков|процессе|игры|выполняются|действия|выдоху|воздуха|смене|положения|губ|что|связано|формированием|дыхательных|навыков|слухового|восприятия|зделие|изготовлено|дерева|лина|дудочки|составляет|менее|редназначена|для|многократного|использования</v>
      </c>
      <c r="I102" s="1"/>
      <c r="J102" s="1"/>
    </row>
    <row r="103" spans="1:10" x14ac:dyDescent="0.2">
      <c r="A103" s="8" t="s">
        <v>3276</v>
      </c>
      <c r="B103" s="7" t="s">
        <v>3275</v>
      </c>
      <c r="C103" s="7" t="s">
        <v>3274</v>
      </c>
      <c r="D103" s="6">
        <v>7800</v>
      </c>
      <c r="E103" s="5">
        <v>15</v>
      </c>
      <c r="F103" s="4" t="str">
        <f ca="1">IFERROR(__xludf.DUMMYFUNCTION("LOWER(REGEXREPLACE(B103&amp;"" ""&amp;C103,""[^а-яa-z0-9 ]"","" ""))")," еревянные 3  пазлы для сборки фигур животных  еревянные 3  пазлы представляют собой набор элементов для сборки объ мных фигур животных    процессе сборки выполняется подбор и соединение деталей по форме и размеру   акая деятельность способствует развитию"&amp;" пространственного мышления  координации движений и навыков анализа формы    комплект входит не менее 4 пазлов   атериал изготовления   дерево ")</f>
        <v xml:space="preserve"> еревянные 3  пазлы для сборки фигур животных  еревянные 3  пазлы представляют собой набор элементов для сборки объ мных фигур животных    процессе сборки выполняется подбор и соединение деталей по форме и размеру   акая деятельность способствует развитию пространственного мышления  координации движений и навыков анализа формы    комплект входит не менее 4 пазлов   атериал изготовления   дерево </v>
      </c>
      <c r="G103" s="4" t="str">
        <f ca="1">IFERROR(__xludf.DUMMYFUNCTION("TEXTJOIN(""|"",TRUE,UNIQUE(FILTER(SPLIT(F103,"" ""),LEN(SPLIT(F103,"" ""))&gt;2)))"),"еревянные|пазлы|для|сборки|фигур|животных|еревянные|пазлы|представляют|собой|набор|элементов|для|сборки|объ|мных|фигур|животных|процессе|сборки|выполняется|подбор|соединение|деталей|форме|размеру|акая|деятельность|способствует|развитию|пространственного|м"&amp;"ышления|координации|движений|навыков|анализа|формы|комплект|входит|менее|пазлов|атериал|изготовления|дерево")</f>
        <v>еревянные|пазлы|для|сборки|фигур|животных|еревянные|пазлы|представляют|собой|набор|элементов|для|сборки|объ|мных|фигур|животных|процессе|сборки|выполняется|подбор|соединение|деталей|форме|размеру|акая|деятельность|способствует|развитию|пространственного|мышления|координации|движений|навыков|анализа|формы|комплект|входит|менее|пазлов|атериал|изготовления|дерево</v>
      </c>
      <c r="I103" s="1"/>
      <c r="J103" s="1"/>
    </row>
    <row r="104" spans="1:10" x14ac:dyDescent="0.2">
      <c r="A104" s="8" t="s">
        <v>3273</v>
      </c>
      <c r="B104" s="7" t="s">
        <v>3272</v>
      </c>
      <c r="C104" s="7" t="s">
        <v>3271</v>
      </c>
      <c r="D104" s="6">
        <v>47500</v>
      </c>
      <c r="E104" s="5">
        <v>7</v>
      </c>
      <c r="F104" s="4" t="str">
        <f ca="1">IFERROR(__xludf.DUMMYFUNCTION("LOWER(REGEXREPLACE(B104&amp;"" ""&amp;C104,""[^а-яa-z0-9 ]"","" ""))")," еревянные квадратные блоки для сборки  набор   абор деревянных квадратных блоков используется для построения простых конструкций и выкладывания форм    процессе игры выполняется комбинирование и составление фигур по замыслу   акая деятельность развивает "&amp;"пространственные представления и координацию движений   омплект включает блоки тр х размеров  не менее 50 шт  по 15 мм  не менее 25 шт  по 20 мм и не менее 25 шт  по 25 мм   атериал изготовления   дерево ")</f>
        <v xml:space="preserve"> еревянные квадратные блоки для сборки  набор   абор деревянных квадратных блоков используется для построения простых конструкций и выкладывания форм    процессе игры выполняется комбинирование и составление фигур по замыслу   акая деятельность развивает пространственные представления и координацию движений   омплект включает блоки тр х размеров  не менее 50 шт  по 15 мм  не менее 25 шт  по 20 мм и не менее 25 шт  по 25 мм   атериал изготовления   дерево </v>
      </c>
      <c r="G104" s="4" t="str">
        <f ca="1">IFERROR(__xludf.DUMMYFUNCTION("TEXTJOIN(""|"",TRUE,UNIQUE(FILTER(SPLIT(F104,"" ""),LEN(SPLIT(F104,"" ""))&gt;2)))"),"еревянные|квадратные|блоки|для|сборки|набор|абор|деревянных|квадратных|блоков|используется|для|построения|простых|конструкций|выкладывания|форм|процессе|игры|выполняется|комбинирование|составление|фигур|замыслу|акая|деятельность|развивает|пространственные"&amp;"|представления|координацию|движений|омплект|включает|блоки|размеров|менее|менее|менее|атериал|изготовления|дерево")</f>
        <v>еревянные|квадратные|блоки|для|сборки|набор|абор|деревянных|квадратных|блоков|используется|для|построения|простых|конструкций|выкладывания|форм|процессе|игры|выполняется|комбинирование|составление|фигур|замыслу|акая|деятельность|развивает|пространственные|представления|координацию|движений|омплект|включает|блоки|размеров|менее|менее|менее|атериал|изготовления|дерево</v>
      </c>
      <c r="I104" s="1"/>
      <c r="J104" s="1"/>
    </row>
    <row r="105" spans="1:10" x14ac:dyDescent="0.2">
      <c r="A105" s="8" t="s">
        <v>3270</v>
      </c>
      <c r="B105" s="7" t="s">
        <v>3269</v>
      </c>
      <c r="C105" s="7" t="s">
        <v>3268</v>
      </c>
      <c r="D105" s="6">
        <v>61200</v>
      </c>
      <c r="E105" s="5">
        <v>1</v>
      </c>
      <c r="F105" s="4" t="str">
        <f ca="1">IFERROR(__xludf.DUMMYFUNCTION("LOWER(REGEXREPLACE(B105&amp;"" ""&amp;C105,""[^а-яa-z0-9 ]"","" ""))")," еревянный балансир для двигательной активности  еревянный балансир используется для выполнения упражнений на удержание равновесия и координацию движений    процессе использования выполняются действия по сохранению устойчивого положения тела   акая активн"&amp;"ость способствует развитию координации  концентрации внимания и пространственного восприятия   зделие выполнено из дерева и предназначено для напольного использования ")</f>
        <v xml:space="preserve"> еревянный балансир для двигательной активности  еревянный балансир используется для выполнения упражнений на удержание равновесия и координацию движений    процессе использования выполняются действия по сохранению устойчивого положения тела   акая активность способствует развитию координации  концентрации внимания и пространственного восприятия   зделие выполнено из дерева и предназначено для напольного использования </v>
      </c>
      <c r="G105" s="4" t="str">
        <f ca="1">IFERROR(__xludf.DUMMYFUNCTION("TEXTJOIN(""|"",TRUE,UNIQUE(FILTER(SPLIT(F105,"" ""),LEN(SPLIT(F105,"" ""))&gt;2)))"),"еревянный|балансир|для|двигательной|активности|еревянный|балансир|используется|для|выполнения|упражнений|удержание|равновесия|координацию|движений|процессе|использования|выполняются|действия|сохранению|устойчивого|положения|тела|акая|активность|способству"&amp;"ет|развитию|координации|концентрации|внимания|пространственного|восприятия|зделие|выполнено|дерева|предназначено|для|напольного|использования")</f>
        <v>еревянный|балансир|для|двигательной|активности|еревянный|балансир|используется|для|выполнения|упражнений|удержание|равновесия|координацию|движений|процессе|использования|выполняются|действия|сохранению|устойчивого|положения|тела|акая|активность|способствует|развитию|координации|концентрации|внимания|пространственного|восприятия|зделие|выполнено|дерева|предназначено|для|напольного|использования</v>
      </c>
      <c r="I105" s="1"/>
      <c r="J105" s="1"/>
    </row>
    <row r="106" spans="1:10" x14ac:dyDescent="0.2">
      <c r="A106" s="8" t="s">
        <v>3267</v>
      </c>
      <c r="B106" s="7" t="s">
        <v>3266</v>
      </c>
      <c r="C106" s="7" t="s">
        <v>3265</v>
      </c>
      <c r="D106" s="6">
        <v>28000</v>
      </c>
      <c r="E106" s="5">
        <v>5</v>
      </c>
      <c r="F106" s="4" t="str">
        <f ca="1">IFERROR(__xludf.DUMMYFUNCTION("LOWER(REGEXREPLACE(B106&amp;"" ""&amp;C106,""[^а-яa-z0-9 ]"","" ""))"),"  ан сауалды  жауабы   нциклопедиясы   нциклопедическое издание предназначено для расширения кругозора  развития познавательного интереса и формирования представлений об окружающем мире у детей   спользуется в образовательной деятельности ")</f>
        <v xml:space="preserve">  ан сауалды  жауабы   нциклопедиясы   нциклопедическое издание предназначено для расширения кругозора  развития познавательного интереса и формирования представлений об окружающем мире у детей   спользуется в образовательной деятельности </v>
      </c>
      <c r="G106" s="4" t="str">
        <f ca="1">IFERROR(__xludf.DUMMYFUNCTION("TEXTJOIN(""|"",TRUE,UNIQUE(FILTER(SPLIT(F106,"" ""),LEN(SPLIT(F106,"" ""))&gt;2)))"),"сауалды|жауабы|нциклопедиясы|нциклопедическое|издание|предназначено|для|расширения|кругозора|развития|познавательного|интереса|формирования|представлений|окружающем|мире|детей|спользуется|образовательной|деятельности")</f>
        <v>сауалды|жауабы|нциклопедиясы|нциклопедическое|издание|предназначено|для|расширения|кругозора|развития|познавательного|интереса|формирования|представлений|окружающем|мире|детей|спользуется|образовательной|деятельности</v>
      </c>
      <c r="I106" s="1"/>
      <c r="J106" s="1"/>
    </row>
    <row r="107" spans="1:10" x14ac:dyDescent="0.2">
      <c r="A107" s="8" t="s">
        <v>3264</v>
      </c>
      <c r="B107" s="7" t="s">
        <v>3263</v>
      </c>
      <c r="C107" s="7" t="s">
        <v>3262</v>
      </c>
      <c r="D107" s="6">
        <v>21200</v>
      </c>
      <c r="E107" s="5">
        <v>5</v>
      </c>
      <c r="F107" s="4" t="str">
        <f ca="1">IFERROR(__xludf.DUMMYFUNCTION("LOWER(REGEXREPLACE(B107&amp;"" ""&amp;C107,""[^а-яa-z0-9 ]"","" ""))")," еревянный конструктор неокрашенный   троим сами   66 деталей  онструктор включает неокрашенные деревянные детали для сборки различных построек    процессе игры выполняется соединение и компоновка элементов с созданием конструкций по замыслу   акая деятел"&amp;"ьность способствует развитию пространственного мышления и аккуратности выполнения действий    комплект входит не менее 66 деталей   атериал изготовления   дерево ")</f>
        <v xml:space="preserve"> еревянный конструктор неокрашенный   троим сами   66 деталей  онструктор включает неокрашенные деревянные детали для сборки различных построек    процессе игры выполняется соединение и компоновка элементов с созданием конструкций по замыслу   акая деятельность способствует развитию пространственного мышления и аккуратности выполнения действий    комплект входит не менее 66 деталей   атериал изготовления   дерево </v>
      </c>
      <c r="G107" s="4" t="str">
        <f ca="1">IFERROR(__xludf.DUMMYFUNCTION("TEXTJOIN(""|"",TRUE,UNIQUE(FILTER(SPLIT(F107,"" ""),LEN(SPLIT(F107,"" ""))&gt;2)))"),"еревянный|конструктор|неокрашенный|троим|сами|деталей|онструктор|включает|неокрашенные|деревянные|детали|для|сборки|различных|построек|процессе|игры|выполняется|соединение|компоновка|элементов|созданием|конструкций|замыслу|акая|деятельность|способствует|р"&amp;"азвитию|пространственного|мышления|аккуратности|выполнения|действий|комплект|входит|менее|деталей|атериал|изготовления|дерево")</f>
        <v>еревянный|конструктор|неокрашенный|троим|сами|деталей|онструктор|включает|неокрашенные|деревянные|детали|для|сборки|различных|построек|процессе|игры|выполняется|соединение|компоновка|элементов|созданием|конструкций|замыслу|акая|деятельность|способствует|развитию|пространственного|мышления|аккуратности|выполнения|действий|комплект|входит|менее|деталей|атериал|изготовления|дерево</v>
      </c>
      <c r="I107" s="1"/>
      <c r="J107" s="1"/>
    </row>
    <row r="108" spans="1:10" x14ac:dyDescent="0.2">
      <c r="A108" s="8" t="s">
        <v>3261</v>
      </c>
      <c r="B108" s="7" t="s">
        <v>3260</v>
      </c>
      <c r="C108" s="7" t="s">
        <v>3259</v>
      </c>
      <c r="D108" s="6">
        <v>21200</v>
      </c>
      <c r="E108" s="5">
        <v>7</v>
      </c>
      <c r="F108" s="4" t="str">
        <f ca="1">IFERROR(__xludf.DUMMYFUNCTION("LOWER(REGEXREPLACE(B108&amp;"" ""&amp;C108,""[^а-яa-z0-9 ]"","" ""))")," еревянный конструктор  66 деталей  еревянный конструктор включает набор деталей для сборки построек и конструкций    процессе игры выполняется комбинирование элементов и создание моделей по замыслу   акая деятельность развивает пространственные представл"&amp;"ения и навыки планирования действий    комплект входит не менее 66 деталей   азмер упаковки   не менее 34 29 5 6 см   атериал изготовления   дерево ")</f>
        <v xml:space="preserve"> еревянный конструктор  66 деталей  еревянный конструктор включает набор деталей для сборки построек и конструкций    процессе игры выполняется комбинирование элементов и создание моделей по замыслу   акая деятельность развивает пространственные представления и навыки планирования действий    комплект входит не менее 66 деталей   азмер упаковки   не менее 34 29 5 6 см   атериал изготовления   дерево </v>
      </c>
      <c r="G108" s="4" t="str">
        <f ca="1">IFERROR(__xludf.DUMMYFUNCTION("TEXTJOIN(""|"",TRUE,UNIQUE(FILTER(SPLIT(F108,"" ""),LEN(SPLIT(F108,"" ""))&gt;2)))"),"еревянный|конструктор|деталей|еревянный|конструктор|включает|набор|деталей|для|сборки|построек|конструкций|процессе|игры|выполняется|комбинирование|элементов|создание|моделей|замыслу|акая|деятельность|развивает|пространственные|представления|навыки|планир"&amp;"ования|действий|комплект|входит|менее|деталей|азмер|упаковки|менее|атериал|изготовления|дерево")</f>
        <v>еревянный|конструктор|деталей|еревянный|конструктор|включает|набор|деталей|для|сборки|построек|конструкций|процессе|игры|выполняется|комбинирование|элементов|создание|моделей|замыслу|акая|деятельность|развивает|пространственные|представления|навыки|планирования|действий|комплект|входит|менее|деталей|азмер|упаковки|менее|атериал|изготовления|дерево</v>
      </c>
      <c r="I108" s="1"/>
      <c r="J108" s="1"/>
    </row>
    <row r="109" spans="1:10" x14ac:dyDescent="0.2">
      <c r="A109" s="8" t="s">
        <v>3258</v>
      </c>
      <c r="B109" s="7" t="s">
        <v>3257</v>
      </c>
      <c r="C109" s="7" t="s">
        <v>3256</v>
      </c>
      <c r="D109" s="6">
        <v>2300</v>
      </c>
      <c r="E109" s="5">
        <v>14</v>
      </c>
      <c r="F109" s="4" t="str">
        <f ca="1">IFERROR(__xludf.DUMMYFUNCTION("LOWER(REGEXREPLACE(B109&amp;"" ""&amp;C109,""[^а-яa-z0-9 ]"","" ""))")," еревянный набор  онтессори для математических действий и магнитных заданий  еревянный набор включает элементы для выполнения заданий на сч т  соотнесение и простые вычисления    процессе работы выполняются действия по размещению деталей на доске и подбор"&amp;"у элементов по условию задания   акая деятельность способствует формированию представлений о числе и логике выполнения операций   азмер набора составляет не менее 43 18 6 см   атериал изготовления   дерево ")</f>
        <v xml:space="preserve"> еревянный набор  онтессори для математических действий и магнитных заданий  еревянный набор включает элементы для выполнения заданий на сч т  соотнесение и простые вычисления    процессе работы выполняются действия по размещению деталей на доске и подбору элементов по условию задания   акая деятельность способствует формированию представлений о числе и логике выполнения операций   азмер набора составляет не менее 43 18 6 см   атериал изготовления   дерево </v>
      </c>
      <c r="G109" s="4" t="str">
        <f ca="1">IFERROR(__xludf.DUMMYFUNCTION("TEXTJOIN(""|"",TRUE,UNIQUE(FILTER(SPLIT(F109,"" ""),LEN(SPLIT(F109,"" ""))&gt;2)))"),"еревянный|набор|онтессори|для|математических|действий|магнитных|заданий|еревянный|набор|включает|элементы|для|выполнения|заданий|соотнесение|простые|вычисления|процессе|работы|выполняются|действия|размещению|деталей|доске|подбору|элементов|условию|задания"&amp;"|акая|деятельность|способствует|формированию|представлений|числе|логике|выполнения|операций|азмер|набора|составляет|менее|атериал|изготовления|дерево")</f>
        <v>еревянный|набор|онтессори|для|математических|действий|магнитных|заданий|еревянный|набор|включает|элементы|для|выполнения|заданий|соотнесение|простые|вычисления|процессе|работы|выполняются|действия|размещению|деталей|доске|подбору|элементов|условию|задания|акая|деятельность|способствует|формированию|представлений|числе|логике|выполнения|операций|азмер|набора|составляет|менее|атериал|изготовления|дерево</v>
      </c>
      <c r="I109" s="1"/>
      <c r="J109" s="1"/>
    </row>
    <row r="110" spans="1:10" x14ac:dyDescent="0.2">
      <c r="A110" s="8" t="s">
        <v>3255</v>
      </c>
      <c r="B110" s="7" t="s">
        <v>3254</v>
      </c>
      <c r="C110" s="7" t="s">
        <v>3253</v>
      </c>
      <c r="D110" s="6">
        <v>14300</v>
      </c>
      <c r="E110" s="5">
        <v>5</v>
      </c>
      <c r="F110" s="4" t="str">
        <f ca="1">IFERROR(__xludf.DUMMYFUNCTION("LOWER(REGEXREPLACE(B110&amp;"" ""&amp;C110,""[^а-яa-z0-9 ]"","" ""))")," етская железная дорога   ортировочный центр   комплект 70 элементов  абор предназначен для сборки разветвл нной железнодорожной системы и организации сюжетной игры    процессе использования выполняется соединение путей  размещение станции  моста и крана "&amp;" а также управление движением поездов   онструкция основана на электромеханическом принципе действия    комплект входит не менее 70 элементов  что позволяет изменять конфигурацию трассы   атериал путей   дерево ")</f>
        <v xml:space="preserve"> етская железная дорога   ортировочный центр   комплект 70 элементов  абор предназначен для сборки разветвл нной железнодорожной системы и организации сюжетной игры    процессе использования выполняется соединение путей  размещение станции  моста и крана  а также управление движением поездов   онструкция основана на электромеханическом принципе действия    комплект входит не менее 70 элементов  что позволяет изменять конфигурацию трассы   атериал путей   дерево </v>
      </c>
      <c r="G110" s="4" t="str">
        <f ca="1">IFERROR(__xludf.DUMMYFUNCTION("TEXTJOIN(""|"",TRUE,UNIQUE(FILTER(SPLIT(F110,"" ""),LEN(SPLIT(F110,"" ""))&gt;2)))"),"етская|железная|дорога|ортировочный|центр|комплект|элементов|абор|предназначен|для|сборки|разветвл|нной|железнодорожной|системы|организации|сюжетной|игры|процессе|использования|выполняется|соединение|путей|размещение|станции|моста|крана|также|управление|д"&amp;"вижением|поездов|онструкция|основана|электромеханическом|принципе|действия|комплект|входит|менее|элементов|что|позволяет|изменять|конфигурацию|трассы|атериал|путей|дерево")</f>
        <v>етская|железная|дорога|ортировочный|центр|комплект|элементов|абор|предназначен|для|сборки|разветвл|нной|железнодорожной|системы|организации|сюжетной|игры|процессе|использования|выполняется|соединение|путей|размещение|станции|моста|крана|также|управление|движением|поездов|онструкция|основана|электромеханическом|принципе|действия|комплект|входит|менее|элементов|что|позволяет|изменять|конфигурацию|трассы|атериал|путей|дерево</v>
      </c>
      <c r="I110" s="1"/>
      <c r="J110" s="1"/>
    </row>
    <row r="111" spans="1:10" x14ac:dyDescent="0.2">
      <c r="A111" s="8" t="s">
        <v>3252</v>
      </c>
      <c r="B111" s="7" t="s">
        <v>3251</v>
      </c>
      <c r="C111" s="7" t="s">
        <v>3250</v>
      </c>
      <c r="D111" s="6">
        <v>312400</v>
      </c>
      <c r="E111" s="5">
        <v>7</v>
      </c>
      <c r="F111" s="4" t="str">
        <f ca="1">IFERROR(__xludf.DUMMYFUNCTION("LOWER(REGEXREPLACE(B111&amp;"" ""&amp;C111,""[^а-яa-z0-9 ]"","" ""))")," етская железная дорога  набор   елезная дорога используется для сюжетно ролевых и конструктивных игр    процессе игры выполняется сборка путей  перемещение поездов и разыгрывание ситуаций   онструкция включает элементы из дерева и пластика ")</f>
        <v xml:space="preserve"> етская железная дорога  набор   елезная дорога используется для сюжетно ролевых и конструктивных игр    процессе игры выполняется сборка путей  перемещение поездов и разыгрывание ситуаций   онструкция включает элементы из дерева и пластика </v>
      </c>
      <c r="G111" s="4" t="str">
        <f ca="1">IFERROR(__xludf.DUMMYFUNCTION("TEXTJOIN(""|"",TRUE,UNIQUE(FILTER(SPLIT(F111,"" ""),LEN(SPLIT(F111,"" ""))&gt;2)))"),"етская|железная|дорога|набор|елезная|дорога|используется|для|сюжетно|ролевых|конструктивных|игр|процессе|игры|выполняется|сборка|путей|перемещение|поездов|разыгрывание|ситуаций|онструкция|включает|элементы|дерева|пластика")</f>
        <v>етская|железная|дорога|набор|елезная|дорога|используется|для|сюжетно|ролевых|конструктивных|игр|процессе|игры|выполняется|сборка|путей|перемещение|поездов|разыгрывание|ситуаций|онструкция|включает|элементы|дерева|пластика</v>
      </c>
      <c r="I111" s="1"/>
      <c r="J111" s="1"/>
    </row>
    <row r="112" spans="1:10" x14ac:dyDescent="0.2">
      <c r="A112" s="8" t="s">
        <v>3249</v>
      </c>
      <c r="B112" s="7" t="s">
        <v>3248</v>
      </c>
      <c r="C112" s="7" t="s">
        <v>3247</v>
      </c>
      <c r="D112" s="6">
        <v>3800</v>
      </c>
      <c r="E112" s="5">
        <v>55</v>
      </c>
      <c r="F112" s="4" t="str">
        <f ca="1">IFERROR(__xludf.DUMMYFUNCTION("LOWER(REGEXREPLACE(B112&amp;"" ""&amp;C112,""[^а-яa-z0-9 ]"","" ""))")," етский горшок пластиковый  етский горшок предназначен для санитарно гигиенических нужд   зготовлен из прочного пластика  устойчивого к ежедневному использованию и удобного в очистке   онструкция предусматривает устойчивое основание и эргономичную форму с"&amp;"иденья   оверхность гладкая  допускает мыть  и дезинфекционную обработку   зделие выполнено без острых углов и мелких деталей ")</f>
        <v xml:space="preserve"> етский горшок пластиковый  етский горшок предназначен для санитарно гигиенических нужд   зготовлен из прочного пластика  устойчивого к ежедневному использованию и удобного в очистке   онструкция предусматривает устойчивое основание и эргономичную форму сиденья   оверхность гладкая  допускает мыть  и дезинфекционную обработку   зделие выполнено без острых углов и мелких деталей </v>
      </c>
      <c r="G112" s="4" t="str">
        <f ca="1">IFERROR(__xludf.DUMMYFUNCTION("TEXTJOIN(""|"",TRUE,UNIQUE(FILTER(SPLIT(F112,"" ""),LEN(SPLIT(F112,"" ""))&gt;2)))"),"етский|горшок|пластиковый|етский|горшок|предназначен|для|санитарно|гигиенических|нужд|зготовлен|прочного|пластика|устойчивого|ежедневному|использованию|удобного|очистке|онструкция|предусматривает|устойчивое|основание|эргономичную|форму|сиденья|оверхность|"&amp;"гладкая|допускает|мыть|дезинфекционную|обработку|зделие|выполнено|без|острых|углов|мелких|деталей")</f>
        <v>етский|горшок|пластиковый|етский|горшок|предназначен|для|санитарно|гигиенических|нужд|зготовлен|прочного|пластика|устойчивого|ежедневному|использованию|удобного|очистке|онструкция|предусматривает|устойчивое|основание|эргономичную|форму|сиденья|оверхность|гладкая|допускает|мыть|дезинфекционную|обработку|зделие|выполнено|без|острых|углов|мелких|деталей</v>
      </c>
      <c r="I112" s="1"/>
      <c r="J112" s="1"/>
    </row>
    <row r="113" spans="1:10" x14ac:dyDescent="0.2">
      <c r="A113" s="8" t="s">
        <v>3246</v>
      </c>
      <c r="B113" s="7" t="s">
        <v>3245</v>
      </c>
      <c r="C113" s="7" t="s">
        <v>3244</v>
      </c>
      <c r="D113" s="6">
        <v>13900</v>
      </c>
      <c r="E113" s="5">
        <v>14</v>
      </c>
      <c r="F113" s="4" t="str">
        <f ca="1">IFERROR(__xludf.DUMMYFUNCTION("LOWER(REGEXREPLACE(B113&amp;"" ""&amp;C113,""[^а-яa-z0-9 ]"","" ""))")," етский игровой комплект   троитель  с жилетом  гровой комплект используется для сюжетно ролевых игр на тему строительной деятельности    набор входит детский строительный жилет с декоративными элементами  а также аксессуары  имитирующие инструменты и эки"&amp;"пировку    процессе игры разыгрываются рабочие ситуации  связанные со строительством и ремонтом   лементы комплекта выполнены в безопасном исполнении и рассчитаны на многократное использование ")</f>
        <v xml:space="preserve"> етский игровой комплект   троитель  с жилетом  гровой комплект используется для сюжетно ролевых игр на тему строительной деятельности    набор входит детский строительный жилет с декоративными элементами  а также аксессуары  имитирующие инструменты и экипировку    процессе игры разыгрываются рабочие ситуации  связанные со строительством и ремонтом   лементы комплекта выполнены в безопасном исполнении и рассчитаны на многократное использование </v>
      </c>
      <c r="G113" s="4" t="str">
        <f ca="1">IFERROR(__xludf.DUMMYFUNCTION("TEXTJOIN(""|"",TRUE,UNIQUE(FILTER(SPLIT(F113,"" ""),LEN(SPLIT(F113,"" ""))&gt;2)))"),"етский|игровой|комплект|троитель|жилетом|гровой|комплект|используется|для|сюжетно|ролевых|игр|тему|строительной|деятельности|набор|входит|детский|строительный|жилет|декоративными|элементами|также|аксессуары|имитирующие|инструменты|экипировку|процессе|игры"&amp;"|разыгрываются|рабочие|ситуации|связанные|строительством|ремонтом|лементы|комплекта|выполнены|безопасном|исполнении|рассчитаны|многократное|использование")</f>
        <v>етский|игровой|комплект|троитель|жилетом|гровой|комплект|используется|для|сюжетно|ролевых|игр|тему|строительной|деятельности|набор|входит|детский|строительный|жилет|декоративными|элементами|также|аксессуары|имитирующие|инструменты|экипировку|процессе|игры|разыгрываются|рабочие|ситуации|связанные|строительством|ремонтом|лементы|комплекта|выполнены|безопасном|исполнении|рассчитаны|многократное|использование</v>
      </c>
      <c r="I113" s="1"/>
      <c r="J113" s="1"/>
    </row>
    <row r="114" spans="1:10" x14ac:dyDescent="0.2">
      <c r="A114" s="8" t="s">
        <v>3243</v>
      </c>
      <c r="B114" s="7" t="s">
        <v>3242</v>
      </c>
      <c r="C114" s="7" t="s">
        <v>3241</v>
      </c>
      <c r="D114" s="6">
        <v>5300</v>
      </c>
      <c r="E114" s="5">
        <v>25</v>
      </c>
      <c r="F114" s="4" t="str">
        <f ca="1">IFERROR(__xludf.DUMMYFUNCTION("LOWER(REGEXREPLACE(B114&amp;"" ""&amp;C114,""[^а-яa-z0-9 ]"","" ""))")," етский фартук для творческих занятий  артук используется для защиты одежды при выполнении творческих и художественных работ   снащ н завязками и передними карманами для мелких принадлежностей   зделие многоразового использования  легко очищается   редназ"&amp;"начен для применения в помещениях ")</f>
        <v xml:space="preserve"> етский фартук для творческих занятий  артук используется для защиты одежды при выполнении творческих и художественных работ   снащ н завязками и передними карманами для мелких принадлежностей   зделие многоразового использования  легко очищается   редназначен для применения в помещениях </v>
      </c>
      <c r="G114" s="4" t="str">
        <f ca="1">IFERROR(__xludf.DUMMYFUNCTION("TEXTJOIN(""|"",TRUE,UNIQUE(FILTER(SPLIT(F114,"" ""),LEN(SPLIT(F114,"" ""))&gt;2)))"),"етский|фартук|для|творческих|занятий|артук|используется|для|защиты|одежды|при|выполнении|творческих|художественных|работ|снащ|завязками|передними|карманами|для|мелких|принадлежностей|зделие|многоразового|использования|легко|очищается|редназначен|для|приме"&amp;"нения|помещениях")</f>
        <v>етский|фартук|для|творческих|занятий|артук|используется|для|защиты|одежды|при|выполнении|творческих|художественных|работ|снащ|завязками|передними|карманами|для|мелких|принадлежностей|зделие|многоразового|использования|легко|очищается|редназначен|для|применения|помещениях</v>
      </c>
      <c r="I114" s="1"/>
      <c r="J114" s="1"/>
    </row>
    <row r="115" spans="1:10" x14ac:dyDescent="0.2">
      <c r="A115" s="8" t="s">
        <v>3240</v>
      </c>
      <c r="B115" s="7" t="s">
        <v>3239</v>
      </c>
      <c r="C115" s="7" t="s">
        <v>2382</v>
      </c>
      <c r="D115" s="6">
        <v>19900</v>
      </c>
      <c r="E115" s="5">
        <v>1</v>
      </c>
      <c r="F115" s="4" t="str">
        <f ca="1">IFERROR(__xludf.DUMMYFUNCTION("LOWER(REGEXREPLACE(B115&amp;"" ""&amp;C115,""[^а-яa-z0-9 ]"","" ""))")," етям о  онституции  еспублики  азахстан  спанова   ")</f>
        <v xml:space="preserve"> етям о  онституции  еспублики  азахстан  спанова   </v>
      </c>
      <c r="G115" s="4" t="str">
        <f ca="1">IFERROR(__xludf.DUMMYFUNCTION("TEXTJOIN(""|"",TRUE,UNIQUE(FILTER(SPLIT(F115,"" ""),LEN(SPLIT(F115,"" ""))&gt;2)))"),"етям|онституции|еспублики|азахстан|спанова")</f>
        <v>етям|онституции|еспублики|азахстан|спанова</v>
      </c>
      <c r="I115" s="1"/>
      <c r="J115" s="1"/>
    </row>
    <row r="116" spans="1:10" x14ac:dyDescent="0.2">
      <c r="A116" s="8" t="s">
        <v>3238</v>
      </c>
      <c r="B116" s="7" t="s">
        <v>3237</v>
      </c>
      <c r="C116" s="7" t="s">
        <v>3236</v>
      </c>
      <c r="D116" s="6">
        <v>5900</v>
      </c>
      <c r="E116" s="5">
        <v>5</v>
      </c>
      <c r="F116" s="4" t="str">
        <f ca="1">IFERROR(__xludf.DUMMYFUNCTION("LOWER(REGEXREPLACE(B116&amp;"" ""&amp;C116,""[^а-яa-z0-9 ]"","" ""))")," идактическая игра на липучках   ифры и количество   гра предназначена для освоения цифр и соотнесения числа с количеством предметов    комплект входит не менее 2 игровых полей формата  4 и не менее 40 карточек размером около 5 5 см с креплениями липучкам"&amp;"и    процессе работы выполняется подбор карточек и закрепление их на поле  что требует точных движений пальцев   рименяется для упражнений на сч т до 10 и сравнение количеств   атериал рассчитан на многократное использование ")</f>
        <v xml:space="preserve"> идактическая игра на липучках   ифры и количество   гра предназначена для освоения цифр и соотнесения числа с количеством предметов    комплект входит не менее 2 игровых полей формата  4 и не менее 40 карточек размером около 5 5 см с креплениями липучками    процессе работы выполняется подбор карточек и закрепление их на поле  что требует точных движений пальцев   рименяется для упражнений на сч т до 10 и сравнение количеств   атериал рассчитан на многократное использование </v>
      </c>
      <c r="G116" s="4" t="str">
        <f ca="1">IFERROR(__xludf.DUMMYFUNCTION("TEXTJOIN(""|"",TRUE,UNIQUE(FILTER(SPLIT(F116,"" ""),LEN(SPLIT(F116,"" ""))&gt;2)))"),"идактическая|игра|липучках|ифры|количество|гра|предназначена|для|освоения|цифр|соотнесения|числа|количеством|предметов|комплект|входит|менее|игровых|полей|формата|менее|карточек|размером|около|креплениями|липучками|процессе|работы|выполняется|подбор|карто"&amp;"чек|закрепление|поле|что|требует|точных|движений|пальцев|рименяется|для|упражнений|сравнение|количеств|атериал|рассчитан|многократное|использование")</f>
        <v>идактическая|игра|липучках|ифры|количество|гра|предназначена|для|освоения|цифр|соотнесения|числа|количеством|предметов|комплект|входит|менее|игровых|полей|формата|менее|карточек|размером|около|креплениями|липучками|процессе|работы|выполняется|подбор|карточек|закрепление|поле|что|требует|точных|движений|пальцев|рименяется|для|упражнений|сравнение|количеств|атериал|рассчитан|многократное|использование</v>
      </c>
      <c r="I116" s="1"/>
      <c r="J116" s="1"/>
    </row>
    <row r="117" spans="1:10" x14ac:dyDescent="0.2">
      <c r="A117" s="8" t="s">
        <v>3235</v>
      </c>
      <c r="B117" s="7" t="s">
        <v>3234</v>
      </c>
      <c r="C117" s="7" t="s">
        <v>3233</v>
      </c>
      <c r="D117" s="6">
        <v>11700</v>
      </c>
      <c r="E117" s="5">
        <v>8</v>
      </c>
      <c r="F117" s="4" t="str">
        <f ca="1">IFERROR(__xludf.DUMMYFUNCTION("LOWER(REGEXREPLACE(B117&amp;"" ""&amp;C117,""[^а-яa-z0-9 ]"","" ""))"),"   йлеуд  дамыту ж не к ркем  дебиет   чебно 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 ")</f>
        <v xml:space="preserve">   йлеуд  дамыту ж не к ркем  дебиет   чебно 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 </v>
      </c>
      <c r="G117" s="4" t="str">
        <f ca="1">IFERROR(__xludf.DUMMYFUNCTION("TEXTJOIN(""|"",TRUE,UNIQUE(FILTER(SPLIT(F117,"" ""),LEN(SPLIT(F117,"" ""))&gt;2)))"),"йлеуд|дамыту|ркем|дебиет|чебно|методические|раздаточные|материалы|предназначены|для|развития|речи|знакомства|художественной|литературой|казахском|языке|дошкольном|образовании")</f>
        <v>йлеуд|дамыту|ркем|дебиет|чебно|методические|раздаточные|материалы|предназначены|для|развития|речи|знакомства|художественной|литературой|казахском|языке|дошкольном|образовании</v>
      </c>
      <c r="I117" s="1"/>
      <c r="J117" s="1"/>
    </row>
    <row r="118" spans="1:10" x14ac:dyDescent="0.2">
      <c r="A118" s="8" t="s">
        <v>3232</v>
      </c>
      <c r="B118" s="7" t="s">
        <v>3231</v>
      </c>
      <c r="C118" s="7" t="s">
        <v>3230</v>
      </c>
      <c r="D118" s="6">
        <v>32100</v>
      </c>
      <c r="E118" s="5">
        <v>35</v>
      </c>
      <c r="F118" s="4" t="str">
        <f ca="1">IFERROR(__xludf.DUMMYFUNCTION("LOWER(REGEXREPLACE(B118&amp;"" ""&amp;C118,""[^а-яa-z0-9 ]"","" ""))")," идактическая игрушка для развития мелкой моторики  идактическая игрушка применяется для выполнения манипулятивных действий руками    процессе работы выполняются захваты  перекладывание  соединение и другие точные движения пальцев   спользуется в игровой "&amp;"и учебной деятельности для формирования координации движений кисти и пальцев   онструкция рассчитана на многократное использование ")</f>
        <v xml:space="preserve"> идактическая игрушка для развития мелкой моторики  идактическая игрушка применяется для выполнения манипулятивных действий руками    процессе работы выполняются захваты  перекладывание  соединение и другие точные движения пальцев   спользуется в игровой и учебной деятельности для формирования координации движений кисти и пальцев   онструкция рассчитана на многократное использование </v>
      </c>
      <c r="G118" s="4" t="str">
        <f ca="1">IFERROR(__xludf.DUMMYFUNCTION("TEXTJOIN(""|"",TRUE,UNIQUE(FILTER(SPLIT(F118,"" ""),LEN(SPLIT(F118,"" ""))&gt;2)))"),"идактическая|игрушка|для|развития|мелкой|моторики|идактическая|игрушка|применяется|для|выполнения|манипулятивных|действий|руками|процессе|работы|выполняются|захваты|перекладывание|соединение|другие|точные|движения|пальцев|спользуется|игровой|учебной|деяте"&amp;"льности|для|формирования|координации|движений|кисти|пальцев|онструкция|рассчитана|многократное|использование")</f>
        <v>идактическая|игрушка|для|развития|мелкой|моторики|идактическая|игрушка|применяется|для|выполнения|манипулятивных|действий|руками|процессе|работы|выполняются|захваты|перекладывание|соединение|другие|точные|движения|пальцев|спользуется|игровой|учебной|деятельности|для|формирования|координации|движений|кисти|пальцев|онструкция|рассчитана|многократное|использование</v>
      </c>
      <c r="I118" s="1"/>
      <c r="J118" s="1"/>
    </row>
    <row r="119" spans="1:10" x14ac:dyDescent="0.2">
      <c r="A119" s="8" t="s">
        <v>3229</v>
      </c>
      <c r="B119" s="7" t="s">
        <v>3228</v>
      </c>
      <c r="C119" s="7" t="s">
        <v>3227</v>
      </c>
      <c r="D119" s="6">
        <v>26200</v>
      </c>
      <c r="E119" s="5">
        <v>1</v>
      </c>
      <c r="F119" s="4" t="str">
        <f ca="1">IFERROR(__xludf.DUMMYFUNCTION("LOWER(REGEXREPLACE(B119&amp;"" ""&amp;C119,""[^а-яa-z0-9 ]"","" ""))")," идактическая фигура человека из изогнутого дерева  игура человека выполнена из изогнутых деревянных элементов и используется для работы с представлениями о теле и его положении    процессе взаимодействия выполняется изменение позы и ориентации фигуры   р"&amp;"именяется при игровых и проективных заданиях   атериал изготовления   дерево ")</f>
        <v xml:space="preserve"> идактическая фигура человека из изогнутого дерева  игура человека выполнена из изогнутых деревянных элементов и используется для работы с представлениями о теле и его положении    процессе взаимодействия выполняется изменение позы и ориентации фигуры   рименяется при игровых и проективных заданиях   атериал изготовления   дерево </v>
      </c>
      <c r="G119" s="4" t="str">
        <f ca="1">IFERROR(__xludf.DUMMYFUNCTION("TEXTJOIN(""|"",TRUE,UNIQUE(FILTER(SPLIT(F119,"" ""),LEN(SPLIT(F119,"" ""))&gt;2)))"),"идактическая|фигура|человека|изогнутого|дерева|игура|человека|выполнена|изогнутых|деревянных|элементов|используется|для|работы|представлениями|теле|его|положении|процессе|взаимодействия|выполняется|изменение|позы|ориентации|фигуры|рименяется|при|игровых|п"&amp;"роективных|заданиях|атериал|изготовления|дерево")</f>
        <v>идактическая|фигура|человека|изогнутого|дерева|игура|человека|выполнена|изогнутых|деревянных|элементов|используется|для|работы|представлениями|теле|его|положении|процессе|взаимодействия|выполняется|изменение|позы|ориентации|фигуры|рименяется|при|игровых|проективных|заданиях|атериал|изготовления|дерево</v>
      </c>
      <c r="I119" s="1"/>
      <c r="J119" s="1"/>
    </row>
    <row r="120" spans="1:10" x14ac:dyDescent="0.2">
      <c r="A120" s="8" t="s">
        <v>3226</v>
      </c>
      <c r="B120" s="7" t="s">
        <v>3225</v>
      </c>
      <c r="C120" s="7" t="s">
        <v>3224</v>
      </c>
      <c r="D120" s="6">
        <v>30400</v>
      </c>
      <c r="E120" s="5">
        <v>43</v>
      </c>
      <c r="F120" s="4" t="str">
        <f ca="1">IFERROR(__xludf.DUMMYFUNCTION("LOWER(REGEXREPLACE(B120&amp;"" ""&amp;C120,""[^а-яa-z0-9 ]"","" ""))")," идактические игры по формированию представлений  сч т  форма  время  природа   омплект дидактических игр используется для выполнения заданий на сч т  различение цвета и размера  изучение геометрических фигур и ориентировку во времени и пространстве   рим"&amp;"еняется при индивидуальной и групповой работе   гры направлены на закрепление базовых представлений об окружающем мире ")</f>
        <v xml:space="preserve"> идактические игры по формированию представлений  сч т  форма  время  природа   омплект дидактических игр используется для выполнения заданий на сч т  различение цвета и размера  изучение геометрических фигур и ориентировку во времени и пространстве   рименяется при индивидуальной и групповой работе   гры направлены на закрепление базовых представлений об окружающем мире </v>
      </c>
      <c r="G120" s="4" t="str">
        <f ca="1">IFERROR(__xludf.DUMMYFUNCTION("TEXTJOIN(""|"",TRUE,UNIQUE(FILTER(SPLIT(F120,"" ""),LEN(SPLIT(F120,"" ""))&gt;2)))"),"идактические|игры|формированию|представлений|форма|время|природа|омплект|дидактических|игр|используется|для|выполнения|заданий|различение|цвета|размера|изучение|геометрических|фигур|ориентировку|времени|пространстве|рименяется|при|индивидуальной|групповой"&amp;"|работе|гры|направлены|закрепление|базовых|представлений|окружающем|мире")</f>
        <v>идактические|игры|формированию|представлений|форма|время|природа|омплект|дидактических|игр|используется|для|выполнения|заданий|различение|цвета|размера|изучение|геометрических|фигур|ориентировку|времени|пространстве|рименяется|при|индивидуальной|групповой|работе|гры|направлены|закрепление|базовых|представлений|окружающем|мире</v>
      </c>
      <c r="I120" s="1"/>
      <c r="J120" s="1"/>
    </row>
    <row r="121" spans="1:10" x14ac:dyDescent="0.2">
      <c r="A121" s="8" t="s">
        <v>3223</v>
      </c>
      <c r="B121" s="7" t="s">
        <v>3222</v>
      </c>
      <c r="C121" s="7" t="s">
        <v>3221</v>
      </c>
      <c r="D121" s="6">
        <v>8700</v>
      </c>
      <c r="E121" s="5">
        <v>1</v>
      </c>
      <c r="F121" s="4" t="str">
        <f ca="1">IFERROR(__xludf.DUMMYFUNCTION("LOWER(REGEXREPLACE(B121&amp;"" ""&amp;C121,""[^а-яa-z0-9 ]"","" ""))")," идактические материалы  комплект   омплект дидактических материалов используется при организации учебно игровой деятельности   рименяется для выполнения заданий различной направленности   спользуется в образовательной практике в зависимости от содержания"&amp;" комплекта ")</f>
        <v xml:space="preserve"> идактические материалы  комплект   омплект дидактических материалов используется при организации учебно игровой деятельности   рименяется для выполнения заданий различной направленности   спользуется в образовательной практике в зависимости от содержания комплекта </v>
      </c>
      <c r="G121" s="4" t="str">
        <f ca="1">IFERROR(__xludf.DUMMYFUNCTION("TEXTJOIN(""|"",TRUE,UNIQUE(FILTER(SPLIT(F121,"" ""),LEN(SPLIT(F121,"" ""))&gt;2)))"),"идактические|материалы|комплект|омплект|дидактических|материалов|используется|при|организации|учебно|игровой|деятельности|рименяется|для|выполнения|заданий|различной|направленности|спользуется|образовательной|практике|зависимости|содержания|комплекта")</f>
        <v>идактические|материалы|комплект|омплект|дидактических|материалов|используется|при|организации|учебно|игровой|деятельности|рименяется|для|выполнения|заданий|различной|направленности|спользуется|образовательной|практике|зависимости|содержания|комплекта</v>
      </c>
      <c r="I121" s="1"/>
      <c r="J121" s="1"/>
    </row>
    <row r="122" spans="1:10" x14ac:dyDescent="0.2">
      <c r="A122" s="8" t="s">
        <v>3220</v>
      </c>
      <c r="B122" s="7" t="s">
        <v>3219</v>
      </c>
      <c r="C122" s="7" t="s">
        <v>3218</v>
      </c>
      <c r="D122" s="6">
        <v>10500</v>
      </c>
      <c r="E122" s="5">
        <v>1</v>
      </c>
      <c r="F122" s="4" t="str">
        <f ca="1">IFERROR(__xludf.DUMMYFUNCTION("LOWER(REGEXREPLACE(B122&amp;"" ""&amp;C122,""[^а-яa-z0-9 ]"","" ""))")," идактические материалы для сенсорного развития  омплект используется для организации заданий  направленных на работу с визуальными  тактильными и аудиальными ощущениями   рименяется при индивидуальной и подгрупповой деятельности   остав материалов подбир"&amp;"ается в зависимости от вида сенсорных упражнений ")</f>
        <v xml:space="preserve"> идактические материалы для сенсорного развития  омплект используется для организации заданий  направленных на работу с визуальными  тактильными и аудиальными ощущениями   рименяется при индивидуальной и подгрупповой деятельности   остав материалов подбирается в зависимости от вида сенсорных упражнений </v>
      </c>
      <c r="G122" s="4" t="str">
        <f ca="1">IFERROR(__xludf.DUMMYFUNCTION("TEXTJOIN(""|"",TRUE,UNIQUE(FILTER(SPLIT(F122,"" ""),LEN(SPLIT(F122,"" ""))&gt;2)))"),"идактические|материалы|для|сенсорного|развития|омплект|используется|для|организации|заданий|направленных|работу|визуальными|тактильными|аудиальными|ощущениями|рименяется|при|индивидуальной|подгрупповой|деятельности|остав|материалов|подбирается|зависимости"&amp;"|вида|сенсорных|упражнений")</f>
        <v>идактические|материалы|для|сенсорного|развития|омплект|используется|для|организации|заданий|направленных|работу|визуальными|тактильными|аудиальными|ощущениями|рименяется|при|индивидуальной|подгрупповой|деятельности|остав|материалов|подбирается|зависимости|вида|сенсорных|упражнений</v>
      </c>
      <c r="I122" s="1"/>
      <c r="J122" s="1"/>
    </row>
    <row r="123" spans="1:10" x14ac:dyDescent="0.2">
      <c r="A123" s="8" t="s">
        <v>3217</v>
      </c>
      <c r="B123" s="7" t="s">
        <v>3216</v>
      </c>
      <c r="C123" s="7" t="s">
        <v>3215</v>
      </c>
      <c r="D123" s="6">
        <v>12400</v>
      </c>
      <c r="E123" s="5">
        <v>1</v>
      </c>
      <c r="F123" s="4" t="str">
        <f ca="1">IFERROR(__xludf.DUMMYFUNCTION("LOWER(REGEXREPLACE(B123&amp;"" ""&amp;C123,""[^а-яa-z0-9 ]"","" ""))")," идактическое пособие панно   о  тело   особие   о  тело  предназначено для формирования представлений о строении человека и базовых навыков гигиены в доступной игровой форме   снова выполнена из плотного картона дерева пластика  размер панно   не менее 4"&amp;"0 60 см для демонстрации группе детей   омплект включает перемещаемые элементы  части тела  органы чувств  предметы гигиены  в количестве не менее 10 шт   которые реб нок прикрепляет  сопоставляет и называет   особие применяется для упражнений на называни"&amp;"е  классификацию и ориентацию  где находится   что развивает речь и внимание   гровые задания помогают обсуждать безопасность  что можно нельзя   уход за собой и эмоциональное самочувствие через тело   лементы имеют закругл нные края  поверхность допускае"&amp;"т регулярную очистку  используется под контролем педагога ")</f>
        <v xml:space="preserve"> идактическое пособие панно   о  тело   особие   о  тело  предназначено для формирования представлений о строении человека и базовых навыков гигиены в доступной игровой форме   снова выполнена из плотного картона дерева пластика  размер панно   не менее 40 60 см для демонстрации группе детей   омплект включает перемещаемые элементы  части тела  органы чувств  предметы гигиены  в количестве не менее 10 шт   которые реб нок прикрепляет  сопоставляет и называет   особие применяется для упражнений на называние  классификацию и ориентацию  где находится   что развивает речь и внимание   гровые задания помогают обсуждать безопасность  что можно нельзя   уход за собой и эмоциональное самочувствие через тело   лементы имеют закругл нные края  поверхность допускает регулярную очистку  используется под контролем педагога </v>
      </c>
      <c r="G123" s="4" t="str">
        <f ca="1">IFERROR(__xludf.DUMMYFUNCTION("TEXTJOIN(""|"",TRUE,UNIQUE(FILTER(SPLIT(F123,"" ""),LEN(SPLIT(F123,"" ""))&gt;2)))"),"идактическое|пособие|панно|тело|особие|тело|предназначено|для|формирования|представлений|строении|человека|базовых|навыков|гигиены|доступной|игровой|форме|снова|выполнена|плотного|картона|дерева|пластика|размер|панно|менее|для|демонстрации|группе|детей|ом"&amp;"плект|включает|перемещаемые|элементы|части|тела|органы|чувств|предметы|гигиены|количестве|менее|которые|реб|нок|прикрепляет|сопоставляет|называет|особие|применяется|для|упражнений|называние|классификацию|ориентацию|где|находится|что|развивает|речь|внимани"&amp;"е|гровые|задания|помогают|обсуждать|безопасность|что|можно|нельзя|уход|собой|эмоциональное|самочувствие|через|тело|лементы|имеют|закругл|нные|края|поверхность|допускает|регулярную|очистку|используется|под|контролем|педагога")</f>
        <v>идактическое|пособие|панно|тело|особие|тело|предназначено|для|формирования|представлений|строении|человека|базовых|навыков|гигиены|доступной|игровой|форме|снова|выполнена|плотного|картона|дерева|пластика|размер|панно|менее|для|демонстрации|группе|детей|омплект|включает|перемещаемые|элементы|части|тела|органы|чувств|предметы|гигиены|количестве|менее|которые|реб|нок|прикрепляет|сопоставляет|называет|особие|применяется|для|упражнений|называние|классификацию|ориентацию|где|находится|что|развивает|речь|внимание|гровые|задания|помогают|обсуждать|безопасность|что|можно|нельзя|уход|собой|эмоциональное|самочувствие|через|тело|лементы|имеют|закругл|нные|края|поверхность|допускает|регулярную|очистку|используется|под|контролем|педагога</v>
      </c>
      <c r="I123" s="1"/>
      <c r="J123" s="1"/>
    </row>
    <row r="124" spans="1:10" x14ac:dyDescent="0.2">
      <c r="A124" s="8" t="s">
        <v>3214</v>
      </c>
      <c r="B124" s="7" t="s">
        <v>3213</v>
      </c>
      <c r="C124" s="7" t="s">
        <v>763</v>
      </c>
      <c r="D124" s="6">
        <v>27000</v>
      </c>
      <c r="E124" s="5">
        <v>1</v>
      </c>
      <c r="F124" s="4" t="str">
        <f ca="1">IFERROR(__xludf.DUMMYFUNCTION("LOWER(REGEXREPLACE(B124&amp;"" ""&amp;C124,""[^а-яa-z0-9 ]"","" ""))")," инмухамед  унаев   нига альбом к 110 летию со дня рождения  ужикова   ")</f>
        <v xml:space="preserve"> инмухамед  унаев   нига альбом к 110 летию со дня рождения  ужикова   </v>
      </c>
      <c r="G124" s="4" t="str">
        <f ca="1">IFERROR(__xludf.DUMMYFUNCTION("TEXTJOIN(""|"",TRUE,UNIQUE(FILTER(SPLIT(F124,"" ""),LEN(SPLIT(F124,"" ""))&gt;2)))"),"инмухамед|унаев|нига|альбом|110|летию|дня|рождения|ужикова")</f>
        <v>инмухамед|унаев|нига|альбом|110|летию|дня|рождения|ужикова</v>
      </c>
      <c r="I124" s="1"/>
      <c r="J124" s="1"/>
    </row>
    <row r="125" spans="1:10" x14ac:dyDescent="0.2">
      <c r="A125" s="8" t="s">
        <v>3212</v>
      </c>
      <c r="B125" s="7" t="s">
        <v>3211</v>
      </c>
      <c r="C125" s="7" t="s">
        <v>3210</v>
      </c>
      <c r="D125" s="6">
        <v>13300</v>
      </c>
      <c r="E125" s="5">
        <v>1</v>
      </c>
      <c r="F125" s="4" t="str">
        <f ca="1">IFERROR(__xludf.DUMMYFUNCTION("LOWER(REGEXREPLACE(B125&amp;"" ""&amp;C125,""[^а-яa-z0-9 ]"","" ""))")," инозаврлар   алы тырмайтын энциклопедия  огаэр   ")</f>
        <v xml:space="preserve"> инозаврлар   алы тырмайтын энциклопедия  огаэр   </v>
      </c>
      <c r="G125" s="4" t="str">
        <f ca="1">IFERROR(__xludf.DUMMYFUNCTION("TEXTJOIN(""|"",TRUE,UNIQUE(FILTER(SPLIT(F125,"" ""),LEN(SPLIT(F125,"" ""))&gt;2)))"),"инозаврлар|алы|тырмайтын|энциклопедия|огаэр")</f>
        <v>инозаврлар|алы|тырмайтын|энциклопедия|огаэр</v>
      </c>
      <c r="I125" s="1"/>
      <c r="J125" s="1"/>
    </row>
    <row r="126" spans="1:10" x14ac:dyDescent="0.2">
      <c r="A126" s="8" t="s">
        <v>3209</v>
      </c>
      <c r="B126" s="7" t="s">
        <v>3208</v>
      </c>
      <c r="C126" s="7" t="s">
        <v>695</v>
      </c>
      <c r="D126" s="6">
        <v>22800</v>
      </c>
      <c r="E126" s="5">
        <v>1</v>
      </c>
      <c r="F126" s="4" t="str">
        <f ca="1">IFERROR(__xludf.DUMMYFUNCTION("LOWER(REGEXREPLACE(B126&amp;"" ""&amp;C126,""[^а-яa-z0-9 ]"","" ""))")," обро пожаловать   аурыз   книга   сундучок      спанова")</f>
        <v xml:space="preserve"> обро пожаловать   аурыз   книга   сундучок      спанова</v>
      </c>
      <c r="G126" s="4" t="str">
        <f ca="1">IFERROR(__xludf.DUMMYFUNCTION("TEXTJOIN(""|"",TRUE,UNIQUE(FILTER(SPLIT(F126,"" ""),LEN(SPLIT(F126,"" ""))&gt;2)))"),"обро|пожаловать|аурыз|книга|сундучок|спанова")</f>
        <v>обро|пожаловать|аурыз|книга|сундучок|спанова</v>
      </c>
      <c r="I126" s="1"/>
      <c r="J126" s="1"/>
    </row>
    <row r="127" spans="1:10" x14ac:dyDescent="0.2">
      <c r="A127" s="8" t="s">
        <v>3207</v>
      </c>
      <c r="B127" s="7" t="s">
        <v>3206</v>
      </c>
      <c r="C127" s="7" t="s">
        <v>3205</v>
      </c>
      <c r="D127" s="6">
        <v>36100</v>
      </c>
      <c r="E127" s="5">
        <v>35</v>
      </c>
      <c r="F127" s="4" t="str">
        <f ca="1">IFERROR(__xludf.DUMMYFUNCTION("LOWER(REGEXREPLACE(B127&amp;"" ""&amp;C127,""[^а-яa-z0-9 ]"","" ""))")," омино деревянное   ивотные   28 фишек   астольное домино включает увеличенные фишки с изображениями животных   рупный размер элементов удобен для работы с настольной поверхностью   гра используется для подбора пар и выполнения логических действий   атери"&amp;"ал изготовления   дерево ")</f>
        <v xml:space="preserve"> омино деревянное   ивотные   28 фишек   астольное домино включает увеличенные фишки с изображениями животных   рупный размер элементов удобен для работы с настольной поверхностью   гра используется для подбора пар и выполнения логических действий   атериал изготовления   дерево </v>
      </c>
      <c r="G127" s="4" t="str">
        <f ca="1">IFERROR(__xludf.DUMMYFUNCTION("TEXTJOIN(""|"",TRUE,UNIQUE(FILTER(SPLIT(F127,"" ""),LEN(SPLIT(F127,"" ""))&gt;2)))"),"омино|деревянное|ивотные|фишек|астольное|домино|включает|увеличенные|фишки|изображениями|животных|рупный|размер|элементов|удобен|для|работы|настольной|поверхностью|гра|используется|для|подбора|пар|выполнения|логических|действий|атериал|изготовления|дерево")</f>
        <v>омино|деревянное|ивотные|фишек|астольное|домино|включает|увеличенные|фишки|изображениями|животных|рупный|размер|элементов|удобен|для|работы|настольной|поверхностью|гра|используется|для|подбора|пар|выполнения|логических|действий|атериал|изготовления|дерево</v>
      </c>
      <c r="I127" s="1"/>
      <c r="J127" s="1"/>
    </row>
    <row r="128" spans="1:10" x14ac:dyDescent="0.2">
      <c r="A128" s="8" t="s">
        <v>3204</v>
      </c>
      <c r="B128" s="7" t="s">
        <v>3203</v>
      </c>
      <c r="C128" s="7" t="s">
        <v>3202</v>
      </c>
      <c r="D128" s="6">
        <v>15600</v>
      </c>
      <c r="E128" s="5">
        <v>50</v>
      </c>
      <c r="F128" s="4" t="str">
        <f ca="1">IFERROR(__xludf.DUMMYFUNCTION("LOWER(REGEXREPLACE(B128&amp;"" ""&amp;C128,""[^а-яa-z0-9 ]"","" ""))"),"  ая шалар    нтеллектум   гра предназначена для тренировки определения места предмета в пространстве  сравнения  сопоставления и развития логического мышления ребенка  ")</f>
        <v xml:space="preserve">  ая шалар    нтеллектум   гра предназначена для тренировки определения места предмета в пространстве  сравнения  сопоставления и развития логического мышления ребенка  </v>
      </c>
      <c r="G128" s="4" t="str">
        <f ca="1">IFERROR(__xludf.DUMMYFUNCTION("TEXTJOIN(""|"",TRUE,UNIQUE(FILTER(SPLIT(F128,"" ""),LEN(SPLIT(F128,"" ""))&gt;2)))"),"шалар|нтеллектум|гра|предназначена|для|тренировки|определения|места|предмета|пространстве|сравнения|сопоставления|развития|логического|мышления|ребенка")</f>
        <v>шалар|нтеллектум|гра|предназначена|для|тренировки|определения|места|предмета|пространстве|сравнения|сопоставления|развития|логического|мышления|ребенка</v>
      </c>
      <c r="I128" s="1"/>
      <c r="J128" s="1"/>
    </row>
    <row r="129" spans="1:10" x14ac:dyDescent="0.2">
      <c r="A129" s="8" t="s">
        <v>3201</v>
      </c>
      <c r="B129" s="7" t="s">
        <v>3200</v>
      </c>
      <c r="C129" s="7" t="s">
        <v>3199</v>
      </c>
      <c r="D129" s="6">
        <v>4900</v>
      </c>
      <c r="E129" s="5">
        <v>35</v>
      </c>
      <c r="F129" s="4" t="str">
        <f ca="1">IFERROR(__xludf.DUMMYFUNCTION("LOWER(REGEXREPLACE(B129&amp;"" ""&amp;C129,""[^а-яa-z0-9 ]"","" ""))")," омино деревянное   а ферме   астольная игра домино включает фишки с изображениями сельскохозяйственных животных и предметов    процессе игры выполняется подбор совпадающих изображений   акая деятельность способствует развитию внимания и логического мышле"&amp;"ния   ишки выполнены из дерева ")</f>
        <v xml:space="preserve"> омино деревянное   а ферме   астольная игра домино включает фишки с изображениями сельскохозяйственных животных и предметов    процессе игры выполняется подбор совпадающих изображений   акая деятельность способствует развитию внимания и логического мышления   ишки выполнены из дерева </v>
      </c>
      <c r="G129" s="4" t="str">
        <f ca="1">IFERROR(__xludf.DUMMYFUNCTION("TEXTJOIN(""|"",TRUE,UNIQUE(FILTER(SPLIT(F129,"" ""),LEN(SPLIT(F129,"" ""))&gt;2)))"),"омино|деревянное|ферме|астольная|игра|домино|включает|фишки|изображениями|сельскохозяйственных|животных|предметов|процессе|игры|выполняется|подбор|совпадающих|изображений|акая|деятельность|способствует|развитию|внимания|логического|мышления|ишки|выполнены"&amp;"|дерева")</f>
        <v>омино|деревянное|ферме|астольная|игра|домино|включает|фишки|изображениями|сельскохозяйственных|животных|предметов|процессе|игры|выполняется|подбор|совпадающих|изображений|акая|деятельность|способствует|развитию|внимания|логического|мышления|ишки|выполнены|дерева</v>
      </c>
      <c r="I129" s="1"/>
      <c r="J129" s="1"/>
    </row>
    <row r="130" spans="1:10" x14ac:dyDescent="0.2">
      <c r="A130" s="8" t="s">
        <v>3198</v>
      </c>
      <c r="B130" s="7" t="s">
        <v>3197</v>
      </c>
      <c r="C130" s="7" t="s">
        <v>3196</v>
      </c>
      <c r="D130" s="6">
        <v>4900</v>
      </c>
      <c r="E130" s="5">
        <v>35</v>
      </c>
      <c r="F130" s="4" t="str">
        <f ca="1">IFERROR(__xludf.DUMMYFUNCTION("LOWER(REGEXREPLACE(B130&amp;"" ""&amp;C130,""[^а-яa-z0-9 ]"","" ""))")," омино деревянное   ранспорт   омино используется для настольной игры с изображениями различных видов транспорта    процессе игры выполняется сопоставление фишек по картинкам   абор включает не менее 28 деревянных фишек   одходит для индивидуальной и совм"&amp;"естной игры ")</f>
        <v xml:space="preserve"> омино деревянное   ранспорт   омино используется для настольной игры с изображениями различных видов транспорта    процессе игры выполняется сопоставление фишек по картинкам   абор включает не менее 28 деревянных фишек   одходит для индивидуальной и совместной игры </v>
      </c>
      <c r="G130" s="4" t="str">
        <f ca="1">IFERROR(__xludf.DUMMYFUNCTION("TEXTJOIN(""|"",TRUE,UNIQUE(FILTER(SPLIT(F130,"" ""),LEN(SPLIT(F130,"" ""))&gt;2)))"),"омино|деревянное|ранспорт|омино|используется|для|настольной|игры|изображениями|различных|видов|транспорта|процессе|игры|выполняется|сопоставление|фишек|картинкам|абор|включает|менее|деревянных|фишек|одходит|для|индивидуальной|совместной|игры")</f>
        <v>омино|деревянное|ранспорт|омино|используется|для|настольной|игры|изображениями|различных|видов|транспорта|процессе|игры|выполняется|сопоставление|фишек|картинкам|абор|включает|менее|деревянных|фишек|одходит|для|индивидуальной|совместной|игры</v>
      </c>
      <c r="I130" s="1"/>
      <c r="J130" s="1"/>
    </row>
    <row r="131" spans="1:10" x14ac:dyDescent="0.2">
      <c r="A131" s="8" t="s">
        <v>3195</v>
      </c>
      <c r="B131" s="7" t="s">
        <v>3194</v>
      </c>
      <c r="C131" s="7" t="s">
        <v>3193</v>
      </c>
      <c r="D131" s="6">
        <v>4900</v>
      </c>
      <c r="E131" s="5">
        <v>35</v>
      </c>
      <c r="F131" s="4" t="str">
        <f ca="1">IFERROR(__xludf.DUMMYFUNCTION("LOWER(REGEXREPLACE(B131&amp;"" ""&amp;C131,""[^а-яa-z0-9 ]"","" ""))")," омино деревянное   ранспорт   картинки половинки   омино половинки используются для подбора изображений по принципу совпадения частей    процессе игры выполняется анализ и сравнение фрагментов   ишки изготовлены из дерева и рассчитаны на многократное исп"&amp;"ользование ")</f>
        <v xml:space="preserve"> омино деревянное   ранспорт   картинки половинки   омино половинки используются для подбора изображений по принципу совпадения частей    процессе игры выполняется анализ и сравнение фрагментов   ишки изготовлены из дерева и рассчитаны на многократное использование </v>
      </c>
      <c r="G131" s="4" t="str">
        <f ca="1">IFERROR(__xludf.DUMMYFUNCTION("TEXTJOIN(""|"",TRUE,UNIQUE(FILTER(SPLIT(F131,"" ""),LEN(SPLIT(F131,"" ""))&gt;2)))"),"омино|деревянное|ранспорт|картинки|половинки|омино|половинки|используются|для|подбора|изображений|принципу|совпадения|частей|процессе|игры|выполняется|анализ|сравнение|фрагментов|ишки|изготовлены|дерева|рассчитаны|многократное|использование")</f>
        <v>омино|деревянное|ранспорт|картинки|половинки|омино|половинки|используются|для|подбора|изображений|принципу|совпадения|частей|процессе|игры|выполняется|анализ|сравнение|фрагментов|ишки|изготовлены|дерева|рассчитаны|многократное|использование</v>
      </c>
      <c r="I131" s="1"/>
      <c r="J131" s="1"/>
    </row>
    <row r="132" spans="1:10" x14ac:dyDescent="0.2">
      <c r="A132" s="8" t="s">
        <v>3192</v>
      </c>
      <c r="B132" s="7" t="s">
        <v>3191</v>
      </c>
      <c r="C132" s="7" t="s">
        <v>3190</v>
      </c>
      <c r="D132" s="6">
        <v>4900</v>
      </c>
      <c r="E132" s="5">
        <v>35</v>
      </c>
      <c r="F132" s="4" t="str">
        <f ca="1">IFERROR(__xludf.DUMMYFUNCTION("LOWER(REGEXREPLACE(B132&amp;"" ""&amp;C132,""[^а-яa-z0-9 ]"","" ""))")," омино деревянное  классическое   астольная игра домино используется для подбора пар по изображениям    процессе игры выполняется анализ картинок и соблюдение правил очередности   ишки изготовлены из натурального дерева и имеют гладкую обработку   гра рас"&amp;"считана на индивидуальное и совместное использование ")</f>
        <v xml:space="preserve"> омино деревянное  классическое   астольная игра домино используется для подбора пар по изображениям    процессе игры выполняется анализ картинок и соблюдение правил очередности   ишки изготовлены из натурального дерева и имеют гладкую обработку   гра рассчитана на индивидуальное и совместное использование </v>
      </c>
      <c r="G132" s="4" t="str">
        <f ca="1">IFERROR(__xludf.DUMMYFUNCTION("TEXTJOIN(""|"",TRUE,UNIQUE(FILTER(SPLIT(F132,"" ""),LEN(SPLIT(F132,"" ""))&gt;2)))"),"омино|деревянное|классическое|астольная|игра|домино|используется|для|подбора|пар|изображениям|процессе|игры|выполняется|анализ|картинок|соблюдение|правил|очередности|ишки|изготовлены|натурального|дерева|имеют|гладкую|обработку|гра|рассчитана|индивидуально"&amp;"е|совместное|использование")</f>
        <v>омино|деревянное|классическое|астольная|игра|домино|используется|для|подбора|пар|изображениям|процессе|игры|выполняется|анализ|картинок|соблюдение|правил|очередности|ишки|изготовлены|натурального|дерева|имеют|гладкую|обработку|гра|рассчитана|индивидуальное|совместное|использование</v>
      </c>
      <c r="I132" s="1"/>
      <c r="J132" s="1"/>
    </row>
    <row r="133" spans="1:10" x14ac:dyDescent="0.2">
      <c r="A133" s="8" t="s">
        <v>3189</v>
      </c>
      <c r="B133" s="7" t="s">
        <v>3188</v>
      </c>
      <c r="C133" s="7" t="s">
        <v>3187</v>
      </c>
      <c r="D133" s="6">
        <v>4900</v>
      </c>
      <c r="E133" s="5">
        <v>14</v>
      </c>
      <c r="F133" s="4" t="str">
        <f ca="1">IFERROR(__xludf.DUMMYFUNCTION("LOWER(REGEXREPLACE(B133&amp;"" ""&amp;C133,""[^а-яa-z0-9 ]"","" ""))")," омино деревянное с картинками  28 фишек   астольная игра домино включает фишки с изображениями для подбора пар по совпадающим картинкам    процессе игры выполняются действия по анализу изображений и выбору подходящей фишки   акая деятельность способствуе"&amp;"т развитию внимания  зрительного восприятия и навыков следования правилам   омплект включает не менее 28 фишек   атериал изготовления   фанера  дерево  ")</f>
        <v xml:space="preserve"> омино деревянное с картинками  28 фишек   астольная игра домино включает фишки с изображениями для подбора пар по совпадающим картинкам    процессе игры выполняются действия по анализу изображений и выбору подходящей фишки   акая деятельность способствует развитию внимания  зрительного восприятия и навыков следования правилам   омплект включает не менее 28 фишек   атериал изготовления   фанера  дерево  </v>
      </c>
      <c r="G133" s="4" t="str">
        <f ca="1">IFERROR(__xludf.DUMMYFUNCTION("TEXTJOIN(""|"",TRUE,UNIQUE(FILTER(SPLIT(F133,"" ""),LEN(SPLIT(F133,"" ""))&gt;2)))"),"омино|деревянное|картинками|фишек|астольная|игра|домино|включает|фишки|изображениями|для|подбора|пар|совпадающим|картинкам|процессе|игры|выполняются|действия|анализу|изображений|выбору|подходящей|фишки|акая|деятельность|способствует|развитию|внимания|зрит"&amp;"ельного|восприятия|навыков|следования|правилам|омплект|включает|менее|фишек|атериал|изготовления|фанера|дерево")</f>
        <v>омино|деревянное|картинками|фишек|астольная|игра|домино|включает|фишки|изображениями|для|подбора|пар|совпадающим|картинкам|процессе|игры|выполняются|действия|анализу|изображений|выбору|подходящей|фишки|акая|деятельность|способствует|развитию|внимания|зрительного|восприятия|навыков|следования|правилам|омплект|включает|менее|фишек|атериал|изготовления|фанера|дерево</v>
      </c>
      <c r="I133" s="1"/>
      <c r="J133" s="1"/>
    </row>
    <row r="134" spans="1:10" x14ac:dyDescent="0.2">
      <c r="A134" s="8" t="s">
        <v>3186</v>
      </c>
      <c r="B134" s="7" t="s">
        <v>3185</v>
      </c>
      <c r="C134" s="7" t="s">
        <v>3184</v>
      </c>
      <c r="D134" s="6">
        <v>3400</v>
      </c>
      <c r="E134" s="5">
        <v>7</v>
      </c>
      <c r="F134" s="4" t="str">
        <f ca="1">IFERROR(__xludf.DUMMYFUNCTION("LOWER(REGEXREPLACE(B134&amp;"" ""&amp;C134,""[^а-яa-z0-9 ]"","" ""))")," омино с картинками  астольная игра домино используется для подбора пар по совпадающим изображениям    процессе игры выполняется анализ картинок и соблюдение очередности ходов   гра применяется для индивидуальной и совместной деятельности   ишки рассчитан"&amp;"ы на многократное использование ")</f>
        <v xml:space="preserve"> омино с картинками  астольная игра домино используется для подбора пар по совпадающим изображениям    процессе игры выполняется анализ картинок и соблюдение очередности ходов   гра применяется для индивидуальной и совместной деятельности   ишки рассчитаны на многократное использование </v>
      </c>
      <c r="G134" s="4" t="str">
        <f ca="1">IFERROR(__xludf.DUMMYFUNCTION("TEXTJOIN(""|"",TRUE,UNIQUE(FILTER(SPLIT(F134,"" ""),LEN(SPLIT(F134,"" ""))&gt;2)))"),"омино|картинками|астольная|игра|домино|используется|для|подбора|пар|совпадающим|изображениям|процессе|игры|выполняется|анализ|картинок|соблюдение|очередности|ходов|гра|применяется|для|индивидуальной|совместной|деятельности|ишки|рассчитаны|многократное|исп"&amp;"ользование")</f>
        <v>омино|картинками|астольная|игра|домино|используется|для|подбора|пар|совпадающим|изображениям|процессе|игры|выполняется|анализ|картинок|соблюдение|очередности|ходов|гра|применяется|для|индивидуальной|совместной|деятельности|ишки|рассчитаны|многократное|использование</v>
      </c>
      <c r="I134" s="1"/>
      <c r="J134" s="1"/>
    </row>
    <row r="135" spans="1:10" x14ac:dyDescent="0.2">
      <c r="A135" s="8" t="s">
        <v>3183</v>
      </c>
      <c r="B135" s="7" t="s">
        <v>3182</v>
      </c>
      <c r="C135" s="7" t="s">
        <v>3181</v>
      </c>
      <c r="D135" s="6">
        <v>28100</v>
      </c>
      <c r="E135" s="5">
        <v>1</v>
      </c>
      <c r="F135" s="4" t="str">
        <f ca="1">IFERROR(__xludf.DUMMYFUNCTION("LOWER(REGEXREPLACE(B135&amp;"" ""&amp;C135,""[^а-яa-z0-9 ]"","" ""))")," оска для работы с эмоциями  оска используется для наглядной работы с эмоциональными состояниями    процессе занятий выполняется распознавание  называние и обсуждение эмоций   рименяется при индивидуальной и групповой работе   редназначена для формировани"&amp;"я эмоциональной осознанности ")</f>
        <v xml:space="preserve"> оска для работы с эмоциями  оска используется для наглядной работы с эмоциональными состояниями    процессе занятий выполняется распознавание  называние и обсуждение эмоций   рименяется при индивидуальной и групповой работе   редназначена для формирования эмоциональной осознанности </v>
      </c>
      <c r="G135" s="4" t="str">
        <f ca="1">IFERROR(__xludf.DUMMYFUNCTION("TEXTJOIN(""|"",TRUE,UNIQUE(FILTER(SPLIT(F135,"" ""),LEN(SPLIT(F135,"" ""))&gt;2)))"),"оска|для|работы|эмоциями|оска|используется|для|наглядной|работы|эмоциональными|состояниями|процессе|занятий|выполняется|распознавание|называние|обсуждение|эмоций|рименяется|при|индивидуальной|групповой|работе|редназначена|для|формирования|эмоциональной|ос"&amp;"ознанности")</f>
        <v>оска|для|работы|эмоциями|оска|используется|для|наглядной|работы|эмоциональными|состояниями|процессе|занятий|выполняется|распознавание|называние|обсуждение|эмоций|рименяется|при|индивидуальной|групповой|работе|редназначена|для|формирования|эмоциональной|осознанности</v>
      </c>
      <c r="I135" s="1"/>
      <c r="J135" s="1"/>
    </row>
    <row r="136" spans="1:10" x14ac:dyDescent="0.2">
      <c r="A136" s="8" t="s">
        <v>3180</v>
      </c>
      <c r="B136" s="7" t="s">
        <v>3179</v>
      </c>
      <c r="C136" s="7" t="s">
        <v>3178</v>
      </c>
      <c r="D136" s="6">
        <v>36000</v>
      </c>
      <c r="E136" s="5">
        <v>1</v>
      </c>
      <c r="F136" s="4" t="str">
        <f ca="1">IFERROR(__xludf.DUMMYFUNCTION("LOWER(REGEXREPLACE(B136&amp;"" ""&amp;C136,""[^а-яa-z0-9 ]"","" ""))")," оска маркерная  аркерная доска используется для письма  рисования и наглядных записей   одходит для проведения занятий  инструктажей и демонстрации информации   редназначена для использования с маркерами сухого стирания ")</f>
        <v xml:space="preserve"> оска маркерная  аркерная доска используется для письма  рисования и наглядных записей   одходит для проведения занятий  инструктажей и демонстрации информации   редназначена для использования с маркерами сухого стирания </v>
      </c>
      <c r="G136" s="4" t="str">
        <f ca="1">IFERROR(__xludf.DUMMYFUNCTION("TEXTJOIN(""|"",TRUE,UNIQUE(FILTER(SPLIT(F136,"" ""),LEN(SPLIT(F136,"" ""))&gt;2)))"),"оска|маркерная|аркерная|доска|используется|для|письма|рисования|наглядных|записей|одходит|для|проведения|занятий|инструктажей|демонстрации|информации|редназначена|для|использования|маркерами|сухого|стирания")</f>
        <v>оска|маркерная|аркерная|доска|используется|для|письма|рисования|наглядных|записей|одходит|для|проведения|занятий|инструктажей|демонстрации|информации|редназначена|для|использования|маркерами|сухого|стирания</v>
      </c>
      <c r="I136" s="1"/>
      <c r="J136" s="1"/>
    </row>
    <row r="137" spans="1:10" x14ac:dyDescent="0.2">
      <c r="A137" s="8" t="s">
        <v>3177</v>
      </c>
      <c r="B137" s="7" t="s">
        <v>3176</v>
      </c>
      <c r="C137" s="7" t="s">
        <v>3175</v>
      </c>
      <c r="D137" s="6">
        <v>45000</v>
      </c>
      <c r="E137" s="5">
        <v>9</v>
      </c>
      <c r="F137" s="4" t="str">
        <f ca="1">IFERROR(__xludf.DUMMYFUNCTION("LOWER(REGEXREPLACE(B137&amp;"" ""&amp;C137,""[^а-яa-z0-9 ]"","" ""))")," оска пробковая  робковая доска используется для размещения наглядных материалов  объявлений и карточек   нформация фиксируется с помощью кнопок или булавок   редназначена для настенного размещения и регулярного использования ")</f>
        <v xml:space="preserve"> оска пробковая  робковая доска используется для размещения наглядных материалов  объявлений и карточек   нформация фиксируется с помощью кнопок или булавок   редназначена для настенного размещения и регулярного использования </v>
      </c>
      <c r="G137" s="4" t="str">
        <f ca="1">IFERROR(__xludf.DUMMYFUNCTION("TEXTJOIN(""|"",TRUE,UNIQUE(FILTER(SPLIT(F137,"" ""),LEN(SPLIT(F137,"" ""))&gt;2)))"),"оска|пробковая|робковая|доска|используется|для|размещения|наглядных|материалов|объявлений|карточек|нформация|фиксируется|помощью|кнопок|или|булавок|редназначена|для|настенного|размещения|регулярного|использования")</f>
        <v>оска|пробковая|робковая|доска|используется|для|размещения|наглядных|материалов|объявлений|карточек|нформация|фиксируется|помощью|кнопок|или|булавок|редназначена|для|настенного|размещения|регулярного|использования</v>
      </c>
      <c r="I137" s="1"/>
      <c r="J137" s="1"/>
    </row>
    <row r="138" spans="1:10" x14ac:dyDescent="0.2">
      <c r="A138" s="8" t="s">
        <v>3174</v>
      </c>
      <c r="B138" s="7" t="s">
        <v>3173</v>
      </c>
      <c r="C138" s="7"/>
      <c r="D138" s="6">
        <v>1700</v>
      </c>
      <c r="E138" s="5">
        <v>1</v>
      </c>
      <c r="F138" s="4" t="str">
        <f ca="1">IFERROR(__xludf.DUMMYFUNCTION("LOWER(REGEXREPLACE(B138&amp;"" ""&amp;C138,""[^а-яa-z0-9 ]"","" ""))")," остарды  алай та даймын   ак завести друзей   ow to make friends  каз   рус   англ яз   ")</f>
        <v xml:space="preserve"> остарды  алай та даймын   ак завести друзей   ow to make friends  каз   рус   англ яз   </v>
      </c>
      <c r="G138" s="4" t="str">
        <f ca="1">IFERROR(__xludf.DUMMYFUNCTION("TEXTJOIN(""|"",TRUE,UNIQUE(FILTER(SPLIT(F138,"" ""),LEN(SPLIT(F138,"" ""))&gt;2)))"),"остарды|алай|даймын|завести|друзей|make|friends|каз|рус|англ")</f>
        <v>остарды|алай|даймын|завести|друзей|make|friends|каз|рус|англ</v>
      </c>
      <c r="I138" s="1"/>
      <c r="J138" s="1"/>
    </row>
    <row r="139" spans="1:10" x14ac:dyDescent="0.2">
      <c r="A139" s="8" t="s">
        <v>3172</v>
      </c>
      <c r="B139" s="7" t="s">
        <v>3171</v>
      </c>
      <c r="C139" s="7" t="s">
        <v>3170</v>
      </c>
      <c r="D139" s="6">
        <v>20500</v>
      </c>
      <c r="E139" s="5">
        <v>50</v>
      </c>
      <c r="F139" s="4" t="str">
        <f ca="1">IFERROR(__xludf.DUMMYFUNCTION("LOWER(REGEXREPLACE(B139&amp;"" ""&amp;C139,""[^а-яa-z0-9 ]"","" ""))"),"   рл  т ст  б лшектер    нтеллектум   гра предназначена для развития фантазии  пространственного и умственного мышления ребенка    белые карты   6 шт    желтые карты   15 шт    оранжевые карты   15 шт    светло зеленые карты   16 шт    темно зеленые карт"&amp;"ы   4 шт    инструкция   1 шт    голубые карты   15 шт    фиолетовые карты   15 шт  ")</f>
        <v xml:space="preserve">   рл  т ст  б лшектер    нтеллектум   гра предназначена для развития фантазии  пространственного и умственного мышления ребенка    белые карты   6 шт    желтые карты   15 шт    оранжевые карты   15 шт    светло зеленые карты   16 шт    темно зеленые карты   4 шт    инструкция   1 шт    голубые карты   15 шт    фиолетовые карты   15 шт  </v>
      </c>
      <c r="G139" s="4" t="str">
        <f ca="1">IFERROR(__xludf.DUMMYFUNCTION("TEXTJOIN(""|"",TRUE,UNIQUE(FILTER(SPLIT(F139,"" ""),LEN(SPLIT(F139,"" ""))&gt;2)))"),"лшектер|нтеллектум|гра|предназначена|для|развития|фантазии|пространственного|умственного|мышления|ребенка|белые|карты|желтые|карты|оранжевые|карты|светло|зеленые|карты|темно|зеленые|карты|инструкция|голубые|карты|фиолетовые|карты")</f>
        <v>лшектер|нтеллектум|гра|предназначена|для|развития|фантазии|пространственного|умственного|мышления|ребенка|белые|карты|желтые|карты|оранжевые|карты|светло|зеленые|карты|темно|зеленые|карты|инструкция|голубые|карты|фиолетовые|карты</v>
      </c>
      <c r="I139" s="1"/>
      <c r="J139" s="1"/>
    </row>
    <row r="140" spans="1:10" x14ac:dyDescent="0.2">
      <c r="A140" s="8" t="s">
        <v>3169</v>
      </c>
      <c r="B140" s="7" t="s">
        <v>3168</v>
      </c>
      <c r="C140" s="7" t="s">
        <v>3167</v>
      </c>
      <c r="D140" s="6">
        <v>72200</v>
      </c>
      <c r="E140" s="5">
        <v>2</v>
      </c>
      <c r="F140" s="4" t="str">
        <f ca="1">IFERROR(__xludf.DUMMYFUNCTION("LOWER(REGEXREPLACE(B140&amp;"" ""&amp;C140,""[^а-яa-z0-9 ]"","" ""))")," уги для подлезания  уги используются для организации двигательных упражнений с элементами подлезания    процессе выполнения заданий задействуются координация движений и ориентировка в пространстве   зделия выполнены из фанеры толщиной не менее 10 мм и по"&amp;"крыты безопасной краской    комплект входят дуги разных размеров ")</f>
        <v xml:space="preserve"> уги для подлезания  уги используются для организации двигательных упражнений с элементами подлезания    процессе выполнения заданий задействуются координация движений и ориентировка в пространстве   зделия выполнены из фанеры толщиной не менее 10 мм и покрыты безопасной краской    комплект входят дуги разных размеров </v>
      </c>
      <c r="G140" s="4" t="str">
        <f ca="1">IFERROR(__xludf.DUMMYFUNCTION("TEXTJOIN(""|"",TRUE,UNIQUE(FILTER(SPLIT(F140,"" ""),LEN(SPLIT(F140,"" ""))&gt;2)))"),"уги|для|подлезания|уги|используются|для|организации|двигательных|упражнений|элементами|подлезания|процессе|выполнения|заданий|задействуются|координация|движений|ориентировка|пространстве|зделия|выполнены|фанеры|толщиной|менее|покрыты|безопасной|краской|ко"&amp;"мплект|входят|дуги|разных|размеров")</f>
        <v>уги|для|подлезания|уги|используются|для|организации|двигательных|упражнений|элементами|подлезания|процессе|выполнения|заданий|задействуются|координация|движений|ориентировка|пространстве|зделия|выполнены|фанеры|толщиной|менее|покрыты|безопасной|краской|комплект|входят|дуги|разных|размеров</v>
      </c>
      <c r="I140" s="1"/>
      <c r="J140" s="1"/>
    </row>
    <row r="141" spans="1:10" x14ac:dyDescent="0.2">
      <c r="A141" s="8" t="s">
        <v>3166</v>
      </c>
      <c r="B141" s="7" t="s">
        <v>3165</v>
      </c>
      <c r="C141" s="7" t="s">
        <v>3164</v>
      </c>
      <c r="D141" s="6">
        <v>218500</v>
      </c>
      <c r="E141" s="5">
        <v>20</v>
      </c>
      <c r="F141" s="4" t="str">
        <f ca="1">IFERROR(__xludf.DUMMYFUNCTION("LOWER(REGEXREPLACE(B141&amp;"" ""&amp;C141,""[^а-яa-z0-9 ]"","" ""))")," ушевой комплект для ручной мойки посуды  ушевой комплект предназначен для ручной мойки посуды в производственных и хозяйственных помещениях    состав входит гибкий термостойкий шланг длиной не менее стандартной  оснащ нный защитной пружиной из нержавеюще"&amp;"й стали  а также ручной душ с хромированным покрытием   онструкция обеспечивает удобство подачи воды и устойчивость к регулярной эксплуатации   редусмотрено подключение к системам горячего и холодного водоснабжения   омплект рассчитан на интенсивное испол"&amp;"ьзование ")</f>
        <v xml:space="preserve"> ушевой комплект для ручной мойки посуды  ушевой комплект предназначен для ручной мойки посуды в производственных и хозяйственных помещениях    состав входит гибкий термостойкий шланг длиной не менее стандартной  оснащ нный защитной пружиной из нержавеющей стали  а также ручной душ с хромированным покрытием   онструкция обеспечивает удобство подачи воды и устойчивость к регулярной эксплуатации   редусмотрено подключение к системам горячего и холодного водоснабжения   омплект рассчитан на интенсивное использование </v>
      </c>
      <c r="G141" s="4" t="str">
        <f ca="1">IFERROR(__xludf.DUMMYFUNCTION("TEXTJOIN(""|"",TRUE,UNIQUE(FILTER(SPLIT(F141,"" ""),LEN(SPLIT(F141,"" ""))&gt;2)))"),"ушевой|комплект|для|ручной|мойки|посуды|ушевой|комплект|предназначен|для|ручной|мойки|посуды|производственных|хозяйственных|помещениях|состав|входит|гибкий|термостойкий|шланг|длиной|менее|стандартной|оснащ|нный|защитной|пружиной|нержавеющей|стали|также|ру"&amp;"чной|душ|хромированным|покрытием|онструкция|обеспечивает|удобство|подачи|воды|устойчивость|регулярной|эксплуатации|редусмотрено|подключение|системам|горячего|холодного|водоснабжения|омплект|рассчитан|интенсивное|использование")</f>
        <v>ушевой|комплект|для|ручной|мойки|посуды|ушевой|комплект|предназначен|для|ручной|мойки|посуды|производственных|хозяйственных|помещениях|состав|входит|гибкий|термостойкий|шланг|длиной|менее|стандартной|оснащ|нный|защитной|пружиной|нержавеющей|стали|также|ручной|душ|хромированным|покрытием|онструкция|обеспечивает|удобство|подачи|воды|устойчивость|регулярной|эксплуатации|редусмотрено|подключение|системам|горячего|холодного|водоснабжения|омплект|рассчитан|интенсивное|использование</v>
      </c>
      <c r="I141" s="1"/>
      <c r="J141" s="1"/>
    </row>
    <row r="142" spans="1:10" x14ac:dyDescent="0.2">
      <c r="A142" s="8" t="s">
        <v>3163</v>
      </c>
      <c r="B142" s="7" t="s">
        <v>3162</v>
      </c>
      <c r="C142" s="7" t="s">
        <v>3161</v>
      </c>
      <c r="D142" s="6">
        <v>8600</v>
      </c>
      <c r="E142" s="5">
        <v>5</v>
      </c>
      <c r="F142" s="4" t="str">
        <f ca="1">IFERROR(__xludf.DUMMYFUNCTION("LOWER(REGEXREPLACE(B142&amp;"" ""&amp;C142,""[^а-яa-z0-9 ]"","" ""))")," ыхательный тренаж р   учка   ыхательный тренаж р используется для выполнения упражнений на формирование плавного и длительного выдоха    процессе игры выполняются дыхательные действия с контролем воздушной струи   ополнительные элементы на липучках испол"&amp;"ьзуются для игровых заданий   рименяется при логопедической работе ")</f>
        <v xml:space="preserve"> ыхательный тренаж р   учка   ыхательный тренаж р используется для выполнения упражнений на формирование плавного и длительного выдоха    процессе игры выполняются дыхательные действия с контролем воздушной струи   ополнительные элементы на липучках используются для игровых заданий   рименяется при логопедической работе </v>
      </c>
      <c r="G142" s="4" t="str">
        <f ca="1">IFERROR(__xludf.DUMMYFUNCTION("TEXTJOIN(""|"",TRUE,UNIQUE(FILTER(SPLIT(F142,"" ""),LEN(SPLIT(F142,"" ""))&gt;2)))"),"ыхательный|тренаж|учка|ыхательный|тренаж|используется|для|выполнения|упражнений|формирование|плавного|длительного|выдоха|процессе|игры|выполняются|дыхательные|действия|контролем|воздушной|струи|ополнительные|элементы|липучках|используются|для|игровых|зада"&amp;"ний|рименяется|при|логопедической|работе")</f>
        <v>ыхательный|тренаж|учка|ыхательный|тренаж|используется|для|выполнения|упражнений|формирование|плавного|длительного|выдоха|процессе|игры|выполняются|дыхательные|действия|контролем|воздушной|струи|ополнительные|элементы|липучках|используются|для|игровых|заданий|рименяется|при|логопедической|работе</v>
      </c>
      <c r="I142" s="1"/>
      <c r="J142" s="1"/>
    </row>
    <row r="143" spans="1:10" x14ac:dyDescent="0.2">
      <c r="A143" s="8" t="s">
        <v>3160</v>
      </c>
      <c r="B143" s="7" t="s">
        <v>3159</v>
      </c>
      <c r="C143" s="7" t="s">
        <v>3158</v>
      </c>
      <c r="D143" s="6">
        <v>2200</v>
      </c>
      <c r="E143" s="5">
        <v>1</v>
      </c>
      <c r="F143" s="4" t="str">
        <f ca="1">IFERROR(__xludf.DUMMYFUNCTION("LOWER(REGEXREPLACE(B143&amp;"" ""&amp;C143,""[^а-яa-z0-9 ]"","" ""))")," г здер   лендер жина ы  аянбай   ")</f>
        <v xml:space="preserve"> г здер   лендер жина ы  аянбай   </v>
      </c>
      <c r="G143" s="4" t="str">
        <f ca="1">IFERROR(__xludf.DUMMYFUNCTION("TEXTJOIN(""|"",TRUE,UNIQUE(FILTER(SPLIT(F143,"" ""),LEN(SPLIT(F143,"" ""))&gt;2)))"),"здер|лендер|жина|аянбай")</f>
        <v>здер|лендер|жина|аянбай</v>
      </c>
      <c r="I143" s="1"/>
      <c r="J143" s="1"/>
    </row>
    <row r="144" spans="1:10" x14ac:dyDescent="0.2">
      <c r="A144" s="8" t="s">
        <v>3157</v>
      </c>
      <c r="B144" s="7" t="s">
        <v>3156</v>
      </c>
      <c r="C144" s="7" t="s">
        <v>2355</v>
      </c>
      <c r="D144" s="6">
        <v>6600</v>
      </c>
      <c r="E144" s="5">
        <v>1</v>
      </c>
      <c r="F144" s="4" t="str">
        <f ca="1">IFERROR(__xludf.DUMMYFUNCTION("LOWER(REGEXREPLACE(B144&amp;"" ""&amp;C144,""[^а-яa-z0-9 ]"","" ""))")," р  аргын  рус   англ    дапт   умисбаев   ")</f>
        <v xml:space="preserve"> р  аргын  рус   англ    дапт   умисбаев   </v>
      </c>
      <c r="G144" s="4" t="str">
        <f ca="1">IFERROR(__xludf.DUMMYFUNCTION("TEXTJOIN(""|"",TRUE,UNIQUE(FILTER(SPLIT(F144,"" ""),LEN(SPLIT(F144,"" ""))&gt;2)))"),"аргын|рус|англ|дапт|умисбаев")</f>
        <v>аргын|рус|англ|дапт|умисбаев</v>
      </c>
      <c r="I144" s="1"/>
      <c r="J144" s="1"/>
    </row>
    <row r="145" spans="1:10" x14ac:dyDescent="0.2">
      <c r="A145" s="8" t="s">
        <v>3155</v>
      </c>
      <c r="B145" s="7" t="s">
        <v>3154</v>
      </c>
      <c r="C145" s="7" t="s">
        <v>2349</v>
      </c>
      <c r="D145" s="6">
        <v>6600</v>
      </c>
      <c r="E145" s="5">
        <v>1</v>
      </c>
      <c r="F145" s="4" t="str">
        <f ca="1">IFERROR(__xludf.DUMMYFUNCTION("LOWER(REGEXREPLACE(B145&amp;"" ""&amp;C145,""[^а-яa-z0-9 ]"","" ""))")," р  ар ын  каз   агылш    ей мдеген    ум сбаев")</f>
        <v xml:space="preserve"> р  ар ын  каз   агылш    ей мдеген    ум сбаев</v>
      </c>
      <c r="G145" s="4" t="str">
        <f ca="1">IFERROR(__xludf.DUMMYFUNCTION("TEXTJOIN(""|"",TRUE,UNIQUE(FILTER(SPLIT(F145,"" ""),LEN(SPLIT(F145,"" ""))&gt;2)))"),"каз|агылш|мдеген|сбаев")</f>
        <v>каз|агылш|мдеген|сбаев</v>
      </c>
      <c r="I145" s="1"/>
      <c r="J145" s="1"/>
    </row>
    <row r="146" spans="1:10" x14ac:dyDescent="0.2">
      <c r="A146" s="8" t="s">
        <v>3153</v>
      </c>
      <c r="B146" s="7" t="s">
        <v>3152</v>
      </c>
      <c r="C146" s="7" t="s">
        <v>3133</v>
      </c>
      <c r="D146" s="6">
        <v>800</v>
      </c>
      <c r="E146" s="5">
        <v>1</v>
      </c>
      <c r="F146" s="4" t="str">
        <f ca="1">IFERROR(__xludf.DUMMYFUNCTION("LOWER(REGEXREPLACE(B146&amp;"" ""&amp;C146,""[^а-яa-z0-9 ]"","" ""))")," ртег лер   та анамен о имыз  1 б л м    растыр ан    усупова")</f>
        <v xml:space="preserve"> ртег лер   та анамен о имыз  1 б л м    растыр ан    усупова</v>
      </c>
      <c r="G146" s="4" t="str">
        <f ca="1">IFERROR(__xludf.DUMMYFUNCTION("TEXTJOIN(""|"",TRUE,UNIQUE(FILTER(SPLIT(F146,"" ""),LEN(SPLIT(F146,"" ""))&gt;2)))"),"ртег|лер|анамен|имыз|растыр|усупова")</f>
        <v>ртег|лер|анамен|имыз|растыр|усупова</v>
      </c>
      <c r="I146" s="1"/>
      <c r="J146" s="1"/>
    </row>
    <row r="147" spans="1:10" x14ac:dyDescent="0.2">
      <c r="A147" s="8" t="s">
        <v>3151</v>
      </c>
      <c r="B147" s="7" t="s">
        <v>3150</v>
      </c>
      <c r="C147" s="7" t="s">
        <v>3133</v>
      </c>
      <c r="D147" s="6">
        <v>800</v>
      </c>
      <c r="E147" s="5">
        <v>1</v>
      </c>
      <c r="F147" s="4" t="str">
        <f ca="1">IFERROR(__xludf.DUMMYFUNCTION("LOWER(REGEXREPLACE(B147&amp;"" ""&amp;C147,""[^а-яa-z0-9 ]"","" ""))")," ртег лер   та анамен о имыз  2 б л м    растыр ан    усупова")</f>
        <v xml:space="preserve"> ртег лер   та анамен о имыз  2 б л м    растыр ан    усупова</v>
      </c>
      <c r="G147" s="4" t="str">
        <f ca="1">IFERROR(__xludf.DUMMYFUNCTION("TEXTJOIN(""|"",TRUE,UNIQUE(FILTER(SPLIT(F147,"" ""),LEN(SPLIT(F147,"" ""))&gt;2)))"),"ртег|лер|анамен|имыз|растыр|усупова")</f>
        <v>ртег|лер|анамен|имыз|растыр|усупова</v>
      </c>
      <c r="I147" s="1"/>
      <c r="J147" s="1"/>
    </row>
    <row r="148" spans="1:10" x14ac:dyDescent="0.2">
      <c r="A148" s="8" t="s">
        <v>3149</v>
      </c>
      <c r="B148" s="7" t="s">
        <v>3148</v>
      </c>
      <c r="C148" s="7" t="s">
        <v>3133</v>
      </c>
      <c r="D148" s="6">
        <v>800</v>
      </c>
      <c r="E148" s="5">
        <v>1</v>
      </c>
      <c r="F148" s="4" t="str">
        <f ca="1">IFERROR(__xludf.DUMMYFUNCTION("LOWER(REGEXREPLACE(B148&amp;"" ""&amp;C148,""[^а-яa-z0-9 ]"","" ""))")," ртег лер   та анамен о имыз  3 б л м    растыр ан    усупова")</f>
        <v xml:space="preserve"> ртег лер   та анамен о имыз  3 б л м    растыр ан    усупова</v>
      </c>
      <c r="G148" s="4" t="str">
        <f ca="1">IFERROR(__xludf.DUMMYFUNCTION("TEXTJOIN(""|"",TRUE,UNIQUE(FILTER(SPLIT(F148,"" ""),LEN(SPLIT(F148,"" ""))&gt;2)))"),"ртег|лер|анамен|имыз|растыр|усупова")</f>
        <v>ртег|лер|анамен|имыз|растыр|усупова</v>
      </c>
      <c r="I148" s="1"/>
      <c r="J148" s="1"/>
    </row>
    <row r="149" spans="1:10" x14ac:dyDescent="0.2">
      <c r="A149" s="8" t="s">
        <v>3147</v>
      </c>
      <c r="B149" s="7" t="s">
        <v>3146</v>
      </c>
      <c r="C149" s="7" t="s">
        <v>3133</v>
      </c>
      <c r="D149" s="6">
        <v>800</v>
      </c>
      <c r="E149" s="5">
        <v>1</v>
      </c>
      <c r="F149" s="4" t="str">
        <f ca="1">IFERROR(__xludf.DUMMYFUNCTION("LOWER(REGEXREPLACE(B149&amp;"" ""&amp;C149,""[^а-яa-z0-9 ]"","" ""))")," ртег лер   уын а б л п о имыз  1 б л м    растыр ан    усупова")</f>
        <v xml:space="preserve"> ртег лер   уын а б л п о имыз  1 б л м    растыр ан    усупова</v>
      </c>
      <c r="G149" s="4" t="str">
        <f ca="1">IFERROR(__xludf.DUMMYFUNCTION("TEXTJOIN(""|"",TRUE,UNIQUE(FILTER(SPLIT(F149,"" ""),LEN(SPLIT(F149,"" ""))&gt;2)))"),"ртег|лер|уын|имыз|растыр|усупова")</f>
        <v>ртег|лер|уын|имыз|растыр|усупова</v>
      </c>
      <c r="I149" s="1"/>
      <c r="J149" s="1"/>
    </row>
    <row r="150" spans="1:10" x14ac:dyDescent="0.2">
      <c r="A150" s="8" t="s">
        <v>3145</v>
      </c>
      <c r="B150" s="7" t="s">
        <v>3144</v>
      </c>
      <c r="C150" s="7" t="s">
        <v>833</v>
      </c>
      <c r="D150" s="6">
        <v>4800</v>
      </c>
      <c r="E150" s="5">
        <v>1</v>
      </c>
      <c r="F150" s="4" t="str">
        <f ca="1">IFERROR(__xludf.DUMMYFUNCTION("LOWER(REGEXREPLACE(B150&amp;"" ""&amp;C150,""[^а-яa-z0-9 ]"","" ""))"),"10 историй о пиратах  ертолет   ")</f>
        <v xml:space="preserve">10 историй о пиратах  ертолет   </v>
      </c>
      <c r="G150" s="4" t="str">
        <f ca="1">IFERROR(__xludf.DUMMYFUNCTION("TEXTJOIN(""|"",TRUE,UNIQUE(FILTER(SPLIT(F150,"" ""),LEN(SPLIT(F150,"" ""))&gt;2)))"),"историй|пиратах|ертолет")</f>
        <v>историй|пиратах|ертолет</v>
      </c>
      <c r="I150" s="1"/>
      <c r="J150" s="1"/>
    </row>
    <row r="151" spans="1:10" x14ac:dyDescent="0.2">
      <c r="A151" s="8" t="s">
        <v>3143</v>
      </c>
      <c r="B151" s="7" t="s">
        <v>3142</v>
      </c>
      <c r="C151" s="7" t="s">
        <v>3133</v>
      </c>
      <c r="D151" s="6">
        <v>800</v>
      </c>
      <c r="E151" s="5">
        <v>1</v>
      </c>
      <c r="F151" s="4" t="str">
        <f ca="1">IFERROR(__xludf.DUMMYFUNCTION("LOWER(REGEXREPLACE(B151&amp;"" ""&amp;C151,""[^а-яa-z0-9 ]"","" ""))")," ртег лер   уын а б л п о имыз  2 б л м    растыр ан    усупова")</f>
        <v xml:space="preserve"> ртег лер   уын а б л п о имыз  2 б л м    растыр ан    усупова</v>
      </c>
      <c r="G151" s="4" t="str">
        <f ca="1">IFERROR(__xludf.DUMMYFUNCTION("TEXTJOIN(""|"",TRUE,UNIQUE(FILTER(SPLIT(F151,"" ""),LEN(SPLIT(F151,"" ""))&gt;2)))"),"ртег|лер|уын|имыз|растыр|усупова")</f>
        <v>ртег|лер|уын|имыз|растыр|усупова</v>
      </c>
      <c r="I151" s="1"/>
      <c r="J151" s="1"/>
    </row>
    <row r="152" spans="1:10" x14ac:dyDescent="0.2">
      <c r="A152" s="8" t="s">
        <v>3141</v>
      </c>
      <c r="B152" s="7" t="s">
        <v>3140</v>
      </c>
      <c r="C152" s="7" t="s">
        <v>3133</v>
      </c>
      <c r="D152" s="6">
        <v>800</v>
      </c>
      <c r="E152" s="5">
        <v>1</v>
      </c>
      <c r="F152" s="4" t="str">
        <f ca="1">IFERROR(__xludf.DUMMYFUNCTION("LOWER(REGEXREPLACE(B152&amp;"" ""&amp;C152,""[^а-яa-z0-9 ]"","" ""))")," ртег лер   уын а б л п о имыз  3 б л м    растыр ан    усупова")</f>
        <v xml:space="preserve"> ртег лер   уын а б л п о имыз  3 б л м    растыр ан    усупова</v>
      </c>
      <c r="G152" s="4" t="str">
        <f ca="1">IFERROR(__xludf.DUMMYFUNCTION("TEXTJOIN(""|"",TRUE,UNIQUE(FILTER(SPLIT(F152,"" ""),LEN(SPLIT(F152,"" ""))&gt;2)))"),"ртег|лер|уын|имыз|растыр|усупова")</f>
        <v>ртег|лер|уын|имыз|растыр|усупова</v>
      </c>
      <c r="I152" s="1"/>
      <c r="J152" s="1"/>
    </row>
    <row r="153" spans="1:10" x14ac:dyDescent="0.2">
      <c r="A153" s="8" t="s">
        <v>3139</v>
      </c>
      <c r="B153" s="7" t="s">
        <v>3138</v>
      </c>
      <c r="C153" s="7" t="s">
        <v>3133</v>
      </c>
      <c r="D153" s="6">
        <v>800</v>
      </c>
      <c r="E153" s="5">
        <v>1</v>
      </c>
      <c r="F153" s="4" t="str">
        <f ca="1">IFERROR(__xludf.DUMMYFUNCTION("LOWER(REGEXREPLACE(B153&amp;"" ""&amp;C153,""[^а-яa-z0-9 ]"","" ""))")," ртег лер   з м з о имыз  1 б л м    растыр ан    усупова")</f>
        <v xml:space="preserve"> ртег лер   з м з о имыз  1 б л м    растыр ан    усупова</v>
      </c>
      <c r="G153" s="4" t="str">
        <f ca="1">IFERROR(__xludf.DUMMYFUNCTION("TEXTJOIN(""|"",TRUE,UNIQUE(FILTER(SPLIT(F153,"" ""),LEN(SPLIT(F153,"" ""))&gt;2)))"),"ртег|лер|имыз|растыр|усупова")</f>
        <v>ртег|лер|имыз|растыр|усупова</v>
      </c>
      <c r="I153" s="1"/>
      <c r="J153" s="1"/>
    </row>
    <row r="154" spans="1:10" x14ac:dyDescent="0.2">
      <c r="A154" s="8" t="s">
        <v>3137</v>
      </c>
      <c r="B154" s="7" t="s">
        <v>3136</v>
      </c>
      <c r="C154" s="7" t="s">
        <v>3133</v>
      </c>
      <c r="D154" s="6">
        <v>800</v>
      </c>
      <c r="E154" s="5">
        <v>1</v>
      </c>
      <c r="F154" s="4" t="str">
        <f ca="1">IFERROR(__xludf.DUMMYFUNCTION("LOWER(REGEXREPLACE(B154&amp;"" ""&amp;C154,""[^а-яa-z0-9 ]"","" ""))")," ртег лер   з м з о имыз  2 б л м    растыр ан    усупова")</f>
        <v xml:space="preserve"> ртег лер   з м з о имыз  2 б л м    растыр ан    усупова</v>
      </c>
      <c r="G154" s="4" t="str">
        <f ca="1">IFERROR(__xludf.DUMMYFUNCTION("TEXTJOIN(""|"",TRUE,UNIQUE(FILTER(SPLIT(F154,"" ""),LEN(SPLIT(F154,"" ""))&gt;2)))"),"ртег|лер|имыз|растыр|усупова")</f>
        <v>ртег|лер|имыз|растыр|усупова</v>
      </c>
      <c r="I154" s="1"/>
      <c r="J154" s="1"/>
    </row>
    <row r="155" spans="1:10" x14ac:dyDescent="0.2">
      <c r="A155" s="8" t="s">
        <v>3135</v>
      </c>
      <c r="B155" s="7" t="s">
        <v>3134</v>
      </c>
      <c r="C155" s="7" t="s">
        <v>3133</v>
      </c>
      <c r="D155" s="6">
        <v>800</v>
      </c>
      <c r="E155" s="5">
        <v>1</v>
      </c>
      <c r="F155" s="4" t="str">
        <f ca="1">IFERROR(__xludf.DUMMYFUNCTION("LOWER(REGEXREPLACE(B155&amp;"" ""&amp;C155,""[^а-яa-z0-9 ]"","" ""))")," ртег лер   з м з о имыз  3 б л м    растыр ан    усупова")</f>
        <v xml:space="preserve"> ртег лер   з м з о имыз  3 б л м    растыр ан    усупова</v>
      </c>
      <c r="G155" s="4" t="str">
        <f ca="1">IFERROR(__xludf.DUMMYFUNCTION("TEXTJOIN(""|"",TRUE,UNIQUE(FILTER(SPLIT(F155,"" ""),LEN(SPLIT(F155,"" ""))&gt;2)))"),"ртег|лер|имыз|растыр|усупова")</f>
        <v>ртег|лер|имыз|растыр|усупова</v>
      </c>
      <c r="I155" s="1"/>
      <c r="J155" s="1"/>
    </row>
    <row r="156" spans="1:10" x14ac:dyDescent="0.2">
      <c r="A156" s="8" t="s">
        <v>3132</v>
      </c>
      <c r="B156" s="7" t="s">
        <v>3131</v>
      </c>
      <c r="C156" s="7" t="s">
        <v>3130</v>
      </c>
      <c r="D156" s="6">
        <v>6600</v>
      </c>
      <c r="E156" s="5">
        <v>1</v>
      </c>
      <c r="F156" s="4" t="str">
        <f ca="1">IFERROR(__xludf.DUMMYFUNCTION("LOWER(REGEXREPLACE(B156&amp;"" ""&amp;C156,""[^а-яa-z0-9 ]"","" ""))")," скертк ш орнаттым мен  олдан келмес        ушкин    растырушы   ужикова    ")</f>
        <v xml:space="preserve"> скертк ш орнаттым мен  олдан келмес        ушкин    растырушы   ужикова    </v>
      </c>
      <c r="G156" s="4" t="str">
        <f ca="1">IFERROR(__xludf.DUMMYFUNCTION("TEXTJOIN(""|"",TRUE,UNIQUE(FILTER(SPLIT(F156,"" ""),LEN(SPLIT(F156,"" ""))&gt;2)))"),"скертк|орнаттым|мен|олдан|келмес|ушкин|растырушы|ужикова")</f>
        <v>скертк|орнаттым|мен|олдан|келмес|ушкин|растырушы|ужикова</v>
      </c>
      <c r="I156" s="1"/>
      <c r="J156" s="1"/>
    </row>
    <row r="157" spans="1:10" x14ac:dyDescent="0.2">
      <c r="A157" s="8" t="s">
        <v>3129</v>
      </c>
      <c r="B157" s="7" t="s">
        <v>3128</v>
      </c>
      <c r="C157" s="7" t="s">
        <v>3127</v>
      </c>
      <c r="D157" s="6">
        <v>3000</v>
      </c>
      <c r="E157" s="5">
        <v>1</v>
      </c>
      <c r="F157" s="4" t="str">
        <f ca="1">IFERROR(__xludf.DUMMYFUNCTION("LOWER(REGEXREPLACE(B157&amp;"" ""&amp;C157,""[^а-яa-z0-9 ]"","" ""))")," абайы жануарларды б лес   бе    ылды бояма   ахипова     олтан азина   ")</f>
        <v xml:space="preserve"> абайы жануарларды б лес   бе    ылды бояма   ахипова     олтан азина   </v>
      </c>
      <c r="G157" s="4" t="str">
        <f ca="1">IFERROR(__xludf.DUMMYFUNCTION("TEXTJOIN(""|"",TRUE,UNIQUE(FILTER(SPLIT(F157,"" ""),LEN(SPLIT(F157,"" ""))&gt;2)))"),"абайы|жануарларды|лес|ылды|бояма|ахипова|олтан|азина")</f>
        <v>абайы|жануарларды|лес|ылды|бояма|ахипова|олтан|азина</v>
      </c>
      <c r="I157" s="1"/>
      <c r="J157" s="1"/>
    </row>
    <row r="158" spans="1:10" x14ac:dyDescent="0.2">
      <c r="A158" s="8" t="s">
        <v>3126</v>
      </c>
      <c r="B158" s="7" t="s">
        <v>3125</v>
      </c>
      <c r="C158" s="7" t="s">
        <v>3124</v>
      </c>
      <c r="D158" s="6">
        <v>7600</v>
      </c>
      <c r="E158" s="5">
        <v>1</v>
      </c>
      <c r="F158" s="4" t="str">
        <f ca="1">IFERROR(__xludf.DUMMYFUNCTION("LOWER(REGEXREPLACE(B158&amp;"" ""&amp;C158,""[^а-яa-z0-9 ]"","" ""))")," алы тырмайтын астрономия   алалар энциклопедиясы    айнберг")</f>
        <v xml:space="preserve"> алы тырмайтын астрономия   алалар энциклопедиясы    айнберг</v>
      </c>
      <c r="G158" s="4" t="str">
        <f ca="1">IFERROR(__xludf.DUMMYFUNCTION("TEXTJOIN(""|"",TRUE,UNIQUE(FILTER(SPLIT(F158,"" ""),LEN(SPLIT(F158,"" ""))&gt;2)))"),"алы|тырмайтын|астрономия|алалар|энциклопедиясы|айнберг")</f>
        <v>алы|тырмайтын|астрономия|алалар|энциклопедиясы|айнберг</v>
      </c>
      <c r="I158" s="1"/>
      <c r="J158" s="1"/>
    </row>
    <row r="159" spans="1:10" x14ac:dyDescent="0.2">
      <c r="A159" s="8" t="s">
        <v>3123</v>
      </c>
      <c r="B159" s="7" t="s">
        <v>3122</v>
      </c>
      <c r="C159" s="7" t="s">
        <v>3121</v>
      </c>
      <c r="D159" s="6">
        <v>11400</v>
      </c>
      <c r="E159" s="5">
        <v>1</v>
      </c>
      <c r="F159" s="4" t="str">
        <f ca="1">IFERROR(__xludf.DUMMYFUNCTION("LOWER(REGEXREPLACE(B159&amp;"" ""&amp;C159,""[^а-яa-z0-9 ]"","" ""))")," ануарлар   нциклопедиясы  рлон   ")</f>
        <v xml:space="preserve"> ануарлар   нциклопедиясы  рлон   </v>
      </c>
      <c r="G159" s="4" t="str">
        <f ca="1">IFERROR(__xludf.DUMMYFUNCTION("TEXTJOIN(""|"",TRUE,UNIQUE(FILTER(SPLIT(F159,"" ""),LEN(SPLIT(F159,"" ""))&gt;2)))"),"ануарлар|нциклопедиясы|рлон")</f>
        <v>ануарлар|нциклопедиясы|рлон</v>
      </c>
      <c r="I159" s="1"/>
      <c r="J159" s="1"/>
    </row>
    <row r="160" spans="1:10" x14ac:dyDescent="0.2">
      <c r="A160" s="8" t="s">
        <v>3120</v>
      </c>
      <c r="B160" s="7" t="s">
        <v>3119</v>
      </c>
      <c r="C160" s="7" t="s">
        <v>3118</v>
      </c>
      <c r="D160" s="6">
        <v>6400</v>
      </c>
      <c r="E160" s="5">
        <v>1</v>
      </c>
      <c r="F160" s="4" t="str">
        <f ca="1">IFERROR(__xludf.DUMMYFUNCTION("LOWER(REGEXREPLACE(B160&amp;"" ""&amp;C160,""[^а-яa-z0-9 ]"","" ""))")," а  ыры     ма ов")</f>
        <v xml:space="preserve"> а  ыры     ма ов</v>
      </c>
      <c r="G160" s="4" t="str">
        <f ca="1">IFERROR(__xludf.DUMMYFUNCTION("TEXTJOIN(""|"",TRUE,UNIQUE(FILTER(SPLIT(F160,"" ""),LEN(SPLIT(F160,"" ""))&gt;2)))"),"ыры")</f>
        <v>ыры</v>
      </c>
      <c r="I160" s="1"/>
      <c r="J160" s="1"/>
    </row>
    <row r="161" spans="1:10" x14ac:dyDescent="0.2">
      <c r="A161" s="8" t="s">
        <v>3117</v>
      </c>
      <c r="B161" s="7" t="s">
        <v>3116</v>
      </c>
      <c r="C161" s="7" t="s">
        <v>833</v>
      </c>
      <c r="D161" s="6">
        <v>4800</v>
      </c>
      <c r="E161" s="5">
        <v>1</v>
      </c>
      <c r="F161" s="4" t="str">
        <f ca="1">IFERROR(__xludf.DUMMYFUNCTION("LOWER(REGEXREPLACE(B161&amp;"" ""&amp;C161,""[^а-яa-z0-9 ]"","" ""))"),"10 историй о принцессах  ертолет   ")</f>
        <v xml:space="preserve">10 историй о принцессах  ертолет   </v>
      </c>
      <c r="G161" s="4" t="str">
        <f ca="1">IFERROR(__xludf.DUMMYFUNCTION("TEXTJOIN(""|"",TRUE,UNIQUE(FILTER(SPLIT(F161,"" ""),LEN(SPLIT(F161,"" ""))&gt;2)))"),"историй|принцессах|ертолет")</f>
        <v>историй|принцессах|ертолет</v>
      </c>
      <c r="I161" s="1"/>
      <c r="J161" s="1"/>
    </row>
    <row r="162" spans="1:10" x14ac:dyDescent="0.2">
      <c r="A162" s="8" t="s">
        <v>3115</v>
      </c>
      <c r="B162" s="7" t="s">
        <v>3114</v>
      </c>
      <c r="C162" s="7"/>
      <c r="D162" s="6">
        <v>1700</v>
      </c>
      <c r="E162" s="5">
        <v>1</v>
      </c>
      <c r="F162" s="4" t="str">
        <f ca="1">IFERROR(__xludf.DUMMYFUNCTION("LOWER(REGEXREPLACE(B162&amp;"" ""&amp;C162,""[^а-яa-z0-9 ]"","" ""))")," ауапкерш л кт  сез ну   ак стать ответственным   ow to be responsible ")</f>
        <v xml:space="preserve"> ауапкерш л кт  сез ну   ак стать ответственным   ow to be responsible </v>
      </c>
      <c r="G162" s="4" t="str">
        <f ca="1">IFERROR(__xludf.DUMMYFUNCTION("TEXTJOIN(""|"",TRUE,UNIQUE(FILTER(SPLIT(F162,"" ""),LEN(SPLIT(F162,"" ""))&gt;2)))"),"ауапкерш|сез|стать|ответственным|responsible")</f>
        <v>ауапкерш|сез|стать|ответственным|responsible</v>
      </c>
      <c r="I162" s="1"/>
      <c r="J162" s="1"/>
    </row>
    <row r="163" spans="1:10" x14ac:dyDescent="0.2">
      <c r="A163" s="8" t="s">
        <v>3113</v>
      </c>
      <c r="B163" s="7" t="s">
        <v>3112</v>
      </c>
      <c r="C163" s="7" t="s">
        <v>3111</v>
      </c>
      <c r="D163" s="6">
        <v>8000</v>
      </c>
      <c r="E163" s="5">
        <v>1</v>
      </c>
      <c r="F163" s="4" t="str">
        <f ca="1">IFERROR(__xludf.DUMMYFUNCTION("LOWER(REGEXREPLACE(B163&amp;"" ""&amp;C163,""[^а-яa-z0-9 ]"","" ""))"),"  н бек пен атасы    манасов")</f>
        <v xml:space="preserve">  н бек пен атасы    манасов</v>
      </c>
      <c r="G163" s="4" t="str">
        <f ca="1">IFERROR(__xludf.DUMMYFUNCTION("TEXTJOIN(""|"",TRUE,UNIQUE(FILTER(SPLIT(F163,"" ""),LEN(SPLIT(F163,"" ""))&gt;2)))"),"бек|пен|атасы|манасов")</f>
        <v>бек|пен|атасы|манасов</v>
      </c>
      <c r="I163" s="1"/>
      <c r="J163" s="1"/>
    </row>
    <row r="164" spans="1:10" x14ac:dyDescent="0.2">
      <c r="A164" s="8" t="s">
        <v>3110</v>
      </c>
      <c r="B164" s="7" t="s">
        <v>3109</v>
      </c>
      <c r="C164" s="7" t="s">
        <v>3108</v>
      </c>
      <c r="D164" s="6">
        <v>2800</v>
      </c>
      <c r="E164" s="5">
        <v>2</v>
      </c>
      <c r="F164" s="4" t="str">
        <f ca="1">IFERROR(__xludf.DUMMYFUNCTION("LOWER(REGEXREPLACE(B164&amp;"" ""&amp;C164,""[^а-яa-z0-9 ]"","" ""))")," гут кровоостанавливающий  спользуется для временной остановки кровотечения и при проведении медицинских процедур ")</f>
        <v xml:space="preserve"> гут кровоостанавливающий  спользуется для временной остановки кровотечения и при проведении медицинских процедур </v>
      </c>
      <c r="G164" s="4" t="str">
        <f ca="1">IFERROR(__xludf.DUMMYFUNCTION("TEXTJOIN(""|"",TRUE,UNIQUE(FILTER(SPLIT(F164,"" ""),LEN(SPLIT(F164,"" ""))&gt;2)))"),"гут|кровоостанавливающий|спользуется|для|временной|остановки|кровотечения|при|проведении|медицинских|процедур")</f>
        <v>гут|кровоостанавливающий|спользуется|для|временной|остановки|кровотечения|при|проведении|медицинских|процедур</v>
      </c>
      <c r="I164" s="1"/>
      <c r="J164" s="1"/>
    </row>
    <row r="165" spans="1:10" x14ac:dyDescent="0.2">
      <c r="A165" s="8" t="s">
        <v>3107</v>
      </c>
      <c r="B165" s="7" t="s">
        <v>3106</v>
      </c>
      <c r="C165" s="7" t="s">
        <v>2731</v>
      </c>
      <c r="D165" s="6">
        <v>19000</v>
      </c>
      <c r="E165" s="5">
        <v>1</v>
      </c>
      <c r="F165" s="4" t="str">
        <f ca="1">IFERROR(__xludf.DUMMYFUNCTION("LOWER(REGEXREPLACE(B165&amp;"" ""&amp;C165,""[^а-яa-z0-9 ]"","" ""))")," ер  аламшарыны  антологиясы  лдершоу   ")</f>
        <v xml:space="preserve"> ер  аламшарыны  антологиясы  лдершоу   </v>
      </c>
      <c r="G165" s="4" t="str">
        <f ca="1">IFERROR(__xludf.DUMMYFUNCTION("TEXTJOIN(""|"",TRUE,UNIQUE(FILTER(SPLIT(F165,"" ""),LEN(SPLIT(F165,"" ""))&gt;2)))"),"аламшарыны|антологиясы|лдершоу")</f>
        <v>аламшарыны|антологиясы|лдершоу</v>
      </c>
      <c r="I165" s="1"/>
      <c r="J165" s="1"/>
    </row>
    <row r="166" spans="1:10" x14ac:dyDescent="0.2">
      <c r="A166" s="8" t="s">
        <v>3105</v>
      </c>
      <c r="B166" s="7" t="s">
        <v>3104</v>
      </c>
      <c r="C166" s="7" t="s">
        <v>1025</v>
      </c>
      <c r="D166" s="6">
        <v>15600</v>
      </c>
      <c r="E166" s="5">
        <v>75</v>
      </c>
      <c r="F166" s="4" t="str">
        <f ca="1">IFERROR(__xludf.DUMMYFUNCTION("LOWER(REGEXREPLACE(B166&amp;"" ""&amp;C166,""[^а-яa-z0-9 ]"","" ""))")," ол ба дар  нтеллектум")</f>
        <v xml:space="preserve"> ол ба дар  нтеллектум</v>
      </c>
      <c r="G166" s="4" t="str">
        <f ca="1">IFERROR(__xludf.DUMMYFUNCTION("TEXTJOIN(""|"",TRUE,UNIQUE(FILTER(SPLIT(F166,"" ""),LEN(SPLIT(F166,"" ""))&gt;2)))"),"дар|нтеллектум")</f>
        <v>дар|нтеллектум</v>
      </c>
      <c r="I166" s="1"/>
      <c r="J166" s="1"/>
    </row>
    <row r="167" spans="1:10" x14ac:dyDescent="0.2">
      <c r="A167" s="8" t="s">
        <v>3103</v>
      </c>
      <c r="B167" s="7" t="s">
        <v>3102</v>
      </c>
      <c r="C167" s="7" t="s">
        <v>3101</v>
      </c>
      <c r="D167" s="6">
        <v>7200</v>
      </c>
      <c r="E167" s="5">
        <v>1</v>
      </c>
      <c r="F167" s="4" t="str">
        <f ca="1">IFERROR(__xludf.DUMMYFUNCTION("LOWER(REGEXREPLACE(B167&amp;"" ""&amp;C167,""[^а-яa-z0-9 ]"","" ""))")," ылдар ж не жа а жорамалдар   аза  оркестр    йыншы тар     тет леу лы")</f>
        <v xml:space="preserve"> ылдар ж не жа а жорамалдар   аза  оркестр    йыншы тар     тет леу лы</v>
      </c>
      <c r="G167" s="4" t="str">
        <f ca="1">IFERROR(__xludf.DUMMYFUNCTION("TEXTJOIN(""|"",TRUE,UNIQUE(FILTER(SPLIT(F167,"" ""),LEN(SPLIT(F167,"" ""))&gt;2)))"),"ылдар|жорамалдар|аза|оркестр|йыншы|тар|тет|леу")</f>
        <v>ылдар|жорамалдар|аза|оркестр|йыншы|тар|тет|леу</v>
      </c>
      <c r="I167" s="1"/>
      <c r="J167" s="1"/>
    </row>
    <row r="168" spans="1:10" x14ac:dyDescent="0.2">
      <c r="A168" s="8" t="s">
        <v>3100</v>
      </c>
      <c r="B168" s="7" t="s">
        <v>3099</v>
      </c>
      <c r="C168" s="7" t="s">
        <v>3098</v>
      </c>
      <c r="D168" s="6">
        <v>12600</v>
      </c>
      <c r="E168" s="5">
        <v>1</v>
      </c>
      <c r="F168" s="4" t="str">
        <f ca="1">IFERROR(__xludf.DUMMYFUNCTION("LOWER(REGEXREPLACE(B168&amp;"" ""&amp;C168,""[^а-яa-z0-9 ]"","" ""))")," ыраулардан жыр м ра  дилбеков     ")</f>
        <v xml:space="preserve"> ыраулардан жыр м ра  дилбеков     </v>
      </c>
      <c r="G168" s="4" t="str">
        <f ca="1">IFERROR(__xludf.DUMMYFUNCTION("TEXTJOIN(""|"",TRUE,UNIQUE(FILTER(SPLIT(F168,"" ""),LEN(SPLIT(F168,"" ""))&gt;2)))"),"ыраулардан|жыр|дилбеков")</f>
        <v>ыраулардан|жыр|дилбеков</v>
      </c>
      <c r="I168" s="1"/>
      <c r="J168" s="1"/>
    </row>
    <row r="169" spans="1:10" x14ac:dyDescent="0.2">
      <c r="A169" s="8" t="s">
        <v>3097</v>
      </c>
      <c r="B169" s="7" t="s">
        <v>3096</v>
      </c>
      <c r="C169" s="7" t="s">
        <v>2175</v>
      </c>
      <c r="D169" s="6">
        <v>13600</v>
      </c>
      <c r="E169" s="5">
        <v>1</v>
      </c>
      <c r="F169" s="4" t="str">
        <f ca="1">IFERROR(__xludf.DUMMYFUNCTION("LOWER(REGEXREPLACE(B169&amp;"" ""&amp;C169,""[^а-яa-z0-9 ]"","" ""))")," наю ли я своего ребенка   рактикум по детской психологии в помощь родителям  эри   ")</f>
        <v xml:space="preserve"> наю ли я своего ребенка   рактикум по детской психологии в помощь родителям  эри   </v>
      </c>
      <c r="G169" s="4" t="str">
        <f ca="1">IFERROR(__xludf.DUMMYFUNCTION("TEXTJOIN(""|"",TRUE,UNIQUE(FILTER(SPLIT(F169,"" ""),LEN(SPLIT(F169,"" ""))&gt;2)))"),"наю|своего|ребенка|рактикум|детской|психологии|помощь|родителям|эри")</f>
        <v>наю|своего|ребенка|рактикум|детской|психологии|помощь|родителям|эри</v>
      </c>
      <c r="I169" s="1"/>
      <c r="J169" s="1"/>
    </row>
    <row r="170" spans="1:10" x14ac:dyDescent="0.2">
      <c r="A170" s="8" t="s">
        <v>3095</v>
      </c>
      <c r="B170" s="7" t="s">
        <v>3094</v>
      </c>
      <c r="C170" s="7" t="s">
        <v>3093</v>
      </c>
      <c r="D170" s="6">
        <v>123500</v>
      </c>
      <c r="E170" s="5">
        <v>5</v>
      </c>
      <c r="F170" s="4" t="str">
        <f ca="1">IFERROR(__xludf.DUMMYFUNCTION("LOWER(REGEXREPLACE(B170&amp;"" ""&amp;C170,""[^а-яa-z0-9 ]"","" ""))")," она гидропоники  она гидропоники предназначена для размещения установок по выращиванию растений без почвы   спользуется для наблюдения за ростом растений и ухода за ними   снащается специализированным оборудованием ")</f>
        <v xml:space="preserve"> она гидропоники  она гидропоники предназначена для размещения установок по выращиванию растений без почвы   спользуется для наблюдения за ростом растений и ухода за ними   снащается специализированным оборудованием </v>
      </c>
      <c r="G170" s="4" t="str">
        <f ca="1">IFERROR(__xludf.DUMMYFUNCTION("TEXTJOIN(""|"",TRUE,UNIQUE(FILTER(SPLIT(F170,"" ""),LEN(SPLIT(F170,"" ""))&gt;2)))"),"она|гидропоники|она|гидропоники|предназначена|для|размещения|установок|выращиванию|растений|без|почвы|спользуется|для|наблюдения|ростом|растений|ухода|ними|снащается|специализированным|оборудованием")</f>
        <v>она|гидропоники|она|гидропоники|предназначена|для|размещения|установок|выращиванию|растений|без|почвы|спользуется|для|наблюдения|ростом|растений|ухода|ними|снащается|специализированным|оборудованием</v>
      </c>
      <c r="I170" s="1"/>
      <c r="J170" s="1"/>
    </row>
    <row r="171" spans="1:10" x14ac:dyDescent="0.2">
      <c r="A171" s="8" t="s">
        <v>3092</v>
      </c>
      <c r="B171" s="7" t="s">
        <v>3091</v>
      </c>
      <c r="C171" s="7" t="s">
        <v>3090</v>
      </c>
      <c r="D171" s="6">
        <v>1300</v>
      </c>
      <c r="E171" s="5">
        <v>6</v>
      </c>
      <c r="F171" s="4" t="str">
        <f ca="1">IFERROR(__xludf.DUMMYFUNCTION("LOWER(REGEXREPLACE(B171&amp;"" ""&amp;C171,""[^а-яa-z0-9 ]"","" ""))")," глы с тупым концом  набор   абор игл используется для шитья и ручных работ   упой конец обеспечивает безопасность при выполнении операций   рименяются при работе с тканью и другими мягкими материалами ")</f>
        <v xml:space="preserve"> глы с тупым концом  набор   абор игл используется для шитья и ручных работ   упой конец обеспечивает безопасность при выполнении операций   рименяются при работе с тканью и другими мягкими материалами </v>
      </c>
      <c r="G171" s="4" t="str">
        <f ca="1">IFERROR(__xludf.DUMMYFUNCTION("TEXTJOIN(""|"",TRUE,UNIQUE(FILTER(SPLIT(F171,"" ""),LEN(SPLIT(F171,"" ""))&gt;2)))"),"глы|тупым|концом|набор|абор|игл|используется|для|шитья|ручных|работ|упой|конец|обеспечивает|безопасность|при|выполнении|операций|рименяются|при|работе|тканью|другими|мягкими|материалами")</f>
        <v>глы|тупым|концом|набор|абор|игл|используется|для|шитья|ручных|работ|упой|конец|обеспечивает|безопасность|при|выполнении|операций|рименяются|при|работе|тканью|другими|мягкими|материалами</v>
      </c>
      <c r="I171" s="1"/>
      <c r="J171" s="1"/>
    </row>
    <row r="172" spans="1:10" x14ac:dyDescent="0.2">
      <c r="A172" s="8" t="s">
        <v>3089</v>
      </c>
      <c r="B172" s="7" t="s">
        <v>3088</v>
      </c>
      <c r="C172" s="7" t="s">
        <v>1025</v>
      </c>
      <c r="D172" s="6">
        <v>15300</v>
      </c>
      <c r="E172" s="5">
        <v>75</v>
      </c>
      <c r="F172" s="4" t="str">
        <f ca="1">IFERROR(__xludf.DUMMYFUNCTION("LOWER(REGEXREPLACE(B172&amp;"" ""&amp;C172,""[^а-яa-z0-9 ]"","" ""))"),"3    шб рыш  нтеллектум")</f>
        <v>3    шб рыш  нтеллектум</v>
      </c>
      <c r="G172" s="4" t="str">
        <f ca="1">IFERROR(__xludf.DUMMYFUNCTION("TEXTJOIN(""|"",TRUE,UNIQUE(FILTER(SPLIT(F172,"" ""),LEN(SPLIT(F172,"" ""))&gt;2)))"),"рыш|нтеллектум")</f>
        <v>рыш|нтеллектум</v>
      </c>
      <c r="I172" s="1"/>
      <c r="J172" s="1"/>
    </row>
    <row r="173" spans="1:10" x14ac:dyDescent="0.2">
      <c r="A173" s="8" t="s">
        <v>3087</v>
      </c>
      <c r="B173" s="7" t="s">
        <v>3086</v>
      </c>
      <c r="C173" s="7" t="s">
        <v>3085</v>
      </c>
      <c r="D173" s="6">
        <v>13300</v>
      </c>
      <c r="E173" s="5">
        <v>2</v>
      </c>
      <c r="F173" s="4" t="str">
        <f ca="1">IFERROR(__xludf.DUMMYFUNCTION("LOWER(REGEXREPLACE(B173&amp;"" ""&amp;C173,""[^а-яa-z0-9 ]"","" ""))")," гра   абивалка   адужные столбики   гра включает игровое поле  цветные столбики и молоток    процессе игры выполняются удары по столбикам для их перемещения   акая деятельность способствует развитию координации движений и точности действий   атериал изго"&amp;"товления   пластик ")</f>
        <v xml:space="preserve"> гра   абивалка   адужные столбики   гра включает игровое поле  цветные столбики и молоток    процессе игры выполняются удары по столбикам для их перемещения   акая деятельность способствует развитию координации движений и точности действий   атериал изготовления   пластик </v>
      </c>
      <c r="G173" s="4" t="str">
        <f ca="1">IFERROR(__xludf.DUMMYFUNCTION("TEXTJOIN(""|"",TRUE,UNIQUE(FILTER(SPLIT(F173,"" ""),LEN(SPLIT(F173,"" ""))&gt;2)))"),"гра|абивалка|адужные|столбики|гра|включает|игровое|поле|цветные|столбики|молоток|процессе|игры|выполняются|удары|столбикам|для|перемещения|акая|деятельность|способствует|развитию|координации|движений|точности|действий|атериал|изготовления|пластик")</f>
        <v>гра|абивалка|адужные|столбики|гра|включает|игровое|поле|цветные|столбики|молоток|процессе|игры|выполняются|удары|столбикам|для|перемещения|акая|деятельность|способствует|развитию|координации|движений|точности|действий|атериал|изготовления|пластик</v>
      </c>
      <c r="I173" s="1"/>
      <c r="J173" s="1"/>
    </row>
    <row r="174" spans="1:10" x14ac:dyDescent="0.2">
      <c r="A174" s="8" t="s">
        <v>3084</v>
      </c>
      <c r="B174" s="7" t="s">
        <v>3083</v>
      </c>
      <c r="C174" s="7" t="s">
        <v>3082</v>
      </c>
      <c r="D174" s="6">
        <v>12000</v>
      </c>
      <c r="E174" s="5">
        <v>1</v>
      </c>
      <c r="F174" s="4" t="str">
        <f ca="1">IFERROR(__xludf.DUMMYFUNCTION("LOWER(REGEXREPLACE(B174&amp;"" ""&amp;C174,""[^а-яa-z0-9 ]"","" ""))")," гра   атящийся шар   арабан   гровое изделие выполнено в форме барабана с размещ нными внутри цветными шарами    процессе игры выполняется перекатывание и вращение корпуса   акая деятельность способствует развитию зрительного восприятия и координации дви"&amp;"жений   атериал изготовления   дерево ")</f>
        <v xml:space="preserve"> гра   атящийся шар   арабан   гровое изделие выполнено в форме барабана с размещ нными внутри цветными шарами    процессе игры выполняется перекатывание и вращение корпуса   акая деятельность способствует развитию зрительного восприятия и координации движений   атериал изготовления   дерево </v>
      </c>
      <c r="G174" s="4" t="str">
        <f ca="1">IFERROR(__xludf.DUMMYFUNCTION("TEXTJOIN(""|"",TRUE,UNIQUE(FILTER(SPLIT(F174,"" ""),LEN(SPLIT(F174,"" ""))&gt;2)))"),"гра|атящийся|шар|арабан|гровое|изделие|выполнено|форме|барабана|размещ|нными|внутри|цветными|шарами|процессе|игры|выполняется|перекатывание|вращение|корпуса|акая|деятельность|способствует|развитию|зрительного|восприятия|координации|движений|атериал|изгото"&amp;"вления|дерево")</f>
        <v>гра|атящийся|шар|арабан|гровое|изделие|выполнено|форме|барабана|размещ|нными|внутри|цветными|шарами|процессе|игры|выполняется|перекатывание|вращение|корпуса|акая|деятельность|способствует|развитию|зрительного|восприятия|координации|движений|атериал|изготовления|дерево</v>
      </c>
      <c r="I174" s="1"/>
      <c r="J174" s="1"/>
    </row>
    <row r="175" spans="1:10" x14ac:dyDescent="0.2">
      <c r="A175" s="8" t="s">
        <v>3081</v>
      </c>
      <c r="B175" s="7" t="s">
        <v>3080</v>
      </c>
      <c r="C175" s="7" t="s">
        <v>3079</v>
      </c>
      <c r="D175" s="6">
        <v>6700</v>
      </c>
      <c r="E175" s="5">
        <v>14</v>
      </c>
      <c r="F175" s="4" t="str">
        <f ca="1">IFERROR(__xludf.DUMMYFUNCTION("LOWER(REGEXREPLACE(B175&amp;"" ""&amp;C175,""[^а-яa-z0-9 ]"","" ""))")," гра   лючи и замки   гровой набор включает элементы в виде замков и соответствующих ключей    процессе игры выполняется подбор ключа к замку и открывание   акая деятельность способствует развитию навыков соотнесения и координации движений   атериал изгот"&amp;"овления       пластик ")</f>
        <v xml:space="preserve"> гра   лючи и замки   гровой набор включает элементы в виде замков и соответствующих ключей    процессе игры выполняется подбор ключа к замку и открывание   акая деятельность способствует развитию навыков соотнесения и координации движений   атериал изготовления       пластик </v>
      </c>
      <c r="G175" s="4" t="str">
        <f ca="1">IFERROR(__xludf.DUMMYFUNCTION("TEXTJOIN(""|"",TRUE,UNIQUE(FILTER(SPLIT(F175,"" ""),LEN(SPLIT(F175,"" ""))&gt;2)))"),"гра|лючи|замки|гровой|набор|включает|элементы|виде|замков|соответствующих|ключей|процессе|игры|выполняется|подбор|ключа|замку|открывание|акая|деятельность|способствует|развитию|навыков|соотнесения|координации|движений|атериал|изготовления|пластик")</f>
        <v>гра|лючи|замки|гровой|набор|включает|элементы|виде|замков|соответствующих|ключей|процессе|игры|выполняется|подбор|ключа|замку|открывание|акая|деятельность|способствует|развитию|навыков|соотнесения|координации|движений|атериал|изготовления|пластик</v>
      </c>
      <c r="I175" s="1"/>
      <c r="J175" s="1"/>
    </row>
    <row r="176" spans="1:10" x14ac:dyDescent="0.2">
      <c r="A176" s="8" t="s">
        <v>3078</v>
      </c>
      <c r="B176" s="7" t="s">
        <v>3077</v>
      </c>
      <c r="C176" s="7" t="s">
        <v>3076</v>
      </c>
      <c r="D176" s="6">
        <v>5700</v>
      </c>
      <c r="E176" s="5">
        <v>1</v>
      </c>
      <c r="F176" s="4" t="str">
        <f ca="1">IFERROR(__xludf.DUMMYFUNCTION("LOWER(REGEXREPLACE(B176&amp;"" ""&amp;C176,""[^а-яa-z0-9 ]"","" ""))")," гра   уб сортировка   ортер выполнен в виде куба с отверстиями различной формы и набора фигур    процессе игры выполняется подбор фигур по форме и размеру   атериал изготовления   пластик ")</f>
        <v xml:space="preserve"> гра   уб сортировка   ортер выполнен в виде куба с отверстиями различной формы и набора фигур    процессе игры выполняется подбор фигур по форме и размеру   атериал изготовления   пластик </v>
      </c>
      <c r="G176" s="4" t="str">
        <f ca="1">IFERROR(__xludf.DUMMYFUNCTION("TEXTJOIN(""|"",TRUE,UNIQUE(FILTER(SPLIT(F176,"" ""),LEN(SPLIT(F176,"" ""))&gt;2)))"),"гра|сортировка|ортер|выполнен|виде|куба|отверстиями|различной|формы|набора|фигур|процессе|игры|выполняется|подбор|фигур|форме|размеру|атериал|изготовления|пластик")</f>
        <v>гра|сортировка|ортер|выполнен|виде|куба|отверстиями|различной|формы|набора|фигур|процессе|игры|выполняется|подбор|фигур|форме|размеру|атериал|изготовления|пластик</v>
      </c>
      <c r="I176" s="1"/>
      <c r="J176" s="1"/>
    </row>
    <row r="177" spans="1:10" x14ac:dyDescent="0.2">
      <c r="A177" s="8" t="s">
        <v>3075</v>
      </c>
      <c r="B177" s="7" t="s">
        <v>3074</v>
      </c>
      <c r="C177" s="7" t="s">
        <v>3073</v>
      </c>
      <c r="D177" s="6">
        <v>30400</v>
      </c>
      <c r="E177" s="5">
        <v>14</v>
      </c>
      <c r="F177" s="4" t="str">
        <f ca="1">IFERROR(__xludf.DUMMYFUNCTION("LOWER(REGEXREPLACE(B177&amp;"" ""&amp;C177,""[^а-яa-z0-9 ]"","" ""))")," гра для развития мелкой моторики  антистресс   гровой набор используется для выполнения манипулятивных действий руками    процессе игры выполняются сжимание  перекладывание и другие мелкие движения   атериалы изготовления   текстиль и пластик ")</f>
        <v xml:space="preserve"> гра для развития мелкой моторики  антистресс   гровой набор используется для выполнения манипулятивных действий руками    процессе игры выполняются сжимание  перекладывание и другие мелкие движения   атериалы изготовления   текстиль и пластик </v>
      </c>
      <c r="G177" s="4" t="str">
        <f ca="1">IFERROR(__xludf.DUMMYFUNCTION("TEXTJOIN(""|"",TRUE,UNIQUE(FILTER(SPLIT(F177,"" ""),LEN(SPLIT(F177,"" ""))&gt;2)))"),"гра|для|развития|мелкой|моторики|антистресс|гровой|набор|используется|для|выполнения|манипулятивных|действий|руками|процессе|игры|выполняются|сжимание|перекладывание|другие|мелкие|движения|атериалы|изготовления|текстиль|пластик")</f>
        <v>гра|для|развития|мелкой|моторики|антистресс|гровой|набор|используется|для|выполнения|манипулятивных|действий|руками|процессе|игры|выполняются|сжимание|перекладывание|другие|мелкие|движения|атериалы|изготовления|текстиль|пластик</v>
      </c>
      <c r="I177" s="1"/>
      <c r="J177" s="1"/>
    </row>
    <row r="178" spans="1:10" x14ac:dyDescent="0.2">
      <c r="A178" s="8" t="s">
        <v>3072</v>
      </c>
      <c r="B178" s="7" t="s">
        <v>3071</v>
      </c>
      <c r="C178" s="7" t="s">
        <v>3070</v>
      </c>
      <c r="D178" s="6">
        <v>33600</v>
      </c>
      <c r="E178" s="5">
        <v>7</v>
      </c>
      <c r="F178" s="4" t="str">
        <f ca="1">IFERROR(__xludf.DUMMYFUNCTION("LOWER(REGEXREPLACE(B178&amp;"" ""&amp;C178,""[^а-яa-z0-9 ]"","" ""))")," гра для сортировки   арики   гровой набор включает цветные элементы и  мкости для сортировки    процессе игры выполняется распределение элементов по цвету и количеству   атериал изготовления   дерево ")</f>
        <v xml:space="preserve"> гра для сортировки   арики   гровой набор включает цветные элементы и  мкости для сортировки    процессе игры выполняется распределение элементов по цвету и количеству   атериал изготовления   дерево </v>
      </c>
      <c r="G178" s="4" t="str">
        <f ca="1">IFERROR(__xludf.DUMMYFUNCTION("TEXTJOIN(""|"",TRUE,UNIQUE(FILTER(SPLIT(F178,"" ""),LEN(SPLIT(F178,"" ""))&gt;2)))"),"гра|для|сортировки|арики|гровой|набор|включает|цветные|элементы|мкости|для|сортировки|процессе|игры|выполняется|распределение|элементов|цвету|количеству|атериал|изготовления|дерево")</f>
        <v>гра|для|сортировки|арики|гровой|набор|включает|цветные|элементы|мкости|для|сортировки|процессе|игры|выполняется|распределение|элементов|цвету|количеству|атериал|изготовления|дерево</v>
      </c>
      <c r="I178" s="1"/>
      <c r="J178" s="1"/>
    </row>
    <row r="179" spans="1:10" x14ac:dyDescent="0.2">
      <c r="A179" s="8" t="s">
        <v>3069</v>
      </c>
      <c r="B179" s="7" t="s">
        <v>3068</v>
      </c>
      <c r="C179" s="7" t="s">
        <v>3067</v>
      </c>
      <c r="D179" s="6">
        <v>5700</v>
      </c>
      <c r="E179" s="5">
        <v>14</v>
      </c>
      <c r="F179" s="4" t="str">
        <f ca="1">IFERROR(__xludf.DUMMYFUNCTION("LOWER(REGEXREPLACE(B179&amp;"" ""&amp;C179,""[^а-яa-z0-9 ]"","" ""))")," гра на липучках   день девочку   астольная игра включает игровое поле и элементы одежды на липучках    процессе игры выполняется подбор и закрепление предметов одежды   абор включает не менее 25 элементов и рассчитан на настольное использование ")</f>
        <v xml:space="preserve"> гра на липучках   день девочку   астольная игра включает игровое поле и элементы одежды на липучках    процессе игры выполняется подбор и закрепление предметов одежды   абор включает не менее 25 элементов и рассчитан на настольное использование </v>
      </c>
      <c r="G179" s="4" t="str">
        <f ca="1">IFERROR(__xludf.DUMMYFUNCTION("TEXTJOIN(""|"",TRUE,UNIQUE(FILTER(SPLIT(F179,"" ""),LEN(SPLIT(F179,"" ""))&gt;2)))"),"гра|липучках|день|девочку|астольная|игра|включает|игровое|поле|элементы|одежды|липучках|процессе|игры|выполняется|подбор|закрепление|предметов|одежды|абор|включает|менее|элементов|рассчитан|настольное|использование")</f>
        <v>гра|липучках|день|девочку|астольная|игра|включает|игровое|поле|элементы|одежды|липучках|процессе|игры|выполняется|подбор|закрепление|предметов|одежды|абор|включает|менее|элементов|рассчитан|настольное|использование</v>
      </c>
      <c r="I179" s="1"/>
      <c r="J179" s="1"/>
    </row>
    <row r="180" spans="1:10" x14ac:dyDescent="0.2">
      <c r="A180" s="8" t="s">
        <v>3066</v>
      </c>
      <c r="B180" s="7" t="s">
        <v>3065</v>
      </c>
      <c r="C180" s="7" t="s">
        <v>3064</v>
      </c>
      <c r="D180" s="6">
        <v>76000</v>
      </c>
      <c r="E180" s="5">
        <v>5</v>
      </c>
      <c r="F180" s="4" t="str">
        <f ca="1">IFERROR(__xludf.DUMMYFUNCTION("LOWER(REGEXREPLACE(B180&amp;"" ""&amp;C180,""[^а-яa-z0-9 ]"","" ""))")," гровая зона   арикмахерская   гровая зона используется для организации сюжетно ролевых игр на тему ухода за внешностью   онструкция выполнена из      толщиной 16 мм   абариты зоны составляют около 900 450 1280 мм ")</f>
        <v xml:space="preserve"> гровая зона   арикмахерская   гровая зона используется для организации сюжетно ролевых игр на тему ухода за внешностью   онструкция выполнена из      толщиной 16 мм   абариты зоны составляют около 900 450 1280 мм </v>
      </c>
      <c r="G180" s="4" t="str">
        <f ca="1">IFERROR(__xludf.DUMMYFUNCTION("TEXTJOIN(""|"",TRUE,UNIQUE(FILTER(SPLIT(F180,"" ""),LEN(SPLIT(F180,"" ""))&gt;2)))"),"гровая|зона|арикмахерская|гровая|зона|используется|для|организации|сюжетно|ролевых|игр|тему|ухода|внешностью|онструкция|выполнена|толщиной|абариты|зоны|составляют|около|900|450|1280")</f>
        <v>гровая|зона|арикмахерская|гровая|зона|используется|для|организации|сюжетно|ролевых|игр|тему|ухода|внешностью|онструкция|выполнена|толщиной|абариты|зоны|составляют|около|900|450|1280</v>
      </c>
      <c r="I180" s="1"/>
      <c r="J180" s="1"/>
    </row>
    <row r="181" spans="1:10" x14ac:dyDescent="0.2">
      <c r="A181" s="8" t="s">
        <v>3063</v>
      </c>
      <c r="B181" s="7" t="s">
        <v>3062</v>
      </c>
      <c r="C181" s="7" t="s">
        <v>3061</v>
      </c>
      <c r="D181" s="6">
        <v>68800</v>
      </c>
      <c r="E181" s="5">
        <v>5</v>
      </c>
      <c r="F181" s="4" t="str">
        <f ca="1">IFERROR(__xludf.DUMMYFUNCTION("LOWER(REGEXREPLACE(B181&amp;"" ""&amp;C181,""[^а-яa-z0-9 ]"","" ""))")," гровая зона   ентр песка и воды   гровая зона предназначена для занятий с песком и водой   спользуется для организации практических и сенсорных игр   онструкция выполнена из      толщиной 16 мм с противоударной кромкой       азмеры зоны   около 900 500 6"&amp;"00 мм ")</f>
        <v xml:space="preserve"> гровая зона   ентр песка и воды   гровая зона предназначена для занятий с песком и водой   спользуется для организации практических и сенсорных игр   онструкция выполнена из      толщиной 16 мм с противоударной кромкой       азмеры зоны   около 900 500 600 мм </v>
      </c>
      <c r="G181" s="4" t="str">
        <f ca="1">IFERROR(__xludf.DUMMYFUNCTION("TEXTJOIN(""|"",TRUE,UNIQUE(FILTER(SPLIT(F181,"" ""),LEN(SPLIT(F181,"" ""))&gt;2)))"),"гровая|зона|ентр|песка|воды|гровая|зона|предназначена|для|занятий|песком|водой|спользуется|для|организации|практических|сенсорных|игр|онструкция|выполнена|толщиной|противоударной|кромкой|азмеры|зоны|около|900|500|600")</f>
        <v>гровая|зона|ентр|песка|воды|гровая|зона|предназначена|для|занятий|песком|водой|спользуется|для|организации|практических|сенсорных|игр|онструкция|выполнена|толщиной|противоударной|кромкой|азмеры|зоны|около|900|500|600</v>
      </c>
      <c r="I181" s="1"/>
      <c r="J181" s="1"/>
    </row>
    <row r="182" spans="1:10" x14ac:dyDescent="0.2">
      <c r="A182" s="8" t="s">
        <v>3060</v>
      </c>
      <c r="B182" s="7" t="s">
        <v>3059</v>
      </c>
      <c r="C182" s="7" t="s">
        <v>3058</v>
      </c>
      <c r="D182" s="6">
        <v>47500</v>
      </c>
      <c r="E182" s="5">
        <v>5</v>
      </c>
      <c r="F182" s="4" t="str">
        <f ca="1">IFERROR(__xludf.DUMMYFUNCTION("LOWER(REGEXREPLACE(B182&amp;"" ""&amp;C182,""[^а-яa-z0-9 ]"","" ""))")," гровая парковка для машин  гровая парковка представляет собой конструкцию для размещения игрушечных автомобилей и разыгрывания ситуаций движения и стоянки    процессе игры выполняются действия по перемещению машин и организации маршрутов   акая форма игр"&amp;"ы способствует развитию воображения и представлений о транспорте   онструкция рассчитана на многократное использование ")</f>
        <v xml:space="preserve"> гровая парковка для машин  гровая парковка представляет собой конструкцию для размещения игрушечных автомобилей и разыгрывания ситуаций движения и стоянки    процессе игры выполняются действия по перемещению машин и организации маршрутов   акая форма игры способствует развитию воображения и представлений о транспорте   онструкция рассчитана на многократное использование </v>
      </c>
      <c r="G182" s="4" t="str">
        <f ca="1">IFERROR(__xludf.DUMMYFUNCTION("TEXTJOIN(""|"",TRUE,UNIQUE(FILTER(SPLIT(F182,"" ""),LEN(SPLIT(F182,"" ""))&gt;2)))"),"гровая|парковка|для|машин|гровая|парковка|представляет|собой|конструкцию|для|размещения|игрушечных|автомобилей|разыгрывания|ситуаций|движения|стоянки|процессе|игры|выполняются|действия|перемещению|машин|организации|маршрутов|акая|форма|игры|способствует|р"&amp;"азвитию|воображения|представлений|транспорте|онструкция|рассчитана|многократное|использование")</f>
        <v>гровая|парковка|для|машин|гровая|парковка|представляет|собой|конструкцию|для|размещения|игрушечных|автомобилей|разыгрывания|ситуаций|движения|стоянки|процессе|игры|выполняются|действия|перемещению|машин|организации|маршрутов|акая|форма|игры|способствует|развитию|воображения|представлений|транспорте|онструкция|рассчитана|многократное|использование</v>
      </c>
      <c r="I182" s="1"/>
      <c r="J182" s="1"/>
    </row>
    <row r="183" spans="1:10" x14ac:dyDescent="0.2">
      <c r="A183" s="8" t="s">
        <v>3057</v>
      </c>
      <c r="B183" s="7" t="s">
        <v>3056</v>
      </c>
      <c r="C183" s="7" t="s">
        <v>2414</v>
      </c>
      <c r="D183" s="6">
        <v>1400</v>
      </c>
      <c r="E183" s="5">
        <v>1</v>
      </c>
      <c r="F183" s="4" t="str">
        <f ca="1">IFERROR(__xludf.DUMMYFUNCTION("LOWER(REGEXREPLACE(B183&amp;"" ""&amp;C183,""[^а-яa-z0-9 ]"","" ""))"),"   ылды  бояма     л к    мная  раскраска   аскрась по коду   ранспорт  енаги   ")</f>
        <v xml:space="preserve">   ылды  бояма     л к    мная  раскраска   аскрась по коду   ранспорт  енаги   </v>
      </c>
      <c r="G183" s="4" t="str">
        <f ca="1">IFERROR(__xludf.DUMMYFUNCTION("TEXTJOIN(""|"",TRUE,UNIQUE(FILTER(SPLIT(F183,"" ""),LEN(SPLIT(F183,"" ""))&gt;2)))"),"ылды|бояма|мная|раскраска|аскрась|коду|ранспорт|енаги")</f>
        <v>ылды|бояма|мная|раскраска|аскрась|коду|ранспорт|енаги</v>
      </c>
      <c r="I183" s="1"/>
      <c r="J183" s="1"/>
    </row>
    <row r="184" spans="1:10" x14ac:dyDescent="0.2">
      <c r="A184" s="8" t="s">
        <v>3055</v>
      </c>
      <c r="B184" s="7" t="s">
        <v>3054</v>
      </c>
      <c r="C184" s="7" t="s">
        <v>3021</v>
      </c>
      <c r="D184" s="6">
        <v>11000</v>
      </c>
      <c r="E184" s="5">
        <v>1</v>
      </c>
      <c r="F184" s="4" t="str">
        <f ca="1">IFERROR(__xludf.DUMMYFUNCTION("LOWER(REGEXREPLACE(B184&amp;"" ""&amp;C184,""[^а-яa-z0-9 ]"","" ""))")," бай   ара с здер  бай   брагим   унанбаев")</f>
        <v xml:space="preserve"> бай   ара с здер  бай   брагим   унанбаев</v>
      </c>
      <c r="G184" s="4" t="str">
        <f ca="1">IFERROR(__xludf.DUMMYFUNCTION("TEXTJOIN(""|"",TRUE,UNIQUE(FILTER(SPLIT(F184,"" ""),LEN(SPLIT(F184,"" ""))&gt;2)))"),"бай|ара|здер|бай|брагим|унанбаев")</f>
        <v>бай|ара|здер|бай|брагим|унанбаев</v>
      </c>
      <c r="I184" s="1"/>
      <c r="J184" s="1"/>
    </row>
    <row r="185" spans="1:10" x14ac:dyDescent="0.2">
      <c r="A185" s="8" t="s">
        <v>3053</v>
      </c>
      <c r="B185" s="7" t="s">
        <v>3052</v>
      </c>
      <c r="C185" s="7" t="s">
        <v>3051</v>
      </c>
      <c r="D185" s="6">
        <v>22700</v>
      </c>
      <c r="E185" s="5">
        <v>5</v>
      </c>
      <c r="F185" s="4" t="str">
        <f ca="1">IFERROR(__xludf.DUMMYFUNCTION("LOWER(REGEXREPLACE(B185&amp;"" ""&amp;C185,""[^а-яa-z0-9 ]"","" ""))")," гровой дом с куклой  мебелью и аксессуарами  гровой набор предназначен для сюжетно ролевых игр детей дошкольного возраста   остоит из двухуровневого дома с несколькими игровыми зонами  кухня  ванная  столовая  спальня   куклы  фигурки питомца  мебели и а"&amp;"ксессуаров   пособствует развитию воображения  социальных и коммуникативных навыков ")</f>
        <v xml:space="preserve"> гровой дом с куклой  мебелью и аксессуарами  гровой набор предназначен для сюжетно ролевых игр детей дошкольного возраста   остоит из двухуровневого дома с несколькими игровыми зонами  кухня  ванная  столовая  спальня   куклы  фигурки питомца  мебели и аксессуаров   пособствует развитию воображения  социальных и коммуникативных навыков </v>
      </c>
      <c r="G185" s="4" t="str">
        <f ca="1">IFERROR(__xludf.DUMMYFUNCTION("TEXTJOIN(""|"",TRUE,UNIQUE(FILTER(SPLIT(F185,"" ""),LEN(SPLIT(F185,"" ""))&gt;2)))"),"гровой|дом|куклой|мебелью|аксессуарами|гровой|набор|предназначен|для|сюжетно|ролевых|игр|детей|дошкольного|возраста|остоит|двухуровневого|дома|несколькими|игровыми|зонами|кухня|ванная|столовая|спальня|куклы|фигурки|питомца|мебели|аксессуаров|пособствует|р"&amp;"азвитию|воображения|социальных|коммуникативных|навыков")</f>
        <v>гровой|дом|куклой|мебелью|аксессуарами|гровой|набор|предназначен|для|сюжетно|ролевых|игр|детей|дошкольного|возраста|остоит|двухуровневого|дома|несколькими|игровыми|зонами|кухня|ванная|столовая|спальня|куклы|фигурки|питомца|мебели|аксессуаров|пособствует|развитию|воображения|социальных|коммуникативных|навыков</v>
      </c>
      <c r="I185" s="1"/>
      <c r="J185" s="1"/>
    </row>
    <row r="186" spans="1:10" x14ac:dyDescent="0.2">
      <c r="A186" s="8" t="s">
        <v>3050</v>
      </c>
      <c r="B186" s="7" t="s">
        <v>3049</v>
      </c>
      <c r="C186" s="7" t="s">
        <v>3048</v>
      </c>
      <c r="D186" s="6">
        <v>66400</v>
      </c>
      <c r="E186" s="5">
        <v>5</v>
      </c>
      <c r="F186" s="4" t="str">
        <f ca="1">IFERROR(__xludf.DUMMYFUNCTION("LOWER(REGEXREPLACE(B186&amp;"" ""&amp;C186,""[^а-яa-z0-9 ]"","" ""))")," гровой кассовый аппарат  гровой набор используется для сюжетно ролевых игр на тему магазина    процессе игры выполняются действия по имитации покупок и расч тов   абор включает кассовый аппарат и аксессуары ")</f>
        <v xml:space="preserve"> гровой кассовый аппарат  гровой набор используется для сюжетно ролевых игр на тему магазина    процессе игры выполняются действия по имитации покупок и расч тов   абор включает кассовый аппарат и аксессуары </v>
      </c>
      <c r="G186" s="4" t="str">
        <f ca="1">IFERROR(__xludf.DUMMYFUNCTION("TEXTJOIN(""|"",TRUE,UNIQUE(FILTER(SPLIT(F186,"" ""),LEN(SPLIT(F186,"" ""))&gt;2)))"),"гровой|кассовый|аппарат|гровой|набор|используется|для|сюжетно|ролевых|игр|тему|магазина|процессе|игры|выполняются|действия|имитации|покупок|расч|тов|абор|включает|кассовый|аппарат|аксессуары")</f>
        <v>гровой|кассовый|аппарат|гровой|набор|используется|для|сюжетно|ролевых|игр|тему|магазина|процессе|игры|выполняются|действия|имитации|покупок|расч|тов|абор|включает|кассовый|аппарат|аксессуары</v>
      </c>
      <c r="I186" s="1"/>
      <c r="J186" s="1"/>
    </row>
    <row r="187" spans="1:10" x14ac:dyDescent="0.2">
      <c r="A187" s="8" t="s">
        <v>3047</v>
      </c>
      <c r="B187" s="7" t="s">
        <v>3046</v>
      </c>
      <c r="C187" s="7" t="s">
        <v>3045</v>
      </c>
      <c r="D187" s="6">
        <v>27600</v>
      </c>
      <c r="E187" s="5">
        <v>10</v>
      </c>
      <c r="F187" s="4" t="str">
        <f ca="1">IFERROR(__xludf.DUMMYFUNCTION("LOWER(REGEXREPLACE(B187&amp;"" ""&amp;C187,""[^а-яa-z0-9 ]"","" ""))")," гровой комплект для изучения основ электричества  гровой комплект используется для сборки простых электрических схем без пайки    процессе работы выполняется соединение элементов и выполнение экспериментальных заданий   абор включает не менее 17 деталей "&amp;"и позволяет собрать до 15 проектов   атериал изготовления   полимер ")</f>
        <v xml:space="preserve"> гровой комплект для изучения основ электричества  гровой комплект используется для сборки простых электрических схем без пайки    процессе работы выполняется соединение элементов и выполнение экспериментальных заданий   абор включает не менее 17 деталей и позволяет собрать до 15 проектов   атериал изготовления   полимер </v>
      </c>
      <c r="G187" s="4" t="str">
        <f ca="1">IFERROR(__xludf.DUMMYFUNCTION("TEXTJOIN(""|"",TRUE,UNIQUE(FILTER(SPLIT(F187,"" ""),LEN(SPLIT(F187,"" ""))&gt;2)))"),"гровой|комплект|для|изучения|основ|электричества|гровой|комплект|используется|для|сборки|простых|электрических|схем|без|пайки|процессе|работы|выполняется|соединение|элементов|выполнение|экспериментальных|заданий|абор|включает|менее|деталей|позволяет|собра"&amp;"ть|проектов|атериал|изготовления|полимер")</f>
        <v>гровой|комплект|для|изучения|основ|электричества|гровой|комплект|используется|для|сборки|простых|электрических|схем|без|пайки|процессе|работы|выполняется|соединение|элементов|выполнение|экспериментальных|заданий|абор|включает|менее|деталей|позволяет|собрать|проектов|атериал|изготовления|полимер</v>
      </c>
      <c r="I187" s="1"/>
      <c r="J187" s="1"/>
    </row>
    <row r="188" spans="1:10" x14ac:dyDescent="0.2">
      <c r="A188" s="8" t="s">
        <v>3044</v>
      </c>
      <c r="B188" s="7" t="s">
        <v>3043</v>
      </c>
      <c r="C188" s="7" t="s">
        <v>3042</v>
      </c>
      <c r="D188" s="6">
        <v>84600</v>
      </c>
      <c r="E188" s="5">
        <v>7</v>
      </c>
      <c r="F188" s="4" t="str">
        <f ca="1">IFERROR(__xludf.DUMMYFUNCTION("LOWER(REGEXREPLACE(B188&amp;"" ""&amp;C188,""[^а-яa-z0-9 ]"","" ""))")," гровой кукольный набор  гровой набор из серии   арби  от известного производителя  attel станет просто прекрасным подарком для юных поклонниц вселенной  arbie   олностью меблированный кукольный дом с куклой  арби  е  очаровательным щенком и множеством ст"&amp;"ильных аксессуаров  включающих в себя обеденный стол и стулья  посуду  уютное одеяло и много другое   арби готова играть весь день   гровой набор удобно складывается   собенности   2 уровня 4 игровые зоны игровые зоны включают ванную комнату  кухню  столо"&amp;"вую и спальню  оформленные в красочном стиле комплект легко складывать    комплекте  дом  кукла  питомец  мебель и множество тематических аксессуаров ")</f>
        <v xml:space="preserve"> гровой кукольный набор  гровой набор из серии   арби  от известного производителя  attel станет просто прекрасным подарком для юных поклонниц вселенной  arbie   олностью меблированный кукольный дом с куклой  арби  е  очаровательным щенком и множеством стильных аксессуаров  включающих в себя обеденный стол и стулья  посуду  уютное одеяло и много другое   арби готова играть весь день   гровой набор удобно складывается   собенности   2 уровня 4 игровые зоны игровые зоны включают ванную комнату  кухню  столовую и спальню  оформленные в красочном стиле комплект легко складывать    комплекте  дом  кукла  питомец  мебель и множество тематических аксессуаров </v>
      </c>
      <c r="G188" s="4" t="str">
        <f ca="1">IFERROR(__xludf.DUMMYFUNCTION("TEXTJOIN(""|"",TRUE,UNIQUE(FILTER(SPLIT(F188,"" ""),LEN(SPLIT(F188,"" ""))&gt;2)))"),"гровой|кукольный|набор|гровой|набор|серии|арби|известного|производителя|attel|станет|просто|прекрасным|подарком|для|юных|поклонниц|вселенной|arbie|олностью|меблированный|кукольный|дом|куклой|арби|очаровательным|щенком|множеством|стильных|аксессуаров|включ"&amp;"ающих|себя|обеденный|стол|стулья|посуду|уютное|одеяло|много|другое|арби|готова|играть|весь|день|гровой|набор|удобно|складывается|собенности|уровня|игровые|зоны|игровые|зоны|включают|ванную|комнату|кухню|столовую|спальню|оформленные|красочном|стиле|комплек"&amp;"т|легко|складывать|комплекте|дом|кукла|питомец|мебель|множество|тематических|аксессуаров")</f>
        <v>гровой|кукольный|набор|гровой|набор|серии|арби|известного|производителя|attel|станет|просто|прекрасным|подарком|для|юных|поклонниц|вселенной|arbie|олностью|меблированный|кукольный|дом|куклой|арби|очаровательным|щенком|множеством|стильных|аксессуаров|включающих|себя|обеденный|стол|стулья|посуду|уютное|одеяло|много|другое|арби|готова|играть|весь|день|гровой|набор|удобно|складывается|собенности|уровня|игровые|зоны|игровые|зоны|включают|ванную|комнату|кухню|столовую|спальню|оформленные|красочном|стиле|комплект|легко|складывать|комплекте|дом|кукла|питомец|мебель|множество|тематических|аксессуаров</v>
      </c>
      <c r="I188" s="1"/>
      <c r="J188" s="1"/>
    </row>
    <row r="189" spans="1:10" x14ac:dyDescent="0.2">
      <c r="A189" s="8" t="s">
        <v>3041</v>
      </c>
      <c r="B189" s="7" t="s">
        <v>3040</v>
      </c>
      <c r="C189" s="7" t="s">
        <v>3039</v>
      </c>
      <c r="D189" s="6">
        <v>9500</v>
      </c>
      <c r="E189" s="5">
        <v>5</v>
      </c>
      <c r="F189" s="4" t="str">
        <f ca="1">IFERROR(__xludf.DUMMYFUNCTION("LOWER(REGEXREPLACE(B189&amp;"" ""&amp;C189,""[^а-яa-z0-9 ]"","" ""))")," гровой набор   лендер  со светом и звуком  гровой набор используется для сюжетно ролевых игр на тему кухни    комплект входит блендер и имитация продуктов   зделие оснащено световыми и звуковыми эффектами и работает от элементов питания ")</f>
        <v xml:space="preserve"> гровой набор   лендер  со светом и звуком  гровой набор используется для сюжетно ролевых игр на тему кухни    комплект входит блендер и имитация продуктов   зделие оснащено световыми и звуковыми эффектами и работает от элементов питания </v>
      </c>
      <c r="G189" s="4" t="str">
        <f ca="1">IFERROR(__xludf.DUMMYFUNCTION("TEXTJOIN(""|"",TRUE,UNIQUE(FILTER(SPLIT(F189,"" ""),LEN(SPLIT(F189,"" ""))&gt;2)))"),"гровой|набор|лендер|светом|звуком|гровой|набор|используется|для|сюжетно|ролевых|игр|тему|кухни|комплект|входит|блендер|имитация|продуктов|зделие|оснащено|световыми|звуковыми|эффектами|работает|элементов|питания")</f>
        <v>гровой|набор|лендер|светом|звуком|гровой|набор|используется|для|сюжетно|ролевых|игр|тему|кухни|комплект|входит|блендер|имитация|продуктов|зделие|оснащено|световыми|звуковыми|эффектами|работает|элементов|питания</v>
      </c>
      <c r="I189" s="1"/>
      <c r="J189" s="1"/>
    </row>
    <row r="190" spans="1:10" x14ac:dyDescent="0.2">
      <c r="A190" s="8" t="s">
        <v>3038</v>
      </c>
      <c r="B190" s="7" t="s">
        <v>3037</v>
      </c>
      <c r="C190" s="7" t="s">
        <v>3036</v>
      </c>
      <c r="D190" s="6">
        <v>10500</v>
      </c>
      <c r="E190" s="5">
        <v>5</v>
      </c>
      <c r="F190" s="4" t="str">
        <f ca="1">IFERROR(__xludf.DUMMYFUNCTION("LOWER(REGEXREPLACE(B190&amp;"" ""&amp;C190,""[^а-яa-z0-9 ]"","" ""))")," гровой набор   есы   гровой набор включает весы с двумя лотками и набор грузов различной массы    процессе игры выполняется взвешивание и сравнение предметов   атериал изготовления   пластик ")</f>
        <v xml:space="preserve"> гровой набор   есы   гровой набор включает весы с двумя лотками и набор грузов различной массы    процессе игры выполняется взвешивание и сравнение предметов   атериал изготовления   пластик </v>
      </c>
      <c r="G190" s="4" t="str">
        <f ca="1">IFERROR(__xludf.DUMMYFUNCTION("TEXTJOIN(""|"",TRUE,UNIQUE(FILTER(SPLIT(F190,"" ""),LEN(SPLIT(F190,"" ""))&gt;2)))"),"гровой|набор|есы|гровой|набор|включает|весы|двумя|лотками|набор|грузов|различной|массы|процессе|игры|выполняется|взвешивание|сравнение|предметов|атериал|изготовления|пластик")</f>
        <v>гровой|набор|есы|гровой|набор|включает|весы|двумя|лотками|набор|грузов|различной|массы|процессе|игры|выполняется|взвешивание|сравнение|предметов|атериал|изготовления|пластик</v>
      </c>
      <c r="I190" s="1"/>
      <c r="J190" s="1"/>
    </row>
    <row r="191" spans="1:10" x14ac:dyDescent="0.2">
      <c r="A191" s="8" t="s">
        <v>3035</v>
      </c>
      <c r="B191" s="7" t="s">
        <v>3034</v>
      </c>
      <c r="C191" s="7" t="s">
        <v>3033</v>
      </c>
      <c r="D191" s="6">
        <v>14600</v>
      </c>
      <c r="E191" s="5">
        <v>7</v>
      </c>
      <c r="F191" s="4" t="str">
        <f ca="1">IFERROR(__xludf.DUMMYFUNCTION("LOWER(REGEXREPLACE(B191&amp;"" ""&amp;C191,""[^а-яa-z0-9 ]"","" ""))")," гровой набор   октор   гровой набор используется для сюжетно ролевых игр на тему медицинской помощи   ключает игровые инструменты врача   атериал изготовления   пластик ")</f>
        <v xml:space="preserve"> гровой набор   октор   гровой набор используется для сюжетно ролевых игр на тему медицинской помощи   ключает игровые инструменты врача   атериал изготовления   пластик </v>
      </c>
      <c r="G191" s="4" t="str">
        <f ca="1">IFERROR(__xludf.DUMMYFUNCTION("TEXTJOIN(""|"",TRUE,UNIQUE(FILTER(SPLIT(F191,"" ""),LEN(SPLIT(F191,"" ""))&gt;2)))"),"гровой|набор|октор|гровой|набор|используется|для|сюжетно|ролевых|игр|тему|медицинской|помощи|ключает|игровые|инструменты|врача|атериал|изготовления|пластик")</f>
        <v>гровой|набор|октор|гровой|набор|используется|для|сюжетно|ролевых|игр|тему|медицинской|помощи|ключает|игровые|инструменты|врача|атериал|изготовления|пластик</v>
      </c>
      <c r="I191" s="1"/>
      <c r="J191" s="1"/>
    </row>
    <row r="192" spans="1:10" x14ac:dyDescent="0.2">
      <c r="A192" s="8" t="s">
        <v>3032</v>
      </c>
      <c r="B192" s="7" t="s">
        <v>3031</v>
      </c>
      <c r="C192" s="7" t="s">
        <v>3030</v>
      </c>
      <c r="D192" s="6">
        <v>34000</v>
      </c>
      <c r="E192" s="5">
        <v>5</v>
      </c>
      <c r="F192" s="4" t="str">
        <f ca="1">IFERROR(__xludf.DUMMYFUNCTION("LOWER(REGEXREPLACE(B192&amp;"" ""&amp;C192,""[^а-яa-z0-9 ]"","" ""))")," гровой набор   ассовый аппарат   южетно ролевой игровой набор  предназначенный для игр в магазин    комплект входят кассовый аппарат с кнопками  сканер  игровые продукты  деньги и аксессуары   бщее количество предметов   около 24   спользуется для развит"&amp;"ия социальных навыков  речи и элементарных математических представлений ")</f>
        <v xml:space="preserve"> гровой набор   ассовый аппарат   южетно ролевой игровой набор  предназначенный для игр в магазин    комплект входят кассовый аппарат с кнопками  сканер  игровые продукты  деньги и аксессуары   бщее количество предметов   около 24   спользуется для развития социальных навыков  речи и элементарных математических представлений </v>
      </c>
      <c r="G192" s="4" t="str">
        <f ca="1">IFERROR(__xludf.DUMMYFUNCTION("TEXTJOIN(""|"",TRUE,UNIQUE(FILTER(SPLIT(F192,"" ""),LEN(SPLIT(F192,"" ""))&gt;2)))"),"гровой|набор|ассовый|аппарат|южетно|ролевой|игровой|набор|предназначенный|для|игр|магазин|комплект|входят|кассовый|аппарат|кнопками|сканер|игровые|продукты|деньги|аксессуары|бщее|количество|предметов|около|спользуется|для|развития|социальных|навыков|речи|"&amp;"элементарных|математических|представлений")</f>
        <v>гровой|набор|ассовый|аппарат|южетно|ролевой|игровой|набор|предназначенный|для|игр|магазин|комплект|входят|кассовый|аппарат|кнопками|сканер|игровые|продукты|деньги|аксессуары|бщее|количество|предметов|около|спользуется|для|развития|социальных|навыков|речи|элементарных|математических|представлений</v>
      </c>
      <c r="I192" s="1"/>
      <c r="J192" s="1"/>
    </row>
    <row r="193" spans="1:10" x14ac:dyDescent="0.2">
      <c r="A193" s="8" t="s">
        <v>3029</v>
      </c>
      <c r="B193" s="7" t="s">
        <v>3028</v>
      </c>
      <c r="C193" s="7" t="s">
        <v>3027</v>
      </c>
      <c r="D193" s="6">
        <v>8500</v>
      </c>
      <c r="E193" s="5">
        <v>5</v>
      </c>
      <c r="F193" s="4" t="str">
        <f ca="1">IFERROR(__xludf.DUMMYFUNCTION("LOWER(REGEXREPLACE(B193&amp;"" ""&amp;C193,""[^а-яa-z0-9 ]"","" ""))")," гровой набор   орзина с продуктами   абор предназначен для сюжетно ролевых игр на тему приготовления и выбора продуктов    комплект входит корзина и набор овощей  а также разделочная доска и игровой нож   редметы имеют размеры  удобные для детской руки  "&amp;" атериал изготовления   пластик ")</f>
        <v xml:space="preserve"> гровой набор   орзина с продуктами   абор предназначен для сюжетно ролевых игр на тему приготовления и выбора продуктов    комплект входит корзина и набор овощей  а также разделочная доска и игровой нож   редметы имеют размеры  удобные для детской руки   атериал изготовления   пластик </v>
      </c>
      <c r="G193" s="4" t="str">
        <f ca="1">IFERROR(__xludf.DUMMYFUNCTION("TEXTJOIN(""|"",TRUE,UNIQUE(FILTER(SPLIT(F193,"" ""),LEN(SPLIT(F193,"" ""))&gt;2)))"),"гровой|набор|орзина|продуктами|абор|предназначен|для|сюжетно|ролевых|игр|тему|приготовления|выбора|продуктов|комплект|входит|корзина|набор|овощей|также|разделочная|доска|игровой|нож|редметы|имеют|размеры|удобные|для|детской|руки|атериал|изготовления|пласт"&amp;"ик")</f>
        <v>гровой|набор|орзина|продуктами|абор|предназначен|для|сюжетно|ролевых|игр|тему|приготовления|выбора|продуктов|комплект|входит|корзина|набор|овощей|также|разделочная|доска|игровой|нож|редметы|имеют|размеры|удобные|для|детской|руки|атериал|изготовления|пластик</v>
      </c>
      <c r="I193" s="1"/>
      <c r="J193" s="1"/>
    </row>
    <row r="194" spans="1:10" x14ac:dyDescent="0.2">
      <c r="A194" s="8" t="s">
        <v>3026</v>
      </c>
      <c r="B194" s="7" t="s">
        <v>3025</v>
      </c>
      <c r="C194" s="7" t="s">
        <v>3024</v>
      </c>
      <c r="D194" s="6">
        <v>59700</v>
      </c>
      <c r="E194" s="5">
        <v>5</v>
      </c>
      <c r="F194" s="4" t="str">
        <f ca="1">IFERROR(__xludf.DUMMYFUNCTION("LOWER(REGEXREPLACE(B194&amp;"" ""&amp;C194,""[^а-яa-z0-9 ]"","" ""))")," гровой набор   онеты и купюры   абор используется как дополнительный элемент сюжетных игр на тему магазина и расч тов    комплект входят бумажные купюры и пластиковые монеты различных номиналов   рименяется в настольных и ролевых играх ")</f>
        <v xml:space="preserve"> гровой набор   онеты и купюры   абор используется как дополнительный элемент сюжетных игр на тему магазина и расч тов    комплект входят бумажные купюры и пластиковые монеты различных номиналов   рименяется в настольных и ролевых играх </v>
      </c>
      <c r="G194" s="4" t="str">
        <f ca="1">IFERROR(__xludf.DUMMYFUNCTION("TEXTJOIN(""|"",TRUE,UNIQUE(FILTER(SPLIT(F194,"" ""),LEN(SPLIT(F194,"" ""))&gt;2)))"),"гровой|набор|онеты|купюры|абор|используется|как|дополнительный|элемент|сюжетных|игр|тему|магазина|расч|тов|комплект|входят|бумажные|купюры|пластиковые|монеты|различных|номиналов|рименяется|настольных|ролевых|играх")</f>
        <v>гровой|набор|онеты|купюры|абор|используется|как|дополнительный|элемент|сюжетных|игр|тему|магазина|расч|тов|комплект|входят|бумажные|купюры|пластиковые|монеты|различных|номиналов|рименяется|настольных|ролевых|играх</v>
      </c>
      <c r="I194" s="1"/>
      <c r="J194" s="1"/>
    </row>
    <row r="195" spans="1:10" x14ac:dyDescent="0.2">
      <c r="A195" s="8" t="s">
        <v>3023</v>
      </c>
      <c r="B195" s="7" t="s">
        <v>3022</v>
      </c>
      <c r="C195" s="7" t="s">
        <v>3021</v>
      </c>
      <c r="D195" s="6">
        <v>11000</v>
      </c>
      <c r="E195" s="5">
        <v>1</v>
      </c>
      <c r="F195" s="4" t="str">
        <f ca="1">IFERROR(__xludf.DUMMYFUNCTION("LOWER(REGEXREPLACE(B195&amp;"" ""&amp;C195,""[^а-яa-z0-9 ]"","" ""))")," бай   лова назидания  бай   брагим   унанбаев")</f>
        <v xml:space="preserve"> бай   лова назидания  бай   брагим   унанбаев</v>
      </c>
      <c r="G195" s="4" t="str">
        <f ca="1">IFERROR(__xludf.DUMMYFUNCTION("TEXTJOIN(""|"",TRUE,UNIQUE(FILTER(SPLIT(F195,"" ""),LEN(SPLIT(F195,"" ""))&gt;2)))"),"бай|лова|назидания|бай|брагим|унанбаев")</f>
        <v>бай|лова|назидания|бай|брагим|унанбаев</v>
      </c>
      <c r="I195" s="1"/>
      <c r="J195" s="1"/>
    </row>
    <row r="196" spans="1:10" x14ac:dyDescent="0.2">
      <c r="A196" s="8" t="s">
        <v>3020</v>
      </c>
      <c r="B196" s="7" t="s">
        <v>3019</v>
      </c>
      <c r="C196" s="7" t="s">
        <v>3018</v>
      </c>
      <c r="D196" s="6">
        <v>18300</v>
      </c>
      <c r="E196" s="5">
        <v>5</v>
      </c>
      <c r="F196" s="4" t="str">
        <f ca="1">IFERROR(__xludf.DUMMYFUNCTION("LOWER(REGEXREPLACE(B196&amp;"" ""&amp;C196,""[^а-яa-z0-9 ]"","" ""))")," гровой набор   оя мастерская   гровой набор используется для сюжетных игр на тему ремонта и конструирования    комплект входят игровые инструменты и элементы для сборки   се детали размещаются в кейсе для хранения   атериал изготовления   безопасный плас"&amp;"тик ")</f>
        <v xml:space="preserve"> гровой набор   оя мастерская   гровой набор используется для сюжетных игр на тему ремонта и конструирования    комплект входят игровые инструменты и элементы для сборки   се детали размещаются в кейсе для хранения   атериал изготовления   безопасный пластик </v>
      </c>
      <c r="G196" s="4" t="str">
        <f ca="1">IFERROR(__xludf.DUMMYFUNCTION("TEXTJOIN(""|"",TRUE,UNIQUE(FILTER(SPLIT(F196,"" ""),LEN(SPLIT(F196,"" ""))&gt;2)))"),"гровой|набор|мастерская|гровой|набор|используется|для|сюжетных|игр|тему|ремонта|конструирования|комплект|входят|игровые|инструменты|элементы|для|сборки|детали|размещаются|кейсе|для|хранения|атериал|изготовления|безопасный|пластик")</f>
        <v>гровой|набор|мастерская|гровой|набор|используется|для|сюжетных|игр|тему|ремонта|конструирования|комплект|входят|игровые|инструменты|элементы|для|сборки|детали|размещаются|кейсе|для|хранения|атериал|изготовления|безопасный|пластик</v>
      </c>
      <c r="I196" s="1"/>
      <c r="J196" s="1"/>
    </row>
    <row r="197" spans="1:10" x14ac:dyDescent="0.2">
      <c r="A197" s="8" t="s">
        <v>3017</v>
      </c>
      <c r="B197" s="7" t="s">
        <v>3016</v>
      </c>
      <c r="C197" s="7" t="s">
        <v>3015</v>
      </c>
      <c r="D197" s="6">
        <v>118600</v>
      </c>
      <c r="E197" s="5">
        <v>12</v>
      </c>
      <c r="F197" s="4" t="str">
        <f ca="1">IFERROR(__xludf.DUMMYFUNCTION("LOWER(REGEXREPLACE(B197&amp;"" ""&amp;C197,""[^а-яa-z0-9 ]"","" ""))")," гровой набор   ицца  на липучках  дерево   гровой набор представляет собой деревянные элементы пиццы с соединением на липучках для разрезания и сборки    процессе игры выполняются действия по разделению частей и комбинированию ингредиентов   акая деятель"&amp;"ность способствует развитию координации движений и навыков сюжетно ролевой игры  кухня  кафе    омплект включает не менее 27 элементов   атериал изготовления   дерево ")</f>
        <v xml:space="preserve"> гровой набор   ицца  на липучках  дерево   гровой набор представляет собой деревянные элементы пиццы с соединением на липучках для разрезания и сборки    процессе игры выполняются действия по разделению частей и комбинированию ингредиентов   акая деятельность способствует развитию координации движений и навыков сюжетно ролевой игры  кухня  кафе    омплект включает не менее 27 элементов   атериал изготовления   дерево </v>
      </c>
      <c r="G197" s="4" t="str">
        <f ca="1">IFERROR(__xludf.DUMMYFUNCTION("TEXTJOIN(""|"",TRUE,UNIQUE(FILTER(SPLIT(F197,"" ""),LEN(SPLIT(F197,"" ""))&gt;2)))"),"гровой|набор|ицца|липучках|дерево|гровой|набор|представляет|собой|деревянные|элементы|пиццы|соединением|липучках|для|разрезания|сборки|процессе|игры|выполняются|действия|разделению|частей|комбинированию|ингредиентов|акая|деятельность|способствует|развитию"&amp;"|координации|движений|навыков|сюжетно|ролевой|игры|кухня|кафе|омплект|включает|менее|элементов|атериал|изготовления|дерево")</f>
        <v>гровой|набор|ицца|липучках|дерево|гровой|набор|представляет|собой|деревянные|элементы|пиццы|соединением|липучках|для|разрезания|сборки|процессе|игры|выполняются|действия|разделению|частей|комбинированию|ингредиентов|акая|деятельность|способствует|развитию|координации|движений|навыков|сюжетно|ролевой|игры|кухня|кафе|омплект|включает|менее|элементов|атериал|изготовления|дерево</v>
      </c>
      <c r="I197" s="1"/>
      <c r="J197" s="1"/>
    </row>
    <row r="198" spans="1:10" x14ac:dyDescent="0.2">
      <c r="A198" s="8" t="s">
        <v>3014</v>
      </c>
      <c r="B198" s="7" t="s">
        <v>3013</v>
      </c>
      <c r="C198" s="7" t="s">
        <v>3012</v>
      </c>
      <c r="D198" s="6">
        <v>7400</v>
      </c>
      <c r="E198" s="5">
        <v>5</v>
      </c>
      <c r="F198" s="4" t="str">
        <f ca="1">IFERROR(__xludf.DUMMYFUNCTION("LOWER(REGEXREPLACE(B198&amp;"" ""&amp;C198,""[^а-яa-z0-9 ]"","" ""))")," гровой набор   ожарный   гровой набор используется для разыгрывания ситуаций  связанных с профессией пожарного    комплект входят элементы экипировки и игровые инструменты    процессе игры моделируются действия по спасению и устранению опасности   атериа"&amp;"л изготовления   пластик ")</f>
        <v xml:space="preserve"> гровой набор   ожарный   гровой набор используется для разыгрывания ситуаций  связанных с профессией пожарного    комплект входят элементы экипировки и игровые инструменты    процессе игры моделируются действия по спасению и устранению опасности   атериал изготовления   пластик </v>
      </c>
      <c r="G198" s="4" t="str">
        <f ca="1">IFERROR(__xludf.DUMMYFUNCTION("TEXTJOIN(""|"",TRUE,UNIQUE(FILTER(SPLIT(F198,"" ""),LEN(SPLIT(F198,"" ""))&gt;2)))"),"гровой|набор|ожарный|гровой|набор|используется|для|разыгрывания|ситуаций|связанных|профессией|пожарного|комплект|входят|элементы|экипировки|игровые|инструменты|процессе|игры|моделируются|действия|спасению|устранению|опасности|атериал|изготовления|пластик")</f>
        <v>гровой|набор|ожарный|гровой|набор|используется|для|разыгрывания|ситуаций|связанных|профессией|пожарного|комплект|входят|элементы|экипировки|игровые|инструменты|процессе|игры|моделируются|действия|спасению|устранению|опасности|атериал|изготовления|пластик</v>
      </c>
      <c r="I198" s="1"/>
      <c r="J198" s="1"/>
    </row>
    <row r="199" spans="1:10" x14ac:dyDescent="0.2">
      <c r="A199" s="8" t="s">
        <v>3011</v>
      </c>
      <c r="B199" s="7" t="s">
        <v>3010</v>
      </c>
      <c r="C199" s="7" t="s">
        <v>3009</v>
      </c>
      <c r="D199" s="6">
        <v>17100</v>
      </c>
      <c r="E199" s="5">
        <v>5</v>
      </c>
      <c r="F199" s="4" t="str">
        <f ca="1">IFERROR(__xludf.DUMMYFUNCTION("LOWER(REGEXREPLACE(B199&amp;"" ""&amp;C199,""[^а-яa-z0-9 ]"","" ""))")," гровой набор   олиция   12 предметов  гровой набор используется для сюжетно ролевых игр на тему службы полиции    комплект входит 12 предметов  включая аксессуары и элементы экипировки   атериалы изготовления   пластик  резина и текстиль ")</f>
        <v xml:space="preserve"> гровой набор   олиция   12 предметов  гровой набор используется для сюжетно ролевых игр на тему службы полиции    комплект входит 12 предметов  включая аксессуары и элементы экипировки   атериалы изготовления   пластик  резина и текстиль </v>
      </c>
      <c r="G199" s="4" t="str">
        <f ca="1">IFERROR(__xludf.DUMMYFUNCTION("TEXTJOIN(""|"",TRUE,UNIQUE(FILTER(SPLIT(F199,"" ""),LEN(SPLIT(F199,"" ""))&gt;2)))"),"гровой|набор|олиция|предметов|гровой|набор|используется|для|сюжетно|ролевых|игр|тему|службы|полиции|комплект|входит|предметов|включая|аксессуары|элементы|экипировки|атериалы|изготовления|пластик|резина|текстиль")</f>
        <v>гровой|набор|олиция|предметов|гровой|набор|используется|для|сюжетно|ролевых|игр|тему|службы|полиции|комплект|входит|предметов|включая|аксессуары|элементы|экипировки|атериалы|изготовления|пластик|резина|текстиль</v>
      </c>
      <c r="I199" s="1"/>
      <c r="J199" s="1"/>
    </row>
    <row r="200" spans="1:10" x14ac:dyDescent="0.2">
      <c r="A200" s="8" t="s">
        <v>3008</v>
      </c>
      <c r="B200" s="7" t="s">
        <v>3007</v>
      </c>
      <c r="C200" s="7" t="s">
        <v>3006</v>
      </c>
      <c r="D200" s="6">
        <v>14200</v>
      </c>
      <c r="E200" s="5">
        <v>12</v>
      </c>
      <c r="F200" s="4" t="str">
        <f ca="1">IFERROR(__xludf.DUMMYFUNCTION("LOWER(REGEXREPLACE(B200&amp;"" ""&amp;C200,""[^а-яa-z0-9 ]"","" ""))")," гровой набор   раздничное чаепитие  со светом и музыкой  ольшой сюжетно ролевой набор для организации праздничных игр   ключает торт из 6 частей  декоративные элементы  посуду и аксессуары   снащ н световыми и звуковыми эффектами   бщее количество предме"&amp;"тов   около 75   атериал   пластик ")</f>
        <v xml:space="preserve"> гровой набор   раздничное чаепитие  со светом и музыкой  ольшой сюжетно ролевой набор для организации праздничных игр   ключает торт из 6 частей  декоративные элементы  посуду и аксессуары   снащ н световыми и звуковыми эффектами   бщее количество предметов   около 75   атериал   пластик </v>
      </c>
      <c r="G200" s="4" t="str">
        <f ca="1">IFERROR(__xludf.DUMMYFUNCTION("TEXTJOIN(""|"",TRUE,UNIQUE(FILTER(SPLIT(F200,"" ""),LEN(SPLIT(F200,"" ""))&gt;2)))"),"гровой|набор|раздничное|чаепитие|светом|музыкой|ольшой|сюжетно|ролевой|набор|для|организации|праздничных|игр|ключает|торт|частей|декоративные|элементы|посуду|аксессуары|снащ|световыми|звуковыми|эффектами|бщее|количество|предметов|около|атериал|пластик")</f>
        <v>гровой|набор|раздничное|чаепитие|светом|музыкой|ольшой|сюжетно|ролевой|набор|для|организации|праздничных|игр|ключает|торт|частей|декоративные|элементы|посуду|аксессуары|снащ|световыми|звуковыми|эффектами|бщее|количество|предметов|около|атериал|пластик</v>
      </c>
      <c r="I200" s="1"/>
      <c r="J200" s="1"/>
    </row>
    <row r="201" spans="1:10" x14ac:dyDescent="0.2">
      <c r="A201" s="8" t="s">
        <v>3005</v>
      </c>
      <c r="B201" s="7" t="s">
        <v>3004</v>
      </c>
      <c r="C201" s="7" t="s">
        <v>3003</v>
      </c>
      <c r="D201" s="6">
        <v>52400</v>
      </c>
      <c r="E201" s="5">
        <v>10</v>
      </c>
      <c r="F201" s="4" t="str">
        <f ca="1">IFERROR(__xludf.DUMMYFUNCTION("LOWER(REGEXREPLACE(B201&amp;"" ""&amp;C201,""[^а-яa-z0-9 ]"","" ""))")," гровой набор   тилист   южетно ролевой игровой набор предназначен для развития воображения  коммуникативных навыков и мелкой моторики   спользуется в ролевых играх  способствует формированию социальных навыков и навыков взаимодействия между детьми ")</f>
        <v xml:space="preserve"> гровой набор   тилист   южетно ролевой игровой набор предназначен для развития воображения  коммуникативных навыков и мелкой моторики   спользуется в ролевых играх  способствует формированию социальных навыков и навыков взаимодействия между детьми </v>
      </c>
      <c r="G201" s="4" t="str">
        <f ca="1">IFERROR(__xludf.DUMMYFUNCTION("TEXTJOIN(""|"",TRUE,UNIQUE(FILTER(SPLIT(F201,"" ""),LEN(SPLIT(F201,"" ""))&gt;2)))"),"гровой|набор|тилист|южетно|ролевой|игровой|набор|предназначен|для|развития|воображения|коммуникативных|навыков|мелкой|моторики|спользуется|ролевых|играх|способствует|формированию|социальных|навыков|навыков|взаимодействия|между|детьми")</f>
        <v>гровой|набор|тилист|южетно|ролевой|игровой|набор|предназначен|для|развития|воображения|коммуникативных|навыков|мелкой|моторики|спользуется|ролевых|играх|способствует|формированию|социальных|навыков|навыков|взаимодействия|между|детьми</v>
      </c>
      <c r="I201" s="1"/>
      <c r="J201" s="1"/>
    </row>
    <row r="202" spans="1:10" x14ac:dyDescent="0.2">
      <c r="A202" s="8" t="s">
        <v>3002</v>
      </c>
      <c r="B202" s="7" t="s">
        <v>3001</v>
      </c>
      <c r="C202" s="7" t="s">
        <v>3000</v>
      </c>
      <c r="D202" s="6">
        <v>7500</v>
      </c>
      <c r="E202" s="5">
        <v>5</v>
      </c>
      <c r="F202" s="4" t="str">
        <f ca="1">IFERROR(__xludf.DUMMYFUNCTION("LOWER(REGEXREPLACE(B202&amp;"" ""&amp;C202,""[^а-яa-z0-9 ]"","" ""))")," гровой набор   астфуд   абор применяется в сюжетно ролевых играх на тему питания и обслуживания   ключает игровые элементы  имитирующие блюда быстрого питания   редметы выполнены из прочного пластика и не имеют острых углов ")</f>
        <v xml:space="preserve"> гровой набор   астфуд   абор применяется в сюжетно ролевых играх на тему питания и обслуживания   ключает игровые элементы  имитирующие блюда быстрого питания   редметы выполнены из прочного пластика и не имеют острых углов </v>
      </c>
      <c r="G202" s="4" t="str">
        <f ca="1">IFERROR(__xludf.DUMMYFUNCTION("TEXTJOIN(""|"",TRUE,UNIQUE(FILTER(SPLIT(F202,"" ""),LEN(SPLIT(F202,"" ""))&gt;2)))"),"гровой|набор|астфуд|абор|применяется|сюжетно|ролевых|играх|тему|питания|обслуживания|ключает|игровые|элементы|имитирующие|блюда|быстрого|питания|редметы|выполнены|прочного|пластика|имеют|острых|углов")</f>
        <v>гровой|набор|астфуд|абор|применяется|сюжетно|ролевых|играх|тему|питания|обслуживания|ключает|игровые|элементы|имитирующие|блюда|быстрого|питания|редметы|выполнены|прочного|пластика|имеют|острых|углов</v>
      </c>
      <c r="I202" s="1"/>
      <c r="J202" s="1"/>
    </row>
    <row r="203" spans="1:10" x14ac:dyDescent="0.2">
      <c r="A203" s="8" t="s">
        <v>2999</v>
      </c>
      <c r="B203" s="7" t="s">
        <v>2998</v>
      </c>
      <c r="C203" s="7" t="s">
        <v>2997</v>
      </c>
      <c r="D203" s="6">
        <v>23800</v>
      </c>
      <c r="E203" s="5">
        <v>5</v>
      </c>
      <c r="F203" s="4" t="str">
        <f ca="1">IFERROR(__xludf.DUMMYFUNCTION("LOWER(REGEXREPLACE(B203&amp;"" ""&amp;C203,""[^а-яa-z0-9 ]"","" ""))")," гровой набор   олодильник  с продуктами  гровой набор используется для сюжетно ролевых игр на тему кухни и хранения продуктов   ключает холодильник с открывающимися дверцами  световыми и звуковыми эффектами и набор продуктов   сего в комплект входит окол"&amp;"о 30 предметов ")</f>
        <v xml:space="preserve"> гровой набор   олодильник  с продуктами  гровой набор используется для сюжетно ролевых игр на тему кухни и хранения продуктов   ключает холодильник с открывающимися дверцами  световыми и звуковыми эффектами и набор продуктов   сего в комплект входит около 30 предметов </v>
      </c>
      <c r="G203" s="4" t="str">
        <f ca="1">IFERROR(__xludf.DUMMYFUNCTION("TEXTJOIN(""|"",TRUE,UNIQUE(FILTER(SPLIT(F203,"" ""),LEN(SPLIT(F203,"" ""))&gt;2)))"),"гровой|набор|олодильник|продуктами|гровой|набор|используется|для|сюжетно|ролевых|игр|тему|кухни|хранения|продуктов|ключает|холодильник|открывающимися|дверцами|световыми|звуковыми|эффектами|набор|продуктов|сего|комплект|входит|около|предметов")</f>
        <v>гровой|набор|олодильник|продуктами|гровой|набор|используется|для|сюжетно|ролевых|игр|тему|кухни|хранения|продуктов|ключает|холодильник|открывающимися|дверцами|световыми|звуковыми|эффектами|набор|продуктов|сего|комплект|входит|около|предметов</v>
      </c>
      <c r="I203" s="1"/>
      <c r="J203" s="1"/>
    </row>
    <row r="204" spans="1:10" x14ac:dyDescent="0.2">
      <c r="A204" s="8" t="s">
        <v>2996</v>
      </c>
      <c r="B204" s="7" t="s">
        <v>2995</v>
      </c>
      <c r="C204" s="7" t="s">
        <v>2994</v>
      </c>
      <c r="D204" s="6">
        <v>19000</v>
      </c>
      <c r="E204" s="5">
        <v>5</v>
      </c>
      <c r="F204" s="4" t="str">
        <f ca="1">IFERROR(__xludf.DUMMYFUNCTION("LOWER(REGEXREPLACE(B204&amp;"" ""&amp;C204,""[^а-яa-z0-9 ]"","" ""))")," гровой набор декоративной косметики  10 предметов  абор применяется в сюжетно ролевых играх на тему ухода за внешностью   ключает игровые элементы косметики и аксессуары   се предметы выполнены в безопасном исполнении ")</f>
        <v xml:space="preserve"> гровой набор декоративной косметики  10 предметов  абор применяется в сюжетно ролевых играх на тему ухода за внешностью   ключает игровые элементы косметики и аксессуары   се предметы выполнены в безопасном исполнении </v>
      </c>
      <c r="G204" s="4" t="str">
        <f ca="1">IFERROR(__xludf.DUMMYFUNCTION("TEXTJOIN(""|"",TRUE,UNIQUE(FILTER(SPLIT(F204,"" ""),LEN(SPLIT(F204,"" ""))&gt;2)))"),"гровой|набор|декоративной|косметики|предметов|абор|применяется|сюжетно|ролевых|играх|тему|ухода|внешностью|ключает|игровые|элементы|косметики|аксессуары|предметы|выполнены|безопасном|исполнении")</f>
        <v>гровой|набор|декоративной|косметики|предметов|абор|применяется|сюжетно|ролевых|играх|тему|ухода|внешностью|ключает|игровые|элементы|косметики|аксессуары|предметы|выполнены|безопасном|исполнении</v>
      </c>
      <c r="I204" s="1"/>
      <c r="J204" s="1"/>
    </row>
    <row r="205" spans="1:10" x14ac:dyDescent="0.2">
      <c r="A205" s="8" t="s">
        <v>2993</v>
      </c>
      <c r="B205" s="7" t="s">
        <v>2992</v>
      </c>
      <c r="C205" s="7" t="s">
        <v>2991</v>
      </c>
      <c r="D205" s="6">
        <v>11700</v>
      </c>
      <c r="E205" s="5">
        <v>14</v>
      </c>
      <c r="F205" s="4" t="str">
        <f ca="1">IFERROR(__xludf.DUMMYFUNCTION("LOWER(REGEXREPLACE(B205&amp;"" ""&amp;C205,""[^а-яa-z0-9 ]"","" ""))")," гровой набор инструментов  гровой набор используется для сюжетных игр на тему строительства и ремонта    комплект входят деревянные инструменты и ящик для хранения   рименяется в игровой деятельности ")</f>
        <v xml:space="preserve"> гровой набор инструментов  гровой набор используется для сюжетных игр на тему строительства и ремонта    комплект входят деревянные инструменты и ящик для хранения   рименяется в игровой деятельности </v>
      </c>
      <c r="G205" s="4" t="str">
        <f ca="1">IFERROR(__xludf.DUMMYFUNCTION("TEXTJOIN(""|"",TRUE,UNIQUE(FILTER(SPLIT(F205,"" ""),LEN(SPLIT(F205,"" ""))&gt;2)))"),"гровой|набор|инструментов|гровой|набор|используется|для|сюжетных|игр|тему|строительства|ремонта|комплект|входят|деревянные|инструменты|ящик|для|хранения|рименяется|игровой|деятельности")</f>
        <v>гровой|набор|инструментов|гровой|набор|используется|для|сюжетных|игр|тему|строительства|ремонта|комплект|входят|деревянные|инструменты|ящик|для|хранения|рименяется|игровой|деятельности</v>
      </c>
      <c r="I205" s="1"/>
      <c r="J205" s="1"/>
    </row>
    <row r="206" spans="1:10" x14ac:dyDescent="0.2">
      <c r="A206" s="8" t="s">
        <v>2990</v>
      </c>
      <c r="B206" s="7" t="s">
        <v>2989</v>
      </c>
      <c r="C206" s="7" t="s">
        <v>2988</v>
      </c>
      <c r="D206" s="6">
        <v>9000</v>
      </c>
      <c r="E206" s="5">
        <v>1</v>
      </c>
      <c r="F206" s="4" t="str">
        <f ca="1">IFERROR(__xludf.DUMMYFUNCTION("LOWER(REGEXREPLACE(B206&amp;"" ""&amp;C206,""[^а-яa-z0-9 ]"","" ""))")," дам денесi   алы тырмайтын анатомия  одригес  ида  ")</f>
        <v xml:space="preserve"> дам денесi   алы тырмайтын анатомия  одригес  ида  </v>
      </c>
      <c r="G206" s="4" t="str">
        <f ca="1">IFERROR(__xludf.DUMMYFUNCTION("TEXTJOIN(""|"",TRUE,UNIQUE(FILTER(SPLIT(F206,"" ""),LEN(SPLIT(F206,"" ""))&gt;2)))"),"дам|денесi|алы|тырмайтын|анатомия|одригес|ида")</f>
        <v>дам|денесi|алы|тырмайтын|анатомия|одригес|ида</v>
      </c>
      <c r="I206" s="1"/>
      <c r="J206" s="1"/>
    </row>
    <row r="207" spans="1:10" x14ac:dyDescent="0.2">
      <c r="A207" s="8" t="s">
        <v>2987</v>
      </c>
      <c r="B207" s="7" t="s">
        <v>2986</v>
      </c>
      <c r="C207" s="7" t="s">
        <v>2985</v>
      </c>
      <c r="D207" s="6">
        <v>7600</v>
      </c>
      <c r="E207" s="5">
        <v>1</v>
      </c>
      <c r="F207" s="4" t="str">
        <f ca="1">IFERROR(__xludf.DUMMYFUNCTION("LOWER(REGEXREPLACE(B207&amp;"" ""&amp;C207,""[^а-яa-z0-9 ]"","" ""))")," гровой набор фигурок животных и птиц  комплект  омплект включает несколько фигурок животных и птиц   спользуется для групповых и индивидуальных игр   атериал изготовления   резина ")</f>
        <v xml:space="preserve"> гровой набор фигурок животных и птиц  комплект  омплект включает несколько фигурок животных и птиц   спользуется для групповых и индивидуальных игр   атериал изготовления   резина </v>
      </c>
      <c r="G207" s="4" t="str">
        <f ca="1">IFERROR(__xludf.DUMMYFUNCTION("TEXTJOIN(""|"",TRUE,UNIQUE(FILTER(SPLIT(F207,"" ""),LEN(SPLIT(F207,"" ""))&gt;2)))"),"гровой|набор|фигурок|животных|птиц|комплект|омплект|включает|несколько|фигурок|животных|птиц|спользуется|для|групповых|индивидуальных|игр|атериал|изготовления|резина")</f>
        <v>гровой|набор|фигурок|животных|птиц|комплект|омплект|включает|несколько|фигурок|животных|птиц|спользуется|для|групповых|индивидуальных|игр|атериал|изготовления|резина</v>
      </c>
      <c r="I207" s="1"/>
      <c r="J207" s="1"/>
    </row>
    <row r="208" spans="1:10" x14ac:dyDescent="0.2">
      <c r="A208" s="8" t="s">
        <v>2984</v>
      </c>
      <c r="B208" s="7" t="s">
        <v>2983</v>
      </c>
      <c r="C208" s="7" t="s">
        <v>2982</v>
      </c>
      <c r="D208" s="6">
        <v>7600</v>
      </c>
      <c r="E208" s="5">
        <v>1</v>
      </c>
      <c r="F208" s="4" t="str">
        <f ca="1">IFERROR(__xludf.DUMMYFUNCTION("LOWER(REGEXREPLACE(B208&amp;"" ""&amp;C208,""[^а-яa-z0-9 ]"","" ""))")," гровой пазл в форме машинки  грушка выполнена в форме машинки с набором фигур    процессе игры выполняется сборка и разборка элементов   атериал изготовления   дерево ")</f>
        <v xml:space="preserve"> гровой пазл в форме машинки  грушка выполнена в форме машинки с набором фигур    процессе игры выполняется сборка и разборка элементов   атериал изготовления   дерево </v>
      </c>
      <c r="G208" s="4" t="str">
        <f ca="1">IFERROR(__xludf.DUMMYFUNCTION("TEXTJOIN(""|"",TRUE,UNIQUE(FILTER(SPLIT(F208,"" ""),LEN(SPLIT(F208,"" ""))&gt;2)))"),"гровой|пазл|форме|машинки|грушка|выполнена|форме|машинки|набором|фигур|процессе|игры|выполняется|сборка|разборка|элементов|атериал|изготовления|дерево")</f>
        <v>гровой|пазл|форме|машинки|грушка|выполнена|форме|машинки|набором|фигур|процессе|игры|выполняется|сборка|разборка|элементов|атериал|изготовления|дерево</v>
      </c>
      <c r="I208" s="1"/>
      <c r="J208" s="1"/>
    </row>
    <row r="209" spans="1:10" x14ac:dyDescent="0.2">
      <c r="A209" s="8" t="s">
        <v>2981</v>
      </c>
      <c r="B209" s="7" t="s">
        <v>2980</v>
      </c>
      <c r="C209" s="7" t="s">
        <v>2979</v>
      </c>
      <c r="D209" s="6">
        <v>37400</v>
      </c>
      <c r="E209" s="5">
        <v>5</v>
      </c>
      <c r="F209" s="4" t="str">
        <f ca="1">IFERROR(__xludf.DUMMYFUNCTION("LOWER(REGEXREPLACE(B209&amp;"" ""&amp;C209,""[^а-яa-z0-9 ]"","" ""))")," гровые фигурки диких животных  абор включает фигурки диких животных   спользуется для сюжетных игр и тематических занятий    комплект входит не менее 12 фигурок ")</f>
        <v xml:space="preserve"> гровые фигурки диких животных  абор включает фигурки диких животных   спользуется для сюжетных игр и тематических занятий    комплект входит не менее 12 фигурок </v>
      </c>
      <c r="G209" s="4" t="str">
        <f ca="1">IFERROR(__xludf.DUMMYFUNCTION("TEXTJOIN(""|"",TRUE,UNIQUE(FILTER(SPLIT(F209,"" ""),LEN(SPLIT(F209,"" ""))&gt;2)))"),"гровые|фигурки|диких|животных|абор|включает|фигурки|диких|животных|спользуется|для|сюжетных|игр|тематических|занятий|комплект|входит|менее|фигурок")</f>
        <v>гровые|фигурки|диких|животных|абор|включает|фигурки|диких|животных|спользуется|для|сюжетных|игр|тематических|занятий|комплект|входит|менее|фигурок</v>
      </c>
      <c r="I209" s="1"/>
      <c r="J209" s="1"/>
    </row>
    <row r="210" spans="1:10" x14ac:dyDescent="0.2">
      <c r="A210" s="8" t="s">
        <v>2978</v>
      </c>
      <c r="B210" s="7" t="s">
        <v>2977</v>
      </c>
      <c r="C210" s="7" t="s">
        <v>2976</v>
      </c>
      <c r="D210" s="6">
        <v>22800</v>
      </c>
      <c r="E210" s="5">
        <v>7</v>
      </c>
      <c r="F210" s="4" t="str">
        <f ca="1">IFERROR(__xludf.DUMMYFUNCTION("LOWER(REGEXREPLACE(B210&amp;"" ""&amp;C210,""[^а-яa-z0-9 ]"","" ""))")," гровые фигурки животных и птиц  игурки используются для сюжетно ролевых игр и тематических занятий   зображают животных и птиц   рименяются для разыгрывания сцен и классификации ")</f>
        <v xml:space="preserve"> гровые фигурки животных и птиц  игурки используются для сюжетно ролевых игр и тематических занятий   зображают животных и птиц   рименяются для разыгрывания сцен и классификации </v>
      </c>
      <c r="G210" s="4" t="str">
        <f ca="1">IFERROR(__xludf.DUMMYFUNCTION("TEXTJOIN(""|"",TRUE,UNIQUE(FILTER(SPLIT(F210,"" ""),LEN(SPLIT(F210,"" ""))&gt;2)))"),"гровые|фигурки|животных|птиц|игурки|используются|для|сюжетно|ролевых|игр|тематических|занятий|зображают|животных|птиц|рименяются|для|разыгрывания|сцен|классификации")</f>
        <v>гровые|фигурки|животных|птиц|игурки|используются|для|сюжетно|ролевых|игр|тематических|занятий|зображают|животных|птиц|рименяются|для|разыгрывания|сцен|классификации</v>
      </c>
      <c r="I210" s="1"/>
      <c r="J210" s="1"/>
    </row>
    <row r="211" spans="1:10" x14ac:dyDescent="0.2">
      <c r="A211" s="8" t="s">
        <v>2975</v>
      </c>
      <c r="B211" s="7" t="s">
        <v>2974</v>
      </c>
      <c r="C211" s="7" t="s">
        <v>2973</v>
      </c>
      <c r="D211" s="6">
        <v>20300</v>
      </c>
      <c r="E211" s="5">
        <v>5</v>
      </c>
      <c r="F211" s="4" t="str">
        <f ca="1">IFERROR(__xludf.DUMMYFUNCTION("LOWER(REGEXREPLACE(B211&amp;"" ""&amp;C211,""[^а-яa-z0-9 ]"","" ""))")," грушечная ванна для кукол  ксессуар предназначен для сюжетно ролевых игр с куклами   спользуется для имитации гигиенических процедур   атериал изготовления   пластик ")</f>
        <v xml:space="preserve"> грушечная ванна для кукол  ксессуар предназначен для сюжетно ролевых игр с куклами   спользуется для имитации гигиенических процедур   атериал изготовления   пластик </v>
      </c>
      <c r="G211" s="4" t="str">
        <f ca="1">IFERROR(__xludf.DUMMYFUNCTION("TEXTJOIN(""|"",TRUE,UNIQUE(FILTER(SPLIT(F211,"" ""),LEN(SPLIT(F211,"" ""))&gt;2)))"),"грушечная|ванна|для|кукол|ксессуар|предназначен|для|сюжетно|ролевых|игр|куклами|спользуется|для|имитации|гигиенических|процедур|атериал|изготовления|пластик")</f>
        <v>грушечная|ванна|для|кукол|ксессуар|предназначен|для|сюжетно|ролевых|игр|куклами|спользуется|для|имитации|гигиенических|процедур|атериал|изготовления|пластик</v>
      </c>
      <c r="I211" s="1"/>
      <c r="J211" s="1"/>
    </row>
    <row r="212" spans="1:10" x14ac:dyDescent="0.2">
      <c r="A212" s="8" t="s">
        <v>2972</v>
      </c>
      <c r="B212" s="7" t="s">
        <v>2971</v>
      </c>
      <c r="C212" s="7" t="s">
        <v>2970</v>
      </c>
      <c r="D212" s="6">
        <v>11700</v>
      </c>
      <c r="E212" s="5">
        <v>175</v>
      </c>
      <c r="F212" s="4" t="str">
        <f ca="1">IFERROR(__xludf.DUMMYFUNCTION("LOWER(REGEXREPLACE(B212&amp;"" ""&amp;C212,""[^а-яa-z0-9 ]"","" ""))")," грушечная корзинка  грушечная корзинка используется для переноски игровых предметов и хранения игрушек    процессе игры выполняются действия по сбору и сортировке предметов   зделие компактное и удобное для использования в игровой среде ")</f>
        <v xml:space="preserve"> грушечная корзинка  грушечная корзинка используется для переноски игровых предметов и хранения игрушек    процессе игры выполняются действия по сбору и сортировке предметов   зделие компактное и удобное для использования в игровой среде </v>
      </c>
      <c r="G212" s="4" t="str">
        <f ca="1">IFERROR(__xludf.DUMMYFUNCTION("TEXTJOIN(""|"",TRUE,UNIQUE(FILTER(SPLIT(F212,"" ""),LEN(SPLIT(F212,"" ""))&gt;2)))"),"грушечная|корзинка|грушечная|корзинка|используется|для|переноски|игровых|предметов|хранения|игрушек|процессе|игры|выполняются|действия|сбору|сортировке|предметов|зделие|компактное|удобное|для|использования|игровой|среде")</f>
        <v>грушечная|корзинка|грушечная|корзинка|используется|для|переноски|игровых|предметов|хранения|игрушек|процессе|игры|выполняются|действия|сбору|сортировке|предметов|зделие|компактное|удобное|для|использования|игровой|среде</v>
      </c>
      <c r="I212" s="1"/>
      <c r="J212" s="1"/>
    </row>
    <row r="213" spans="1:10" x14ac:dyDescent="0.2">
      <c r="A213" s="8" t="s">
        <v>2969</v>
      </c>
      <c r="B213" s="7" t="s">
        <v>2968</v>
      </c>
      <c r="C213" s="7" t="s">
        <v>2967</v>
      </c>
      <c r="D213" s="6">
        <v>14100</v>
      </c>
      <c r="E213" s="5">
        <v>5</v>
      </c>
      <c r="F213" s="4" t="str">
        <f ca="1">IFERROR(__xludf.DUMMYFUNCTION("LOWER(REGEXREPLACE(B213&amp;"" ""&amp;C213,""[^а-яa-z0-9 ]"","" ""))")," грушечная микроволновая печь  гровое изделие используется в сюжетно ролевых играх на тему кухни   орпус выполнен из пластмассы   спользуется для имитации бытовых процессов без нагрева ")</f>
        <v xml:space="preserve"> грушечная микроволновая печь  гровое изделие используется в сюжетно ролевых играх на тему кухни   орпус выполнен из пластмассы   спользуется для имитации бытовых процессов без нагрева </v>
      </c>
      <c r="G213" s="4" t="str">
        <f ca="1">IFERROR(__xludf.DUMMYFUNCTION("TEXTJOIN(""|"",TRUE,UNIQUE(FILTER(SPLIT(F213,"" ""),LEN(SPLIT(F213,"" ""))&gt;2)))"),"грушечная|микроволновая|печь|гровое|изделие|используется|сюжетно|ролевых|играх|тему|кухни|орпус|выполнен|пластмассы|спользуется|для|имитации|бытовых|процессов|без|нагрева")</f>
        <v>грушечная|микроволновая|печь|гровое|изделие|используется|сюжетно|ролевых|играх|тему|кухни|орпус|выполнен|пластмассы|спользуется|для|имитации|бытовых|процессов|без|нагрева</v>
      </c>
      <c r="I213" s="1"/>
      <c r="J213" s="1"/>
    </row>
    <row r="214" spans="1:10" x14ac:dyDescent="0.2">
      <c r="A214" s="8" t="s">
        <v>2966</v>
      </c>
      <c r="B214" s="7" t="s">
        <v>2965</v>
      </c>
      <c r="C214" s="7" t="s">
        <v>2964</v>
      </c>
      <c r="D214" s="6">
        <v>32300</v>
      </c>
      <c r="E214" s="5">
        <v>5</v>
      </c>
      <c r="F214" s="4" t="str">
        <f ca="1">IFERROR(__xludf.DUMMYFUNCTION("LOWER(REGEXREPLACE(B214&amp;"" ""&amp;C214,""[^а-яa-z0-9 ]"","" ""))")," грушечная стиральная машина  грушка используется в сюжетных играх  связанных с домашним бытом   онструкция включает открывающуюся дверцу и вращающиеся элементы управления   атериал изготовления   пластик ")</f>
        <v xml:space="preserve"> грушечная стиральная машина  грушка используется в сюжетных играх  связанных с домашним бытом   онструкция включает открывающуюся дверцу и вращающиеся элементы управления   атериал изготовления   пластик </v>
      </c>
      <c r="G214" s="4" t="str">
        <f ca="1">IFERROR(__xludf.DUMMYFUNCTION("TEXTJOIN(""|"",TRUE,UNIQUE(FILTER(SPLIT(F214,"" ""),LEN(SPLIT(F214,"" ""))&gt;2)))"),"грушечная|стиральная|машина|грушка|используется|сюжетных|играх|связанных|домашним|бытом|онструкция|включает|открывающуюся|дверцу|вращающиеся|элементы|управления|атериал|изготовления|пластик")</f>
        <v>грушечная|стиральная|машина|грушка|используется|сюжетных|играх|связанных|домашним|бытом|онструкция|включает|открывающуюся|дверцу|вращающиеся|элементы|управления|атериал|изготовления|пластик</v>
      </c>
      <c r="I214" s="1"/>
      <c r="J214" s="1"/>
    </row>
    <row r="215" spans="1:10" x14ac:dyDescent="0.2">
      <c r="A215" s="8" t="s">
        <v>2963</v>
      </c>
      <c r="B215" s="7" t="s">
        <v>2962</v>
      </c>
      <c r="C215" s="7" t="s">
        <v>2961</v>
      </c>
      <c r="D215" s="6">
        <v>28100</v>
      </c>
      <c r="E215" s="5">
        <v>5</v>
      </c>
      <c r="F215" s="4" t="str">
        <f ca="1">IFERROR(__xludf.DUMMYFUNCTION("LOWER(REGEXREPLACE(B215&amp;"" ""&amp;C215,""[^а-яa-z0-9 ]"","" ""))")," грушечный кран крупногабаритный  грушечный кран используется для сюжетно ролевых игр с тематикой строительной техники    процессе игры выполняются действия по подъ му  перемещению и опусканию элементов   акая форма игры способствует развитию воображения "&amp;"и пространственных представлений   лина модели составляет не менее 30 см   онструкция выполнена из прочных материалов ")</f>
        <v xml:space="preserve"> грушечный кран крупногабаритный  грушечный кран используется для сюжетно ролевых игр с тематикой строительной техники    процессе игры выполняются действия по подъ му  перемещению и опусканию элементов   акая форма игры способствует развитию воображения и пространственных представлений   лина модели составляет не менее 30 см   онструкция выполнена из прочных материалов </v>
      </c>
      <c r="G215" s="4" t="str">
        <f ca="1">IFERROR(__xludf.DUMMYFUNCTION("TEXTJOIN(""|"",TRUE,UNIQUE(FILTER(SPLIT(F215,"" ""),LEN(SPLIT(F215,"" ""))&gt;2)))"),"грушечный|кран|крупногабаритный|грушечный|кран|используется|для|сюжетно|ролевых|игр|тематикой|строительной|техники|процессе|игры|выполняются|действия|подъ|перемещению|опусканию|элементов|акая|форма|игры|способствует|развитию|воображения|пространственных|п"&amp;"редставлений|лина|модели|составляет|менее|онструкция|выполнена|прочных|материалов")</f>
        <v>грушечный|кран|крупногабаритный|грушечный|кран|используется|для|сюжетно|ролевых|игр|тематикой|строительной|техники|процессе|игры|выполняются|действия|подъ|перемещению|опусканию|элементов|акая|форма|игры|способствует|развитию|воображения|пространственных|представлений|лина|модели|составляет|менее|онструкция|выполнена|прочных|материалов</v>
      </c>
      <c r="I215" s="1"/>
      <c r="J215" s="1"/>
    </row>
    <row r="216" spans="1:10" x14ac:dyDescent="0.2">
      <c r="A216" s="8" t="s">
        <v>2960</v>
      </c>
      <c r="B216" s="7" t="s">
        <v>2959</v>
      </c>
      <c r="C216" s="7" t="s">
        <v>2958</v>
      </c>
      <c r="D216" s="6">
        <v>4600</v>
      </c>
      <c r="E216" s="5">
        <v>5</v>
      </c>
      <c r="F216" s="4" t="str">
        <f ca="1">IFERROR(__xludf.DUMMYFUNCTION("LOWER(REGEXREPLACE(B216&amp;"" ""&amp;C216,""[^а-яa-z0-9 ]"","" ""))")," грушечный музыкальный телефон с кнопками  грушечный телефон используется в игровой деятельности для имитации общения   снащ н кнопками и звуковыми эффектами    процессе игры выполняются нажатия и прослушивание звуков  что поддерживает интерес к ролевым с"&amp;"итуациям   орпус выполнен из безопасных материалов ")</f>
        <v xml:space="preserve"> грушечный музыкальный телефон с кнопками  грушечный телефон используется в игровой деятельности для имитации общения   снащ н кнопками и звуковыми эффектами    процессе игры выполняются нажатия и прослушивание звуков  что поддерживает интерес к ролевым ситуациям   орпус выполнен из безопасных материалов </v>
      </c>
      <c r="G216" s="4" t="str">
        <f ca="1">IFERROR(__xludf.DUMMYFUNCTION("TEXTJOIN(""|"",TRUE,UNIQUE(FILTER(SPLIT(F216,"" ""),LEN(SPLIT(F216,"" ""))&gt;2)))"),"грушечный|музыкальный|телефон|кнопками|грушечный|телефон|используется|игровой|деятельности|для|имитации|общения|снащ|кнопками|звуковыми|эффектами|процессе|игры|выполняются|нажатия|прослушивание|звуков|что|поддерживает|интерес|ролевым|ситуациям|орпус|выпол"&amp;"нен|безопасных|материалов")</f>
        <v>грушечный|музыкальный|телефон|кнопками|грушечный|телефон|используется|игровой|деятельности|для|имитации|общения|снащ|кнопками|звуковыми|эффектами|процессе|игры|выполняются|нажатия|прослушивание|звуков|что|поддерживает|интерес|ролевым|ситуациям|орпус|выполнен|безопасных|материалов</v>
      </c>
      <c r="I216" s="1"/>
      <c r="J216" s="1"/>
    </row>
    <row r="217" spans="1:10" x14ac:dyDescent="0.2">
      <c r="A217" s="8" t="s">
        <v>2957</v>
      </c>
      <c r="B217" s="7" t="s">
        <v>2956</v>
      </c>
      <c r="C217" s="7"/>
      <c r="D217" s="6">
        <v>1700</v>
      </c>
      <c r="E217" s="5">
        <v>1</v>
      </c>
      <c r="F217" s="4" t="str">
        <f ca="1">IFERROR(__xludf.DUMMYFUNCTION("LOWER(REGEXREPLACE(B217&amp;"" ""&amp;C217,""[^а-яa-z0-9 ]"","" ""))")," дамдар а  алай к мектесуге болады   ак помогать людям   ow to help people  каз   рус   англ яз   ")</f>
        <v xml:space="preserve"> дамдар а  алай к мектесуге болады   ак помогать людям   ow to help people  каз   рус   англ яз   </v>
      </c>
      <c r="G217" s="4" t="str">
        <f ca="1">IFERROR(__xludf.DUMMYFUNCTION("TEXTJOIN(""|"",TRUE,UNIQUE(FILTER(SPLIT(F217,"" ""),LEN(SPLIT(F217,"" ""))&gt;2)))"),"дамдар|алай|мектесуге|болады|помогать|людям|help|people|каз|рус|англ")</f>
        <v>дамдар|алай|мектесуге|болады|помогать|людям|help|people|каз|рус|англ</v>
      </c>
      <c r="I217" s="1"/>
      <c r="J217" s="1"/>
    </row>
    <row r="218" spans="1:10" x14ac:dyDescent="0.2">
      <c r="A218" s="8" t="s">
        <v>2955</v>
      </c>
      <c r="B218" s="7" t="s">
        <v>2954</v>
      </c>
      <c r="C218" s="7" t="s">
        <v>2953</v>
      </c>
      <c r="D218" s="6">
        <v>27600</v>
      </c>
      <c r="E218" s="5">
        <v>1</v>
      </c>
      <c r="F218" s="4" t="str">
        <f ca="1">IFERROR(__xludf.DUMMYFUNCTION("LOWER(REGEXREPLACE(B218&amp;"" ""&amp;C218,""[^а-яa-z0-9 ]"","" ""))")," грушечный набор фруктов и овощей на магните  абор используется для сюжетных игр и сортировки   лементы снабжены магнитной основой  что позволяет закреплять их на металлических поверхностях ")</f>
        <v xml:space="preserve"> грушечный набор фруктов и овощей на магните  абор используется для сюжетных игр и сортировки   лементы снабжены магнитной основой  что позволяет закреплять их на металлических поверхностях </v>
      </c>
      <c r="G218" s="4" t="str">
        <f ca="1">IFERROR(__xludf.DUMMYFUNCTION("TEXTJOIN(""|"",TRUE,UNIQUE(FILTER(SPLIT(F218,"" ""),LEN(SPLIT(F218,"" ""))&gt;2)))"),"грушечный|набор|фруктов|овощей|магните|абор|используется|для|сюжетных|игр|сортировки|лементы|снабжены|магнитной|основой|что|позволяет|закреплять|металлических|поверхностях")</f>
        <v>грушечный|набор|фруктов|овощей|магните|абор|используется|для|сюжетных|игр|сортировки|лементы|снабжены|магнитной|основой|что|позволяет|закреплять|металлических|поверхностях</v>
      </c>
      <c r="I218" s="1"/>
      <c r="J218" s="1"/>
    </row>
    <row r="219" spans="1:10" x14ac:dyDescent="0.2">
      <c r="A219" s="8" t="s">
        <v>2952</v>
      </c>
      <c r="B219" s="8" t="s">
        <v>2951</v>
      </c>
      <c r="C219" s="7" t="s">
        <v>2950</v>
      </c>
      <c r="D219" s="6">
        <v>29900</v>
      </c>
      <c r="E219" s="5">
        <v>5</v>
      </c>
      <c r="F219" s="4" t="str">
        <f ca="1">IFERROR(__xludf.DUMMYFUNCTION("LOWER(REGEXREPLACE(B219&amp;"" ""&amp;C219,""[^а-яa-z0-9 ]"","" ""))")," грушка   пасательный вертолет    грушка   пасательный вертолет   длина не менее 65 см   ыполнена из прочного безопасного материала  предназначена для сюжетно ролевых игр   азвивает воображение и координацию движений у детей ")</f>
        <v xml:space="preserve"> грушка   пасательный вертолет    грушка   пасательный вертолет   длина не менее 65 см   ыполнена из прочного безопасного материала  предназначена для сюжетно ролевых игр   азвивает воображение и координацию движений у детей </v>
      </c>
      <c r="G219" s="4" t="str">
        <f ca="1">IFERROR(__xludf.DUMMYFUNCTION("TEXTJOIN(""|"",TRUE,UNIQUE(FILTER(SPLIT(F219,"" ""),LEN(SPLIT(F219,"" ""))&gt;2)))"),"грушка|пасательный|вертолет|грушка|пасательный|вертолет|длина|менее|ыполнена|прочного|безопасного|материала|предназначена|для|сюжетно|ролевых|игр|азвивает|воображение|координацию|движений|детей")</f>
        <v>грушка|пасательный|вертолет|грушка|пасательный|вертолет|длина|менее|ыполнена|прочного|безопасного|материала|предназначена|для|сюжетно|ролевых|игр|азвивает|воображение|координацию|движений|детей</v>
      </c>
      <c r="I219" s="1"/>
      <c r="J219" s="1"/>
    </row>
    <row r="220" spans="1:10" x14ac:dyDescent="0.2">
      <c r="A220" s="8" t="s">
        <v>2949</v>
      </c>
      <c r="B220" s="7" t="s">
        <v>2948</v>
      </c>
      <c r="C220" s="7" t="s">
        <v>2947</v>
      </c>
      <c r="D220" s="6">
        <v>20500</v>
      </c>
      <c r="E220" s="5">
        <v>5</v>
      </c>
      <c r="F220" s="4" t="str">
        <f ca="1">IFERROR(__xludf.DUMMYFUNCTION("LOWER(REGEXREPLACE(B220&amp;"" ""&amp;C220,""[^а-яa-z0-9 ]"","" ""))")," грушка   етономешалка   грушка в виде строительной техники используется для сюжетно ролевых игр с тематикой строительства   снащена подвижными элементами  световыми эффектами и работает от элементов питания    процессе игры выполняются действия по переме"&amp;"щению и имитации работы техники   зделие выполнено из пластика и рассчитано на игровое использование ")</f>
        <v xml:space="preserve"> грушка   етономешалка   грушка в виде строительной техники используется для сюжетно ролевых игр с тематикой строительства   снащена подвижными элементами  световыми эффектами и работает от элементов питания    процессе игры выполняются действия по перемещению и имитации работы техники   зделие выполнено из пластика и рассчитано на игровое использование </v>
      </c>
      <c r="G220" s="4" t="str">
        <f ca="1">IFERROR(__xludf.DUMMYFUNCTION("TEXTJOIN(""|"",TRUE,UNIQUE(FILTER(SPLIT(F220,"" ""),LEN(SPLIT(F220,"" ""))&gt;2)))"),"грушка|етономешалка|грушка|виде|строительной|техники|используется|для|сюжетно|ролевых|игр|тематикой|строительства|снащена|подвижными|элементами|световыми|эффектами|работает|элементов|питания|процессе|игры|выполняются|действия|перемещению|имитации|работы|т"&amp;"ехники|зделие|выполнено|пластика|рассчитано|игровое|использование")</f>
        <v>грушка|етономешалка|грушка|виде|строительной|техники|используется|для|сюжетно|ролевых|игр|тематикой|строительства|снащена|подвижными|элементами|световыми|эффектами|работает|элементов|питания|процессе|игры|выполняются|действия|перемещению|имитации|работы|техники|зделие|выполнено|пластика|рассчитано|игровое|использование</v>
      </c>
      <c r="I220" s="1"/>
      <c r="J220" s="1"/>
    </row>
    <row r="221" spans="1:10" x14ac:dyDescent="0.2">
      <c r="A221" s="8" t="s">
        <v>2946</v>
      </c>
      <c r="B221" s="7" t="s">
        <v>2945</v>
      </c>
      <c r="C221" s="7" t="s">
        <v>2944</v>
      </c>
      <c r="D221" s="6">
        <v>18600</v>
      </c>
      <c r="E221" s="5">
        <v>7</v>
      </c>
      <c r="F221" s="4" t="str">
        <f ca="1">IFERROR(__xludf.DUMMYFUNCTION("LOWER(REGEXREPLACE(B221&amp;"" ""&amp;C221,""[^а-яa-z0-9 ]"","" ""))")," грушка  онтессори   изиборд 3    екомендовать возраст   0 3 года  3 6 лет  атериал  ткань  писание   нига из фетра  тихая книга  тение родителей и детей играет важную роль в чтении и взрослении детей    амое главное   начать с историй  происходящих вокру"&amp;"г детей   огда ребенок читает  у него возникает очень ситуативное чувство замены ")</f>
        <v xml:space="preserve"> грушка  онтессори   изиборд 3    екомендовать возраст   0 3 года  3 6 лет  атериал  ткань  писание   нига из фетра  тихая книга  тение родителей и детей играет важную роль в чтении и взрослении детей    амое главное   начать с историй  происходящих вокруг детей   огда ребенок читает  у него возникает очень ситуативное чувство замены </v>
      </c>
      <c r="G221" s="4" t="str">
        <f ca="1">IFERROR(__xludf.DUMMYFUNCTION("TEXTJOIN(""|"",TRUE,UNIQUE(FILTER(SPLIT(F221,"" ""),LEN(SPLIT(F221,"" ""))&gt;2)))"),"грушка|онтессори|изиборд|екомендовать|возраст|года|лет|атериал|ткань|писание|нига|фетра|тихая|книга|тение|родителей|детей|играет|важную|роль|чтении|взрослении|детей|амое|главное|начать|историй|происходящих|вокруг|детей|огда|ребенок|читает|него|возникает|о"&amp;"чень|ситуативное|чувство|замены")</f>
        <v>грушка|онтессори|изиборд|екомендовать|возраст|года|лет|атериал|ткань|писание|нига|фетра|тихая|книга|тение|родителей|детей|играет|важную|роль|чтении|взрослении|детей|амое|главное|начать|историй|происходящих|вокруг|детей|огда|ребенок|читает|него|возникает|очень|ситуативное|чувство|замены</v>
      </c>
      <c r="I221" s="1"/>
      <c r="J221" s="1"/>
    </row>
    <row r="222" spans="1:10" x14ac:dyDescent="0.2">
      <c r="A222" s="8" t="s">
        <v>2943</v>
      </c>
      <c r="B222" s="7" t="s">
        <v>2942</v>
      </c>
      <c r="C222" s="7" t="s">
        <v>2941</v>
      </c>
      <c r="D222" s="6">
        <v>2000</v>
      </c>
      <c r="E222" s="5">
        <v>35</v>
      </c>
      <c r="F222" s="4" t="str">
        <f ca="1">IFERROR(__xludf.DUMMYFUNCTION("LOWER(REGEXREPLACE(B222&amp;"" ""&amp;C222,""[^а-яa-z0-9 ]"","" ""))")," грушка забава  грушка используется для свободной игровой деятельности   азначение зависит от конструкции изделия ")</f>
        <v xml:space="preserve"> грушка забава  грушка используется для свободной игровой деятельности   азначение зависит от конструкции изделия </v>
      </c>
      <c r="G222" s="4" t="str">
        <f ca="1">IFERROR(__xludf.DUMMYFUNCTION("TEXTJOIN(""|"",TRUE,UNIQUE(FILTER(SPLIT(F222,"" ""),LEN(SPLIT(F222,"" ""))&gt;2)))"),"грушка|забава|грушка|используется|для|свободной|игровой|деятельности|азначение|зависит|конструкции|изделия")</f>
        <v>грушка|забава|грушка|используется|для|свободной|игровой|деятельности|азначение|зависит|конструкции|изделия</v>
      </c>
      <c r="I222" s="1"/>
      <c r="J222" s="1"/>
    </row>
    <row r="223" spans="1:10" x14ac:dyDescent="0.2">
      <c r="A223" s="8" t="s">
        <v>2940</v>
      </c>
      <c r="B223" s="7" t="s">
        <v>2939</v>
      </c>
      <c r="C223" s="7" t="s">
        <v>2938</v>
      </c>
      <c r="D223" s="6">
        <v>19000</v>
      </c>
      <c r="E223" s="5">
        <v>1</v>
      </c>
      <c r="F223" s="4" t="str">
        <f ca="1">IFERROR(__xludf.DUMMYFUNCTION("LOWER(REGEXREPLACE(B223&amp;"" ""&amp;C223,""[^а-яa-z0-9 ]"","" ""))")," грушка каталка  грушка предназначена для перемещения по поверхности пут м толкания   спользуется в подвижных играх   атериал изготовления   пластик ")</f>
        <v xml:space="preserve"> грушка каталка  грушка предназначена для перемещения по поверхности пут м толкания   спользуется в подвижных играх   атериал изготовления   пластик </v>
      </c>
      <c r="G223" s="4" t="str">
        <f ca="1">IFERROR(__xludf.DUMMYFUNCTION("TEXTJOIN(""|"",TRUE,UNIQUE(FILTER(SPLIT(F223,"" ""),LEN(SPLIT(F223,"" ""))&gt;2)))"),"грушка|каталка|грушка|предназначена|для|перемещения|поверхности|пут|толкания|спользуется|подвижных|играх|атериал|изготовления|пластик")</f>
        <v>грушка|каталка|грушка|предназначена|для|перемещения|поверхности|пут|толкания|спользуется|подвижных|играх|атериал|изготовления|пластик</v>
      </c>
      <c r="I223" s="1"/>
      <c r="J223" s="1"/>
    </row>
    <row r="224" spans="1:10" x14ac:dyDescent="0.2">
      <c r="A224" s="8" t="s">
        <v>2937</v>
      </c>
      <c r="B224" s="7" t="s">
        <v>2936</v>
      </c>
      <c r="C224" s="7" t="s">
        <v>2935</v>
      </c>
      <c r="D224" s="6">
        <v>9500</v>
      </c>
      <c r="E224" s="5">
        <v>1</v>
      </c>
      <c r="F224" s="4" t="str">
        <f ca="1">IFERROR(__xludf.DUMMYFUNCTION("LOWER(REGEXREPLACE(B224&amp;"" ""&amp;C224,""[^а-яa-z0-9 ]"","" ""))")," грушка каталка   ертол т  на палочке  аталка используется в подвижной игре при движении реб нка по помещению   онструкция включает кол сную базу и ручку  палочку  для ведения    процессе игры выполняется координированное движение  идти вести   что поддер"&amp;"живает развитие общей моторики   атериал изготовления   пластик ")</f>
        <v xml:space="preserve"> грушка каталка   ертол т  на палочке  аталка используется в подвижной игре при движении реб нка по помещению   онструкция включает кол сную базу и ручку  палочку  для ведения    процессе игры выполняется координированное движение  идти вести   что поддерживает развитие общей моторики   атериал изготовления   пластик </v>
      </c>
      <c r="G224" s="4" t="str">
        <f ca="1">IFERROR(__xludf.DUMMYFUNCTION("TEXTJOIN(""|"",TRUE,UNIQUE(FILTER(SPLIT(F224,"" ""),LEN(SPLIT(F224,"" ""))&gt;2)))"),"грушка|каталка|ертол|палочке|аталка|используется|подвижной|игре|при|движении|реб|нка|помещению|онструкция|включает|кол|сную|базу|ручку|палочку|для|ведения|процессе|игры|выполняется|координированное|движение|идти|вести|что|поддерживает|развитие|общей|мотор"&amp;"ики|атериал|изготовления|пластик")</f>
        <v>грушка|каталка|ертол|палочке|аталка|используется|подвижной|игре|при|движении|реб|нка|помещению|онструкция|включает|кол|сную|базу|ручку|палочку|для|ведения|процессе|игры|выполняется|координированное|движение|идти|вести|что|поддерживает|развитие|общей|моторики|атериал|изготовления|пластик</v>
      </c>
      <c r="I224" s="1"/>
      <c r="J224" s="1"/>
    </row>
    <row r="225" spans="1:10" x14ac:dyDescent="0.2">
      <c r="A225" s="8" t="s">
        <v>2934</v>
      </c>
      <c r="B225" s="7" t="s">
        <v>2933</v>
      </c>
      <c r="C225" s="7" t="s">
        <v>2932</v>
      </c>
      <c r="D225" s="6">
        <v>19000</v>
      </c>
      <c r="E225" s="5">
        <v>1</v>
      </c>
      <c r="F225" s="4" t="str">
        <f ca="1">IFERROR(__xludf.DUMMYFUNCTION("LOWER(REGEXREPLACE(B225&amp;"" ""&amp;C225,""[^а-яa-z0-9 ]"","" ""))")," грушка каталка   литка  на палочке  аталка предназначена для сопровождения движения при ходьбе   снащена кол сами и ручкой для управления    процессе игры формируется согласованность действий рук и ног   атериал изготовления   пластик  рассчитан на регул"&amp;"ярную эксплуатацию ")</f>
        <v xml:space="preserve"> грушка каталка   литка  на палочке  аталка предназначена для сопровождения движения при ходьбе   снащена кол сами и ручкой для управления    процессе игры формируется согласованность действий рук и ног   атериал изготовления   пластик  рассчитан на регулярную эксплуатацию </v>
      </c>
      <c r="G225" s="4" t="str">
        <f ca="1">IFERROR(__xludf.DUMMYFUNCTION("TEXTJOIN(""|"",TRUE,UNIQUE(FILTER(SPLIT(F225,"" ""),LEN(SPLIT(F225,"" ""))&gt;2)))"),"грушка|каталка|литка|палочке|аталка|предназначена|для|сопровождения|движения|при|ходьбе|снащена|кол|сами|ручкой|для|управления|процессе|игры|формируется|согласованность|действий|рук|ног|атериал|изготовления|пластик|рассчитан|регулярную|эксплуатацию")</f>
        <v>грушка|каталка|литка|палочке|аталка|предназначена|для|сопровождения|движения|при|ходьбе|снащена|кол|сами|ручкой|для|управления|процессе|игры|формируется|согласованность|действий|рук|ног|атериал|изготовления|пластик|рассчитан|регулярную|эксплуатацию</v>
      </c>
      <c r="I225" s="1"/>
      <c r="J225" s="1"/>
    </row>
    <row r="226" spans="1:10" x14ac:dyDescent="0.2">
      <c r="A226" s="8" t="s">
        <v>2931</v>
      </c>
      <c r="B226" s="7" t="s">
        <v>2930</v>
      </c>
      <c r="C226" s="7" t="s">
        <v>2929</v>
      </c>
      <c r="D226" s="6">
        <v>11500</v>
      </c>
      <c r="E226" s="5">
        <v>10</v>
      </c>
      <c r="F226" s="4" t="str">
        <f ca="1">IFERROR(__xludf.DUMMYFUNCTION("LOWER(REGEXREPLACE(B226&amp;"" ""&amp;C226,""[^а-яa-z0-9 ]"","" ""))")," грушка пупс с аксессуарами  упс используется для сюжетно ролевых игр  связанных с уходом    комплект входят бутылочка и пустышка   атериалы изготовления   винил  пластик и текстиль ")</f>
        <v xml:space="preserve"> грушка пупс с аксессуарами  упс используется для сюжетно ролевых игр  связанных с уходом    комплект входят бутылочка и пустышка   атериалы изготовления   винил  пластик и текстиль </v>
      </c>
      <c r="G226" s="4" t="str">
        <f ca="1">IFERROR(__xludf.DUMMYFUNCTION("TEXTJOIN(""|"",TRUE,UNIQUE(FILTER(SPLIT(F226,"" ""),LEN(SPLIT(F226,"" ""))&gt;2)))"),"грушка|пупс|аксессуарами|упс|используется|для|сюжетно|ролевых|игр|связанных|уходом|комплект|входят|бутылочка|пустышка|атериалы|изготовления|винил|пластик|текстиль")</f>
        <v>грушка|пупс|аксессуарами|упс|используется|для|сюжетно|ролевых|игр|связанных|уходом|комплект|входят|бутылочка|пустышка|атериалы|изготовления|винил|пластик|текстиль</v>
      </c>
      <c r="I226" s="1"/>
      <c r="J226" s="1"/>
    </row>
    <row r="227" spans="1:10" x14ac:dyDescent="0.2">
      <c r="A227" s="8" t="s">
        <v>2928</v>
      </c>
      <c r="B227" s="7" t="s">
        <v>2927</v>
      </c>
      <c r="C227" s="7" t="s">
        <v>2926</v>
      </c>
      <c r="D227" s="6">
        <v>10400</v>
      </c>
      <c r="E227" s="5">
        <v>1</v>
      </c>
      <c r="F227" s="4" t="str">
        <f ca="1">IFERROR(__xludf.DUMMYFUNCTION("LOWER(REGEXREPLACE(B227&amp;"" ""&amp;C227,""[^а-яa-z0-9 ]"","" ""))")," грушки животные  набор   абор игрушек используется для сюжетных и настольных игр   игурки имеют размеры  удобные для удержания   редназначены для многократного использования ")</f>
        <v xml:space="preserve"> грушки животные  набор   абор игрушек используется для сюжетных и настольных игр   игурки имеют размеры  удобные для удержания   редназначены для многократного использования </v>
      </c>
      <c r="G227" s="4" t="str">
        <f ca="1">IFERROR(__xludf.DUMMYFUNCTION("TEXTJOIN(""|"",TRUE,UNIQUE(FILTER(SPLIT(F227,"" ""),LEN(SPLIT(F227,"" ""))&gt;2)))"),"грушки|животные|набор|абор|игрушек|используется|для|сюжетных|настольных|игр|игурки|имеют|размеры|удобные|для|удержания|редназначены|для|многократного|использования")</f>
        <v>грушки|животные|набор|абор|игрушек|используется|для|сюжетных|настольных|игр|игурки|имеют|размеры|удобные|для|удержания|редназначены|для|многократного|использования</v>
      </c>
      <c r="I227" s="1"/>
      <c r="J227" s="1"/>
    </row>
    <row r="228" spans="1:10" x14ac:dyDescent="0.2">
      <c r="A228" s="8" t="s">
        <v>2925</v>
      </c>
      <c r="B228" s="7" t="s">
        <v>2924</v>
      </c>
      <c r="C228" s="7" t="s">
        <v>2923</v>
      </c>
      <c r="D228" s="6">
        <v>14200</v>
      </c>
      <c r="E228" s="5">
        <v>25</v>
      </c>
      <c r="F228" s="4" t="str">
        <f ca="1">IFERROR(__xludf.DUMMYFUNCTION("LOWER(REGEXREPLACE(B228&amp;"" ""&amp;C228,""[^а-яa-z0-9 ]"","" ""))")," кварельные краски для занятий по рисованию  кварельные краски используются при выполнении художественных работ и упражнений по рисованию   рименяются для нанесения цветовых пятен  смешивания оттенков и освоения при мов работы с кистью    процессе рисован"&amp;"ия формируются навыки аккуратности и цветового восприятия   раски безвредны и предназначены для использования в детской среде ")</f>
        <v xml:space="preserve"> кварельные краски для занятий по рисованию  кварельные краски используются при выполнении художественных работ и упражнений по рисованию   рименяются для нанесения цветовых пятен  смешивания оттенков и освоения при мов работы с кистью    процессе рисования формируются навыки аккуратности и цветового восприятия   раски безвредны и предназначены для использования в детской среде </v>
      </c>
      <c r="G228" s="4" t="str">
        <f ca="1">IFERROR(__xludf.DUMMYFUNCTION("TEXTJOIN(""|"",TRUE,UNIQUE(FILTER(SPLIT(F228,"" ""),LEN(SPLIT(F228,"" ""))&gt;2)))"),"кварельные|краски|для|занятий|рисованию|кварельные|краски|используются|при|выполнении|художественных|работ|упражнений|рисованию|рименяются|для|нанесения|цветовых|пятен|смешивания|оттенков|освоения|при|мов|работы|кистью|процессе|рисования|формируются|навык"&amp;"и|аккуратности|цветового|восприятия|раски|безвредны|предназначены|для|использования|детской|среде")</f>
        <v>кварельные|краски|для|занятий|рисованию|кварельные|краски|используются|при|выполнении|художественных|работ|упражнений|рисованию|рименяются|для|нанесения|цветовых|пятен|смешивания|оттенков|освоения|при|мов|работы|кистью|процессе|рисования|формируются|навыки|аккуратности|цветового|восприятия|раски|безвредны|предназначены|для|использования|детской|среде</v>
      </c>
      <c r="I228" s="1"/>
      <c r="J228" s="1"/>
    </row>
    <row r="229" spans="1:10" x14ac:dyDescent="0.2">
      <c r="A229" s="8" t="s">
        <v>2922</v>
      </c>
      <c r="B229" s="7" t="s">
        <v>2921</v>
      </c>
      <c r="C229" s="7" t="s">
        <v>2920</v>
      </c>
      <c r="D229" s="6">
        <v>28500</v>
      </c>
      <c r="E229" s="5">
        <v>7</v>
      </c>
      <c r="F229" s="4" t="str">
        <f ca="1">IFERROR(__xludf.DUMMYFUNCTION("LOWER(REGEXREPLACE(B229&amp;"" ""&amp;C229,""[^а-яa-z0-9 ]"","" ""))")," ллюстративные альбомы родного края  льбомы используются для ознакомления с природой  культурой и бытом родного края   одержат иллюстрации и фотографии   рименяются при тематических занятиях ")</f>
        <v xml:space="preserve"> ллюстративные альбомы родного края  льбомы используются для ознакомления с природой  культурой и бытом родного края   одержат иллюстрации и фотографии   рименяются при тематических занятиях </v>
      </c>
      <c r="G229" s="4" t="str">
        <f ca="1">IFERROR(__xludf.DUMMYFUNCTION("TEXTJOIN(""|"",TRUE,UNIQUE(FILTER(SPLIT(F229,"" ""),LEN(SPLIT(F229,"" ""))&gt;2)))"),"ллюстративные|альбомы|родного|края|льбомы|используются|для|ознакомления|природой|культурой|бытом|родного|края|одержат|иллюстрации|фотографии|рименяются|при|тематических|занятиях")</f>
        <v>ллюстративные|альбомы|родного|края|льбомы|используются|для|ознакомления|природой|культурой|бытом|родного|края|одержат|иллюстрации|фотографии|рименяются|при|тематических|занятиях</v>
      </c>
      <c r="I229" s="1"/>
      <c r="J229" s="1"/>
    </row>
    <row r="230" spans="1:10" x14ac:dyDescent="0.2">
      <c r="A230" s="8" t="s">
        <v>2919</v>
      </c>
      <c r="B230" s="7" t="s">
        <v>2918</v>
      </c>
      <c r="C230" s="7" t="s">
        <v>2917</v>
      </c>
      <c r="D230" s="6">
        <v>19400</v>
      </c>
      <c r="E230" s="5">
        <v>5</v>
      </c>
      <c r="F230" s="4" t="str">
        <f ca="1">IFERROR(__xludf.DUMMYFUNCTION("LOWER(REGEXREPLACE(B230&amp;"" ""&amp;C230,""[^а-яa-z0-9 ]"","" ""))")," ллюстрированное издание   ивотные и птицы   нига используется для ознакомления с представителями животного мира и птицами   одержит иллюстрации и наглядные элементы  предназначенные для рассматривания и обсуждения   ормат издания позволяет использовать к"&amp;"нигу при совместном чтении и тематических занятиях   екст и изображения направлены на расширение кругозора и формирование представлений о живой природе ")</f>
        <v xml:space="preserve"> ллюстрированное издание   ивотные и птицы   нига используется для ознакомления с представителями животного мира и птицами   одержит иллюстрации и наглядные элементы  предназначенные для рассматривания и обсуждения   ормат издания позволяет использовать книгу при совместном чтении и тематических занятиях   екст и изображения направлены на расширение кругозора и формирование представлений о живой природе </v>
      </c>
      <c r="G230" s="4" t="str">
        <f ca="1">IFERROR(__xludf.DUMMYFUNCTION("TEXTJOIN(""|"",TRUE,UNIQUE(FILTER(SPLIT(F230,"" ""),LEN(SPLIT(F230,"" ""))&gt;2)))"),"ллюстрированное|издание|ивотные|птицы|нига|используется|для|ознакомления|представителями|животного|мира|птицами|одержит|иллюстрации|наглядные|элементы|предназначенные|для|рассматривания|обсуждения|ормат|издания|позволяет|использовать|книгу|при|совместном|"&amp;"чтении|тематических|занятиях|екст|изображения|направлены|расширение|кругозора|формирование|представлений|живой|природе")</f>
        <v>ллюстрированное|издание|ивотные|птицы|нига|используется|для|ознакомления|представителями|животного|мира|птицами|одержит|иллюстрации|наглядные|элементы|предназначенные|для|рассматривания|обсуждения|ормат|издания|позволяет|использовать|книгу|при|совместном|чтении|тематических|занятиях|екст|изображения|направлены|расширение|кругозора|формирование|представлений|живой|природе</v>
      </c>
      <c r="I230" s="1"/>
      <c r="J230" s="1"/>
    </row>
    <row r="231" spans="1:10" x14ac:dyDescent="0.2">
      <c r="A231" s="8" t="s">
        <v>2916</v>
      </c>
      <c r="B231" s="7" t="s">
        <v>2915</v>
      </c>
      <c r="C231" s="7" t="s">
        <v>2914</v>
      </c>
      <c r="D231" s="6">
        <v>20900</v>
      </c>
      <c r="E231" s="5">
        <v>1</v>
      </c>
      <c r="F231" s="4" t="str">
        <f ca="1">IFERROR(__xludf.DUMMYFUNCTION("LOWER(REGEXREPLACE(B231&amp;"" ""&amp;C231,""[^а-яa-z0-9 ]"","" ""))")," нерционные машинки  набор   абор включает инерционные машинки   спользуются для свободных сюжетных и подвижных игр   атериал изготовления   пластик ")</f>
        <v xml:space="preserve"> нерционные машинки  набор   абор включает инерционные машинки   спользуются для свободных сюжетных и подвижных игр   атериал изготовления   пластик </v>
      </c>
      <c r="G231" s="4" t="str">
        <f ca="1">IFERROR(__xludf.DUMMYFUNCTION("TEXTJOIN(""|"",TRUE,UNIQUE(FILTER(SPLIT(F231,"" ""),LEN(SPLIT(F231,"" ""))&gt;2)))"),"нерционные|машинки|набор|абор|включает|инерционные|машинки|спользуются|для|свободных|сюжетных|подвижных|игр|атериал|изготовления|пластик")</f>
        <v>нерционные|машинки|набор|абор|включает|инерционные|машинки|спользуются|для|свободных|сюжетных|подвижных|игр|атериал|изготовления|пластик</v>
      </c>
      <c r="I231" s="1"/>
      <c r="J231" s="1"/>
    </row>
    <row r="232" spans="1:10" x14ac:dyDescent="0.2">
      <c r="A232" s="8" t="s">
        <v>2913</v>
      </c>
      <c r="B232" s="7" t="s">
        <v>2912</v>
      </c>
      <c r="C232" s="7" t="s">
        <v>2911</v>
      </c>
      <c r="D232" s="6">
        <v>20500</v>
      </c>
      <c r="E232" s="5">
        <v>1</v>
      </c>
      <c r="F232" s="4" t="str">
        <f ca="1">IFERROR(__xludf.DUMMYFUNCTION("LOWER(REGEXREPLACE(B232&amp;"" ""&amp;C232,""[^а-яa-z0-9 ]"","" ""))")," нтерактивная дидактическая игра   збука  для составления слов  нтерактивная дидактическая игра включает задания по составлению слов и слогов из отдельных букв    процессе работы выполняется подбор букв и их размещение в правильной последовательности   ак"&amp;"ая деятельность направлена на формирование представлений о буквах  слогах и структуре слова  а также развитие речевых навыков   омплект содержит карточки с заданиями и подставку для их размещения ")</f>
        <v xml:space="preserve"> нтерактивная дидактическая игра   збука  для составления слов  нтерактивная дидактическая игра включает задания по составлению слов и слогов из отдельных букв    процессе работы выполняется подбор букв и их размещение в правильной последовательности   акая деятельность направлена на формирование представлений о буквах  слогах и структуре слова  а также развитие речевых навыков   омплект содержит карточки с заданиями и подставку для их размещения </v>
      </c>
      <c r="G232" s="4" t="str">
        <f ca="1">IFERROR(__xludf.DUMMYFUNCTION("TEXTJOIN(""|"",TRUE,UNIQUE(FILTER(SPLIT(F232,"" ""),LEN(SPLIT(F232,"" ""))&gt;2)))"),"нтерактивная|дидактическая|игра|збука|для|составления|слов|нтерактивная|дидактическая|игра|включает|задания|составлению|слов|слогов|отдельных|букв|процессе|работы|выполняется|подбор|букв|размещение|правильной|последовательности|акая|деятельность|направлен"&amp;"а|формирование|представлений|буквах|слогах|структуре|слова|также|развитие|речевых|навыков|омплект|содержит|карточки|заданиями|подставку|для|размещения")</f>
        <v>нтерактивная|дидактическая|игра|збука|для|составления|слов|нтерактивная|дидактическая|игра|включает|задания|составлению|слов|слогов|отдельных|букв|процессе|работы|выполняется|подбор|букв|размещение|правильной|последовательности|акая|деятельность|направлена|формирование|представлений|буквах|слогах|структуре|слова|также|развитие|речевых|навыков|омплект|содержит|карточки|заданиями|подставку|для|размещения</v>
      </c>
      <c r="I232" s="1"/>
      <c r="J232" s="1"/>
    </row>
    <row r="233" spans="1:10" x14ac:dyDescent="0.2">
      <c r="A233" s="8" t="s">
        <v>2910</v>
      </c>
      <c r="B233" s="7" t="s">
        <v>2909</v>
      </c>
      <c r="C233" s="7" t="s">
        <v>2908</v>
      </c>
      <c r="D233" s="6">
        <v>4800</v>
      </c>
      <c r="E233" s="5">
        <v>1</v>
      </c>
      <c r="F233" s="4" t="str">
        <f ca="1">IFERROR(__xludf.DUMMYFUNCTION("LOWER(REGEXREPLACE(B233&amp;"" ""&amp;C233,""[^а-яa-z0-9 ]"","" ""))")," нтерактивная книжка  нижка используется для рассматривания и выполнения игровых заданий   одержит сюжетные изображения   атериал страниц   картон ")</f>
        <v xml:space="preserve"> нтерактивная книжка  нижка используется для рассматривания и выполнения игровых заданий   одержит сюжетные изображения   атериал страниц   картон </v>
      </c>
      <c r="G233" s="4" t="str">
        <f ca="1">IFERROR(__xludf.DUMMYFUNCTION("TEXTJOIN(""|"",TRUE,UNIQUE(FILTER(SPLIT(F233,"" ""),LEN(SPLIT(F233,"" ""))&gt;2)))"),"нтерактивная|книжка|нижка|используется|для|рассматривания|выполнения|игровых|заданий|одержит|сюжетные|изображения|атериал|страниц|картон")</f>
        <v>нтерактивная|книжка|нижка|используется|для|рассматривания|выполнения|игровых|заданий|одержит|сюжетные|изображения|атериал|страниц|картон</v>
      </c>
      <c r="I233" s="1"/>
      <c r="J233" s="1"/>
    </row>
    <row r="234" spans="1:10" x14ac:dyDescent="0.2">
      <c r="A234" s="8" t="s">
        <v>2907</v>
      </c>
      <c r="B234" s="7" t="s">
        <v>2906</v>
      </c>
      <c r="C234" s="7" t="s">
        <v>2905</v>
      </c>
      <c r="D234" s="6">
        <v>570000</v>
      </c>
      <c r="E234" s="5">
        <v>1</v>
      </c>
      <c r="F234" s="4" t="str">
        <f ca="1">IFERROR(__xludf.DUMMYFUNCTION("LOWER(REGEXREPLACE(B234&amp;"" ""&amp;C234,""[^а-яa-z0-9 ]"","" ""))")," нтерактивное зеркало  нтерактивное зеркало используется в коррекционно развивающей работе   рименяется совместно с логопедическим оборудованием ")</f>
        <v xml:space="preserve"> нтерактивное зеркало  нтерактивное зеркало используется в коррекционно развивающей работе   рименяется совместно с логопедическим оборудованием </v>
      </c>
      <c r="G234" s="4" t="str">
        <f ca="1">IFERROR(__xludf.DUMMYFUNCTION("TEXTJOIN(""|"",TRUE,UNIQUE(FILTER(SPLIT(F234,"" ""),LEN(SPLIT(F234,"" ""))&gt;2)))"),"нтерактивное|зеркало|нтерактивное|зеркало|используется|коррекционно|развивающей|работе|рименяется|совместно|логопедическим|оборудованием")</f>
        <v>нтерактивное|зеркало|нтерактивное|зеркало|используется|коррекционно|развивающей|работе|рименяется|совместно|логопедическим|оборудованием</v>
      </c>
      <c r="I234" s="1"/>
      <c r="J234" s="1"/>
    </row>
    <row r="235" spans="1:10" x14ac:dyDescent="0.2">
      <c r="A235" s="8" t="s">
        <v>2904</v>
      </c>
      <c r="B235" s="7" t="s">
        <v>2903</v>
      </c>
      <c r="C235" s="7" t="s">
        <v>2902</v>
      </c>
      <c r="D235" s="6">
        <v>93300</v>
      </c>
      <c r="E235" s="5">
        <v>5</v>
      </c>
      <c r="F235" s="4" t="str">
        <f ca="1">IFERROR(__xludf.DUMMYFUNCTION("LOWER(REGEXREPLACE(B235&amp;"" ""&amp;C235,""[^а-яa-z0-9 ]"","" ""))")," нтерактивный глобус  лобус используется для изучения географии с применением дополненной реальности   правление осуществляется через мобильное приложение   редусмотрены учебный и игровой режимы ")</f>
        <v xml:space="preserve"> нтерактивный глобус  лобус используется для изучения географии с применением дополненной реальности   правление осуществляется через мобильное приложение   редусмотрены учебный и игровой режимы </v>
      </c>
      <c r="G235" s="4" t="str">
        <f ca="1">IFERROR(__xludf.DUMMYFUNCTION("TEXTJOIN(""|"",TRUE,UNIQUE(FILTER(SPLIT(F235,"" ""),LEN(SPLIT(F235,"" ""))&gt;2)))"),"нтерактивный|глобус|лобус|используется|для|изучения|географии|применением|дополненной|реальности|правление|осуществляется|через|мобильное|приложение|редусмотрены|учебный|игровой|режимы")</f>
        <v>нтерактивный|глобус|лобус|используется|для|изучения|географии|применением|дополненной|реальности|правление|осуществляется|через|мобильное|приложение|редусмотрены|учебный|игровой|режимы</v>
      </c>
      <c r="I235" s="1"/>
      <c r="J235" s="1"/>
    </row>
    <row r="236" spans="1:10" x14ac:dyDescent="0.2">
      <c r="A236" s="8" t="s">
        <v>2901</v>
      </c>
      <c r="B236" s="7" t="s">
        <v>2900</v>
      </c>
      <c r="C236" s="7" t="s">
        <v>2899</v>
      </c>
      <c r="D236" s="6">
        <v>22800</v>
      </c>
      <c r="E236" s="5">
        <v>10</v>
      </c>
      <c r="F236" s="4" t="str">
        <f ca="1">IFERROR(__xludf.DUMMYFUNCTION("LOWER(REGEXREPLACE(B236&amp;"" ""&amp;C236,""[^а-яa-z0-9 ]"","" ""))")," нформационно творческое панно для детских работ и целей  анно предназначено для размещения детских рисунков  творческих работ и визуализации индивидуальных и групповых целей   пособствует развитию уверенности в себе  положительной самооценки и мотивации "&amp;"к творческой и познавательной деятельности ")</f>
        <v xml:space="preserve"> нформационно творческое панно для детских работ и целей  анно предназначено для размещения детских рисунков  творческих работ и визуализации индивидуальных и групповых целей   пособствует развитию уверенности в себе  положительной самооценки и мотивации к творческой и познавательной деятельности </v>
      </c>
      <c r="G236" s="4" t="str">
        <f ca="1">IFERROR(__xludf.DUMMYFUNCTION("TEXTJOIN(""|"",TRUE,UNIQUE(FILTER(SPLIT(F236,"" ""),LEN(SPLIT(F236,"" ""))&gt;2)))"),"нформационно|творческое|панно|для|детских|работ|целей|анно|предназначено|для|размещения|детских|рисунков|творческих|работ|визуализации|индивидуальных|групповых|целей|пособствует|развитию|уверенности|себе|положительной|самооценки|мотивации|творческой|позна"&amp;"вательной|деятельности")</f>
        <v>нформационно|творческое|панно|для|детских|работ|целей|анно|предназначено|для|размещения|детских|рисунков|творческих|работ|визуализации|индивидуальных|групповых|целей|пособствует|развитию|уверенности|себе|положительной|самооценки|мотивации|творческой|познавательной|деятельности</v>
      </c>
      <c r="I236" s="1"/>
      <c r="J236" s="1"/>
    </row>
    <row r="237" spans="1:10" x14ac:dyDescent="0.2">
      <c r="A237" s="8" t="s">
        <v>2898</v>
      </c>
      <c r="B237" s="7" t="s">
        <v>2897</v>
      </c>
      <c r="C237" s="7" t="s">
        <v>2896</v>
      </c>
      <c r="D237" s="6">
        <v>14400</v>
      </c>
      <c r="E237" s="5">
        <v>3</v>
      </c>
      <c r="F237" s="4" t="str">
        <f ca="1">IFERROR(__xludf.DUMMYFUNCTION("LOWER(REGEXREPLACE(B237&amp;"" ""&amp;C237,""[^а-яa-z0-9 ]"","" ""))")," скусственные декоративные горшечные растения  скусственные горшечные растения используются для декоративного оформления интерьера   рименяются при создании визуально комфортной среды   е требуют ухода и полива    комплект входит не менее 3 изделий ")</f>
        <v xml:space="preserve"> скусственные декоративные горшечные растения  скусственные горшечные растения используются для декоративного оформления интерьера   рименяются при создании визуально комфортной среды   е требуют ухода и полива    комплект входит не менее 3 изделий </v>
      </c>
      <c r="G237" s="4" t="str">
        <f ca="1">IFERROR(__xludf.DUMMYFUNCTION("TEXTJOIN(""|"",TRUE,UNIQUE(FILTER(SPLIT(F237,"" ""),LEN(SPLIT(F237,"" ""))&gt;2)))"),"скусственные|декоративные|горшечные|растения|скусственные|горшечные|растения|используются|для|декоративного|оформления|интерьера|рименяются|при|создании|визуально|комфортной|среды|требуют|ухода|полива|комплект|входит|менее|изделий")</f>
        <v>скусственные|декоративные|горшечные|растения|скусственные|горшечные|растения|используются|для|декоративного|оформления|интерьера|рименяются|при|создании|визуально|комфортной|среды|требуют|ухода|полива|комплект|входит|менее|изделий</v>
      </c>
      <c r="I237" s="1"/>
      <c r="J237" s="1"/>
    </row>
    <row r="238" spans="1:10" x14ac:dyDescent="0.2">
      <c r="A238" s="8" t="s">
        <v>2895</v>
      </c>
      <c r="B238" s="7" t="s">
        <v>2894</v>
      </c>
      <c r="C238" s="7" t="s">
        <v>1581</v>
      </c>
      <c r="D238" s="6">
        <v>40800</v>
      </c>
      <c r="E238" s="5">
        <v>1</v>
      </c>
      <c r="F238" s="4" t="str">
        <f ca="1">IFERROR(__xludf.DUMMYFUNCTION("LOWER(REGEXREPLACE(B238&amp;"" ""&amp;C238,""[^а-яa-z0-9 ]"","" ""))")," скусство   ннотированное  амирова     ")</f>
        <v xml:space="preserve"> скусство   ннотированное  амирова     </v>
      </c>
      <c r="G238" s="4" t="str">
        <f ca="1">IFERROR(__xludf.DUMMYFUNCTION("TEXTJOIN(""|"",TRUE,UNIQUE(FILTER(SPLIT(F238,"" ""),LEN(SPLIT(F238,"" ""))&gt;2)))"),"скусство|ннотированное|амирова")</f>
        <v>скусство|ннотированное|амирова</v>
      </c>
      <c r="I238" s="1"/>
      <c r="J238" s="1"/>
    </row>
    <row r="239" spans="1:10" x14ac:dyDescent="0.2">
      <c r="A239" s="8" t="s">
        <v>2893</v>
      </c>
      <c r="B239" s="7" t="s">
        <v>2892</v>
      </c>
      <c r="C239" s="7" t="s">
        <v>2891</v>
      </c>
      <c r="D239" s="6">
        <v>102600</v>
      </c>
      <c r="E239" s="5">
        <v>1</v>
      </c>
      <c r="F239" s="4" t="str">
        <f ca="1">IFERROR(__xludf.DUMMYFUNCTION("LOWER(REGEXREPLACE(B239&amp;"" ""&amp;C239,""[^а-яa-z0-9 ]"","" ""))")," квариум декоративный с подсветкой  фильтрацией и обогревом  квариум используется для размещения и содержания водных обитателей   рименяется как элемент интерьерного и наглядного оформления помещений   снащ н подсветкой  фильтром и обогревателем для подде"&amp;"ржания условий содержания   бъ м аквариума составляет не менее 48 л   абаритные размеры   не менее 55 30 29 см ")</f>
        <v xml:space="preserve"> квариум декоративный с подсветкой  фильтрацией и обогревом  квариум используется для размещения и содержания водных обитателей   рименяется как элемент интерьерного и наглядного оформления помещений   снащ н подсветкой  фильтром и обогревателем для поддержания условий содержания   бъ м аквариума составляет не менее 48 л   абаритные размеры   не менее 55 30 29 см </v>
      </c>
      <c r="G239" s="4" t="str">
        <f ca="1">IFERROR(__xludf.DUMMYFUNCTION("TEXTJOIN(""|"",TRUE,UNIQUE(FILTER(SPLIT(F239,"" ""),LEN(SPLIT(F239,"" ""))&gt;2)))"),"квариум|декоративный|подсветкой|фильтрацией|обогревом|квариум|используется|для|размещения|содержания|водных|обитателей|рименяется|как|элемент|интерьерного|наглядного|оформления|помещений|снащ|подсветкой|фильтром|обогревателем|для|поддержания|условий|содер"&amp;"жания|аквариума|составляет|менее|абаритные|размеры|менее")</f>
        <v>квариум|декоративный|подсветкой|фильтрацией|обогревом|квариум|используется|для|размещения|содержания|водных|обитателей|рименяется|как|элемент|интерьерного|наглядного|оформления|помещений|снащ|подсветкой|фильтром|обогревателем|для|поддержания|условий|содержания|аквариума|составляет|менее|абаритные|размеры|менее</v>
      </c>
      <c r="I239" s="1"/>
      <c r="J239" s="1"/>
    </row>
    <row r="240" spans="1:10" x14ac:dyDescent="0.2">
      <c r="A240" s="8" t="s">
        <v>2890</v>
      </c>
      <c r="B240" s="7" t="s">
        <v>2889</v>
      </c>
      <c r="C240" s="7" t="s">
        <v>2888</v>
      </c>
      <c r="D240" s="6">
        <v>12000</v>
      </c>
      <c r="E240" s="5">
        <v>1</v>
      </c>
      <c r="F240" s="4" t="str">
        <f ca="1">IFERROR(__xludf.DUMMYFUNCTION("LOWER(REGEXREPLACE(B240&amp;"" ""&amp;C240,""[^а-яa-z0-9 ]"","" ""))")," азахские сказки  оставитель  аева     ")</f>
        <v xml:space="preserve"> азахские сказки  оставитель  аева     </v>
      </c>
      <c r="G240" s="4" t="str">
        <f ca="1">IFERROR(__xludf.DUMMYFUNCTION("TEXTJOIN(""|"",TRUE,UNIQUE(FILTER(SPLIT(F240,"" ""),LEN(SPLIT(F240,"" ""))&gt;2)))"),"азахские|сказки|оставитель|аева")</f>
        <v>азахские|сказки|оставитель|аева</v>
      </c>
      <c r="I240" s="1"/>
      <c r="J240" s="1"/>
    </row>
    <row r="241" spans="1:10" x14ac:dyDescent="0.2">
      <c r="A241" s="8" t="s">
        <v>2887</v>
      </c>
      <c r="B241" s="7" t="s">
        <v>2886</v>
      </c>
      <c r="C241" s="7" t="s">
        <v>2885</v>
      </c>
      <c r="D241" s="6">
        <v>24900</v>
      </c>
      <c r="E241" s="5">
        <v>1</v>
      </c>
      <c r="F241" s="4" t="str">
        <f ca="1">IFERROR(__xludf.DUMMYFUNCTION("LOWER(REGEXREPLACE(B241&amp;"" ""&amp;C241,""[^а-яa-z0-9 ]"","" ""))")," ак все работает   нциклопедия под ред      ренсис      ьюстон  перевод  аталова    ")</f>
        <v xml:space="preserve"> ак все работает   нциклопедия под ред      ренсис      ьюстон  перевод  аталова    </v>
      </c>
      <c r="G241" s="4" t="str">
        <f ca="1">IFERROR(__xludf.DUMMYFUNCTION("TEXTJOIN(""|"",TRUE,UNIQUE(FILTER(SPLIT(F241,"" ""),LEN(SPLIT(F241,"" ""))&gt;2)))"),"все|работает|нциклопедия|под|ред|ренсис|ьюстон|перевод|аталова")</f>
        <v>все|работает|нциклопедия|под|ред|ренсис|ьюстон|перевод|аталова</v>
      </c>
      <c r="I241" s="1"/>
      <c r="J241" s="1"/>
    </row>
    <row r="242" spans="1:10" x14ac:dyDescent="0.2">
      <c r="A242" s="8" t="s">
        <v>2884</v>
      </c>
      <c r="B242" s="7" t="s">
        <v>2883</v>
      </c>
      <c r="C242" s="7" t="s">
        <v>2882</v>
      </c>
      <c r="D242" s="6">
        <v>4400</v>
      </c>
      <c r="E242" s="5">
        <v>5</v>
      </c>
      <c r="F242" s="4" t="str">
        <f ca="1">IFERROR(__xludf.DUMMYFUNCTION("LOWER(REGEXREPLACE(B242&amp;"" ""&amp;C242,""[^а-яa-z0-9 ]"","" ""))")," алейдоскоп детский  алейдоскоп используется для наблюдения визуальных узоров при вращении корпуса    процессе использования выполняются действия по повороту и рассматриванию изменяющихся рисунков   акая деятельность способствует развитию зрительного восп"&amp;"риятия и интереса к симметрии и цветовым сочетаниям   орпус выполнен из пластика и бумаги ")</f>
        <v xml:space="preserve"> алейдоскоп детский  алейдоскоп используется для наблюдения визуальных узоров при вращении корпуса    процессе использования выполняются действия по повороту и рассматриванию изменяющихся рисунков   акая деятельность способствует развитию зрительного восприятия и интереса к симметрии и цветовым сочетаниям   орпус выполнен из пластика и бумаги </v>
      </c>
      <c r="G242" s="4" t="str">
        <f ca="1">IFERROR(__xludf.DUMMYFUNCTION("TEXTJOIN(""|"",TRUE,UNIQUE(FILTER(SPLIT(F242,"" ""),LEN(SPLIT(F242,"" ""))&gt;2)))"),"алейдоскоп|детский|алейдоскоп|используется|для|наблюдения|визуальных|узоров|при|вращении|корпуса|процессе|использования|выполняются|действия|повороту|рассматриванию|изменяющихся|рисунков|акая|деятельность|способствует|развитию|зрительного|восприятия|интер"&amp;"еса|симметрии|цветовым|сочетаниям|орпус|выполнен|пластика|бумаги")</f>
        <v>алейдоскоп|детский|алейдоскоп|используется|для|наблюдения|визуальных|узоров|при|вращении|корпуса|процессе|использования|выполняются|действия|повороту|рассматриванию|изменяющихся|рисунков|акая|деятельность|способствует|развитию|зрительного|восприятия|интереса|симметрии|цветовым|сочетаниям|орпус|выполнен|пластика|бумаги</v>
      </c>
      <c r="I242" s="1"/>
      <c r="J242" s="1"/>
    </row>
    <row r="243" spans="1:10" x14ac:dyDescent="0.2">
      <c r="A243" s="8" t="s">
        <v>2881</v>
      </c>
      <c r="B243" s="7" t="s">
        <v>2880</v>
      </c>
      <c r="C243" s="7" t="s">
        <v>2879</v>
      </c>
      <c r="D243" s="6">
        <v>15200</v>
      </c>
      <c r="E243" s="5">
        <v>1</v>
      </c>
      <c r="F243" s="4" t="str">
        <f ca="1">IFERROR(__xludf.DUMMYFUNCTION("LOWER(REGEXREPLACE(B243&amp;"" ""&amp;C243,""[^а-яa-z0-9 ]"","" ""))")," алендарь погоды  наглядное пособие   алендарь используется для ежедневного фиксации наблюдений за погодой и обсуждения сезонных изменений   рименяется при утренних беседах и тематических занятиях   ормат календаря   не менее 13 18 см   онструкция предусм"&amp;"атривает размещение обозначений  температура  осадки  облачность  в удобной форме   ассчитан на регулярное использование в помещении ")</f>
        <v xml:space="preserve"> алендарь погоды  наглядное пособие   алендарь используется для ежедневного фиксации наблюдений за погодой и обсуждения сезонных изменений   рименяется при утренних беседах и тематических занятиях   ормат календаря   не менее 13 18 см   онструкция предусматривает размещение обозначений  температура  осадки  облачность  в удобной форме   ассчитан на регулярное использование в помещении </v>
      </c>
      <c r="G243" s="4" t="str">
        <f ca="1">IFERROR(__xludf.DUMMYFUNCTION("TEXTJOIN(""|"",TRUE,UNIQUE(FILTER(SPLIT(F243,"" ""),LEN(SPLIT(F243,"" ""))&gt;2)))"),"алендарь|погоды|наглядное|пособие|алендарь|используется|для|ежедневного|фиксации|наблюдений|погодой|обсуждения|сезонных|изменений|рименяется|при|утренних|беседах|тематических|занятиях|ормат|календаря|менее|онструкция|предусматривает|размещение|обозначений"&amp;"|температура|осадки|облачность|удобной|форме|ассчитан|регулярное|использование|помещении")</f>
        <v>алендарь|погоды|наглядное|пособие|алендарь|используется|для|ежедневного|фиксации|наблюдений|погодой|обсуждения|сезонных|изменений|рименяется|при|утренних|беседах|тематических|занятиях|ормат|календаря|менее|онструкция|предусматривает|размещение|обозначений|температура|осадки|облачность|удобной|форме|ассчитан|регулярное|использование|помещении</v>
      </c>
      <c r="I243" s="1"/>
      <c r="J243" s="1"/>
    </row>
    <row r="244" spans="1:10" x14ac:dyDescent="0.2">
      <c r="A244" s="8" t="s">
        <v>2878</v>
      </c>
      <c r="B244" s="7" t="s">
        <v>2877</v>
      </c>
      <c r="C244" s="7" t="s">
        <v>2876</v>
      </c>
      <c r="D244" s="6">
        <v>47500</v>
      </c>
      <c r="E244" s="5">
        <v>19</v>
      </c>
      <c r="F244" s="4" t="str">
        <f ca="1">IFERROR(__xludf.DUMMYFUNCTION("LOWER(REGEXREPLACE(B244&amp;"" ""&amp;C244,""[^а-яa-z0-9 ]"","" ""))")," остюм   ожарный   гровой костюм используется в сюжетно ролевых играх  посвящ нных профессиям и безопасности   омплект включает элементы формы и игровые аксессуары  имитирующие снаряжение пожарного   озволяет разыгрывать ситуации помощи и спасения  формир"&amp;"уя представления о социальной роли профессии и ответственности   атериалы   текстиль и пластик ")</f>
        <v xml:space="preserve"> остюм   ожарный   гровой костюм используется в сюжетно ролевых играх  посвящ нных профессиям и безопасности   омплект включает элементы формы и игровые аксессуары  имитирующие снаряжение пожарного   озволяет разыгрывать ситуации помощи и спасения  формируя представления о социальной роли профессии и ответственности   атериалы   текстиль и пластик </v>
      </c>
      <c r="G244" s="4" t="str">
        <f ca="1">IFERROR(__xludf.DUMMYFUNCTION("TEXTJOIN(""|"",TRUE,UNIQUE(FILTER(SPLIT(F244,"" ""),LEN(SPLIT(F244,"" ""))&gt;2)))"),"остюм|ожарный|гровой|костюм|используется|сюжетно|ролевых|играх|посвящ|нных|профессиям|безопасности|омплект|включает|элементы|формы|игровые|аксессуары|имитирующие|снаряжение|пожарного|озволяет|разыгрывать|ситуации|помощи|спасения|формируя|представления|соц"&amp;"иальной|роли|профессии|ответственности|атериалы|текстиль|пластик")</f>
        <v>остюм|ожарный|гровой|костюм|используется|сюжетно|ролевых|играх|посвящ|нных|профессиям|безопасности|омплект|включает|элементы|формы|игровые|аксессуары|имитирующие|снаряжение|пожарного|озволяет|разыгрывать|ситуации|помощи|спасения|формируя|представления|социальной|роли|профессии|ответственности|атериалы|текстиль|пластик</v>
      </c>
      <c r="I244" s="1"/>
      <c r="J244" s="1"/>
    </row>
    <row r="245" spans="1:10" x14ac:dyDescent="0.2">
      <c r="A245" s="8" t="s">
        <v>2875</v>
      </c>
      <c r="B245" s="7" t="s">
        <v>2874</v>
      </c>
      <c r="C245" s="7" t="s">
        <v>2873</v>
      </c>
      <c r="D245" s="6">
        <v>3600</v>
      </c>
      <c r="E245" s="5">
        <v>1</v>
      </c>
      <c r="F245" s="4" t="str">
        <f ca="1">IFERROR(__xludf.DUMMYFUNCTION("LOWER(REGEXREPLACE(B245&amp;"" ""&amp;C245,""[^а-яa-z0-9 ]"","" ""))")," апитан  ук   aptain  ook  каз   рус   англ яз      евин  перевод  ужикова      санова    ")</f>
        <v xml:space="preserve"> апитан  ук   aptain  ook  каз   рус   англ яз      евин  перевод  ужикова      санова    </v>
      </c>
      <c r="G245" s="4" t="str">
        <f ca="1">IFERROR(__xludf.DUMMYFUNCTION("TEXTJOIN(""|"",TRUE,UNIQUE(FILTER(SPLIT(F245,"" ""),LEN(SPLIT(F245,"" ""))&gt;2)))"),"апитан|aptain|ook|каз|рус|англ|евин|перевод|ужикова|санова")</f>
        <v>апитан|aptain|ook|каз|рус|англ|евин|перевод|ужикова|санова</v>
      </c>
      <c r="I245" s="1"/>
      <c r="J245" s="1"/>
    </row>
    <row r="246" spans="1:10" x14ac:dyDescent="0.2">
      <c r="A246" s="8" t="s">
        <v>2872</v>
      </c>
      <c r="B246" s="7" t="s">
        <v>2871</v>
      </c>
      <c r="C246" s="7"/>
      <c r="D246" s="6">
        <v>1300</v>
      </c>
      <c r="E246" s="5">
        <v>1</v>
      </c>
      <c r="F246" s="4" t="str">
        <f ca="1">IFERROR(__xludf.DUMMYFUNCTION("LOWER(REGEXREPLACE(B246&amp;"" ""&amp;C246,""[^а-яa-z0-9 ]"","" ""))")," аракусбай   азахская сказка ")</f>
        <v xml:space="preserve"> аракусбай   азахская сказка </v>
      </c>
      <c r="G246" s="4" t="str">
        <f ca="1">IFERROR(__xludf.DUMMYFUNCTION("TEXTJOIN(""|"",TRUE,UNIQUE(FILTER(SPLIT(F246,"" ""),LEN(SPLIT(F246,"" ""))&gt;2)))"),"аракусбай|азахская|сказка")</f>
        <v>аракусбай|азахская|сказка</v>
      </c>
      <c r="I246" s="1"/>
      <c r="J246" s="1"/>
    </row>
    <row r="247" spans="1:10" x14ac:dyDescent="0.2">
      <c r="A247" s="8" t="s">
        <v>2870</v>
      </c>
      <c r="B247" s="7" t="s">
        <v>2869</v>
      </c>
      <c r="C247" s="7" t="s">
        <v>2868</v>
      </c>
      <c r="D247" s="6">
        <v>10500</v>
      </c>
      <c r="E247" s="5">
        <v>10</v>
      </c>
      <c r="F247" s="4" t="str">
        <f ca="1">IFERROR(__xludf.DUMMYFUNCTION("LOWER(REGEXREPLACE(B247&amp;"" ""&amp;C247,""[^а-яa-z0-9 ]"","" ""))")," арнавальный костюм   аяц    аяц серый р 110 56  мех   атик   можно в интернет магазине  urzilka   ыгодные цены   ыстрая доставка по  азахстану ")</f>
        <v xml:space="preserve"> арнавальный костюм   аяц    аяц серый р 110 56  мех   атик   можно в интернет магазине  urzilka   ыгодные цены   ыстрая доставка по  азахстану </v>
      </c>
      <c r="G247" s="4" t="str">
        <f ca="1">IFERROR(__xludf.DUMMYFUNCTION("TEXTJOIN(""|"",TRUE,UNIQUE(FILTER(SPLIT(F247,"" ""),LEN(SPLIT(F247,"" ""))&gt;2)))"),"арнавальный|костюм|аяц|аяц|серый|110|мех|атик|можно|интернет|магазине|urzilka|ыгодные|цены|ыстрая|доставка|азахстану")</f>
        <v>арнавальный|костюм|аяц|аяц|серый|110|мех|атик|можно|интернет|магазине|urzilka|ыгодные|цены|ыстрая|доставка|азахстану</v>
      </c>
      <c r="I247" s="1"/>
      <c r="J247" s="1"/>
    </row>
    <row r="248" spans="1:10" x14ac:dyDescent="0.2">
      <c r="A248" s="8" t="s">
        <v>2867</v>
      </c>
      <c r="B248" s="7" t="s">
        <v>2866</v>
      </c>
      <c r="C248" s="7" t="s">
        <v>2865</v>
      </c>
      <c r="D248" s="6">
        <v>10500</v>
      </c>
      <c r="E248" s="5">
        <v>6</v>
      </c>
      <c r="F248" s="4" t="str">
        <f ca="1">IFERROR(__xludf.DUMMYFUNCTION("LOWER(REGEXREPLACE(B248&amp;"" ""&amp;C248,""[^а-яa-z0-9 ]"","" ""))")," арнавальный костюм   иса   остюм   исичка  для девочки  рост не менее 110 см  размер не менее 28   ыполнен из искусственного меха  комплект включает пелерину с белыми вставками и завязками  юбку на резинке и шапочку маску с ушками и набивным носиком   ре"&amp;"дназначен для ролевых игр и развивает воображение детей ")</f>
        <v xml:space="preserve"> арнавальный костюм   иса   остюм   исичка  для девочки  рост не менее 110 см  размер не менее 28   ыполнен из искусственного меха  комплект включает пелерину с белыми вставками и завязками  юбку на резинке и шапочку маску с ушками и набивным носиком   редназначен для ролевых игр и развивает воображение детей </v>
      </c>
      <c r="G248" s="4" t="str">
        <f ca="1">IFERROR(__xludf.DUMMYFUNCTION("TEXTJOIN(""|"",TRUE,UNIQUE(FILTER(SPLIT(F248,"" ""),LEN(SPLIT(F248,"" ""))&gt;2)))"),"арнавальный|костюм|иса|остюм|исичка|для|девочки|рост|менее|110|размер|менее|ыполнен|искусственного|меха|комплект|включает|пелерину|белыми|вставками|завязками|юбку|резинке|шапочку|маску|ушками|набивным|носиком|редназначен|для|ролевых|игр|развивает|воображе"&amp;"ние|детей")</f>
        <v>арнавальный|костюм|иса|остюм|исичка|для|девочки|рост|менее|110|размер|менее|ыполнен|искусственного|меха|комплект|включает|пелерину|белыми|вставками|завязками|юбку|резинке|шапочку|маску|ушками|набивным|носиком|редназначен|для|ролевых|игр|развивает|воображение|детей</v>
      </c>
      <c r="I248" s="1"/>
      <c r="J248" s="1"/>
    </row>
    <row r="249" spans="1:10" x14ac:dyDescent="0.2">
      <c r="A249" s="8" t="s">
        <v>2864</v>
      </c>
      <c r="B249" s="7" t="s">
        <v>2863</v>
      </c>
      <c r="C249" s="7" t="s">
        <v>2862</v>
      </c>
      <c r="D249" s="6">
        <v>7400</v>
      </c>
      <c r="E249" s="5">
        <v>1</v>
      </c>
      <c r="F249" s="4" t="str">
        <f ca="1">IFERROR(__xludf.DUMMYFUNCTION("LOWER(REGEXREPLACE(B249&amp;"" ""&amp;C249,""[^а-яa-z0-9 ]"","" ""))")," лдар   се   борник сказок  каз   рус   англ яз   каз адаптац   ырза  ли   ")</f>
        <v xml:space="preserve"> лдар   се   борник сказок  каз   рус   англ яз   каз адаптац   ырза  ли   </v>
      </c>
      <c r="G249" s="4" t="str">
        <f ca="1">IFERROR(__xludf.DUMMYFUNCTION("TEXTJOIN(""|"",TRUE,UNIQUE(FILTER(SPLIT(F249,"" ""),LEN(SPLIT(F249,"" ""))&gt;2)))"),"лдар|борник|сказок|каз|рус|англ|каз|адаптац|ырза")</f>
        <v>лдар|борник|сказок|каз|рус|англ|каз|адаптац|ырза</v>
      </c>
      <c r="I249" s="1"/>
      <c r="J249" s="1"/>
    </row>
    <row r="250" spans="1:10" x14ac:dyDescent="0.2">
      <c r="A250" s="8" t="s">
        <v>2861</v>
      </c>
      <c r="B250" s="7" t="s">
        <v>2860</v>
      </c>
      <c r="C250" s="7" t="s">
        <v>2859</v>
      </c>
      <c r="D250" s="6">
        <v>25900</v>
      </c>
      <c r="E250" s="5">
        <v>5</v>
      </c>
      <c r="F250" s="4" t="str">
        <f ca="1">IFERROR(__xludf.DUMMYFUNCTION("LOWER(REGEXREPLACE(B250&amp;"" ""&amp;C250,""[^а-яa-z0-9 ]"","" ""))")," арнавальный костюм   неговик   остюм  неговичок  нежок подойдет как мальчикам  так и девочкам   амечательный новогодний образ станет отличной альтернативой стандартным костюмам  негурочки и  еда  ороза    таком наряде можно участвовать в спектакле или пр"&amp;"осто прийти на новогоднюю елку   омплект состоит из комбинезона с внутренним каркасом  ведерка и носа   собенности   остюм белый с серебристыми снежинками и пышным воротником  линные объемные рукава на резинках  нутренний каркас придает комбинезону объем "&amp;" иние помпоны спереди  еребристое текстильное ведерко на голову  ранжевый нос морковка на резинке ")</f>
        <v xml:space="preserve"> арнавальный костюм   неговик   остюм  неговичок  нежок подойдет как мальчикам  так и девочкам   амечательный новогодний образ станет отличной альтернативой стандартным костюмам  негурочки и  еда  ороза    таком наряде можно участвовать в спектакле или просто прийти на новогоднюю елку   омплект состоит из комбинезона с внутренним каркасом  ведерка и носа   собенности   остюм белый с серебристыми снежинками и пышным воротником  линные объемные рукава на резинках  нутренний каркас придает комбинезону объем  иние помпоны спереди  еребристое текстильное ведерко на голову  ранжевый нос морковка на резинке </v>
      </c>
      <c r="G250" s="4" t="str">
        <f ca="1">IFERROR(__xludf.DUMMYFUNCTION("TEXTJOIN(""|"",TRUE,UNIQUE(FILTER(SPLIT(F250,"" ""),LEN(SPLIT(F250,"" ""))&gt;2)))"),"арнавальный|костюм|неговик|остюм|неговичок|нежок|подойдет|как|мальчикам|так|девочкам|амечательный|новогодний|образ|станет|отличной|альтернативой|стандартным|костюмам|негурочки|еда|ороза|таком|наряде|можно|участвовать|спектакле|или|просто|прийти|новогоднюю"&amp;"|елку|омплект|состоит|комбинезона|внутренним|каркасом|ведерка|носа|собенности|остюм|белый|серебристыми|снежинками|пышным|воротником|линные|объемные|рукава|резинках|нутренний|каркас|придает|комбинезону|объем|иние|помпоны|спереди|еребристое|текстильное|веде"&amp;"рко|голову|ранжевый|нос|морковка|резинке")</f>
        <v>арнавальный|костюм|неговик|остюм|неговичок|нежок|подойдет|как|мальчикам|так|девочкам|амечательный|новогодний|образ|станет|отличной|альтернативой|стандартным|костюмам|негурочки|еда|ороза|таком|наряде|можно|участвовать|спектакле|или|просто|прийти|новогоднюю|елку|омплект|состоит|комбинезона|внутренним|каркасом|ведерка|носа|собенности|остюм|белый|серебристыми|снежинками|пышным|воротником|линные|объемные|рукава|резинках|нутренний|каркас|придает|комбинезону|объем|иние|помпоны|спереди|еребристое|текстильное|ведерко|голову|ранжевый|нос|морковка|резинке</v>
      </c>
      <c r="I250" s="1"/>
      <c r="J250" s="1"/>
    </row>
    <row r="251" spans="1:10" x14ac:dyDescent="0.2">
      <c r="A251" s="8" t="s">
        <v>2858</v>
      </c>
      <c r="B251" s="7" t="s">
        <v>2857</v>
      </c>
      <c r="C251" s="7" t="s">
        <v>2856</v>
      </c>
      <c r="D251" s="6">
        <v>392900</v>
      </c>
      <c r="E251" s="5">
        <v>1</v>
      </c>
      <c r="F251" s="4" t="str">
        <f ca="1">IFERROR(__xludf.DUMMYFUNCTION("LOWER(REGEXREPLACE(B251&amp;"" ""&amp;C251,""[^а-яa-z0-9 ]"","" ""))")," арнавальный костюм   ед  ороз   комплект   остюм предназначен для проведения праздничных мероприятий и сценических выступлений   омплект включает шубу  шапку  варежки и мешок для подарков   лементы костюма выполнены из износостойких материалов  рассчитан"&amp;"ных на многократное использование   одходит для организации новогодних представлений и игровых сценариев ")</f>
        <v xml:space="preserve"> арнавальный костюм   ед  ороз   комплект   остюм предназначен для проведения праздничных мероприятий и сценических выступлений   омплект включает шубу  шапку  варежки и мешок для подарков   лементы костюма выполнены из износостойких материалов  рассчитанных на многократное использование   одходит для организации новогодних представлений и игровых сценариев </v>
      </c>
      <c r="G251" s="4" t="str">
        <f ca="1">IFERROR(__xludf.DUMMYFUNCTION("TEXTJOIN(""|"",TRUE,UNIQUE(FILTER(SPLIT(F251,"" ""),LEN(SPLIT(F251,"" ""))&gt;2)))"),"арнавальный|костюм|ороз|комплект|остюм|предназначен|для|проведения|праздничных|мероприятий|сценических|выступлений|омплект|включает|шубу|шапку|варежки|мешок|для|подарков|лементы|костюма|выполнены|износостойких|материалов|рассчитанных|многократное|использо"&amp;"вание|одходит|для|организации|новогодних|представлений|игровых|сценариев")</f>
        <v>арнавальный|костюм|ороз|комплект|остюм|предназначен|для|проведения|праздничных|мероприятий|сценических|выступлений|омплект|включает|шубу|шапку|варежки|мешок|для|подарков|лементы|костюма|выполнены|износостойких|материалов|рассчитанных|многократное|использование|одходит|для|организации|новогодних|представлений|игровых|сценариев</v>
      </c>
      <c r="I251" s="1"/>
      <c r="J251" s="1"/>
    </row>
    <row r="252" spans="1:10" x14ac:dyDescent="0.2">
      <c r="A252" s="8" t="s">
        <v>2855</v>
      </c>
      <c r="B252" s="7" t="s">
        <v>2854</v>
      </c>
      <c r="C252" s="7" t="s">
        <v>2853</v>
      </c>
      <c r="D252" s="6">
        <v>9200</v>
      </c>
      <c r="E252" s="5">
        <v>5</v>
      </c>
      <c r="F252" s="4" t="str">
        <f ca="1">IFERROR(__xludf.DUMMYFUNCTION("LOWER(REGEXREPLACE(B252&amp;"" ""&amp;C252,""[^а-яa-z0-9 ]"","" ""))")," арнавальный костюм   жик  для девочки  сарафан и шапка   остюм используется для утренников и театрализованных игр   омплект включает сарафан и шапку  образ формируется за сч т тематического оформления   одходит для сюжетных постановок и ролевых игр  где "&amp;"требуется узнаваемый персонаж   атериалы костюма рассчитаны на регулярное использование ")</f>
        <v xml:space="preserve"> арнавальный костюм   жик  для девочки  сарафан и шапка   остюм используется для утренников и театрализованных игр   омплект включает сарафан и шапку  образ формируется за сч т тематического оформления   одходит для сюжетных постановок и ролевых игр  где требуется узнаваемый персонаж   атериалы костюма рассчитаны на регулярное использование </v>
      </c>
      <c r="G252" s="4" t="str">
        <f ca="1">IFERROR(__xludf.DUMMYFUNCTION("TEXTJOIN(""|"",TRUE,UNIQUE(FILTER(SPLIT(F252,"" ""),LEN(SPLIT(F252,"" ""))&gt;2)))"),"арнавальный|костюм|жик|для|девочки|сарафан|шапка|остюм|используется|для|утренников|театрализованных|игр|омплект|включает|сарафан|шапку|образ|формируется|тематического|оформления|одходит|для|сюжетных|постановок|ролевых|игр|где|требуется|узнаваемый|персонаж"&amp;"|атериалы|костюма|рассчитаны|регулярное|использование")</f>
        <v>арнавальный|костюм|жик|для|девочки|сарафан|шапка|остюм|используется|для|утренников|театрализованных|игр|омплект|включает|сарафан|шапку|образ|формируется|тематического|оформления|одходит|для|сюжетных|постановок|ролевых|игр|где|требуется|узнаваемый|персонаж|атериалы|костюма|рассчитаны|регулярное|использование</v>
      </c>
      <c r="I252" s="1"/>
      <c r="J252" s="1"/>
    </row>
    <row r="253" spans="1:10" x14ac:dyDescent="0.2">
      <c r="A253" s="8" t="s">
        <v>2852</v>
      </c>
      <c r="B253" s="7" t="s">
        <v>2851</v>
      </c>
      <c r="C253" s="7" t="s">
        <v>2850</v>
      </c>
      <c r="D253" s="6">
        <v>6500</v>
      </c>
      <c r="E253" s="5">
        <v>5</v>
      </c>
      <c r="F253" s="4" t="str">
        <f ca="1">IFERROR(__xludf.DUMMYFUNCTION("LOWER(REGEXREPLACE(B253&amp;"" ""&amp;C253,""[^а-яa-z0-9 ]"","" ""))")," арнавальный костюм   етух   маска  безрукавка  шорты   остюм предназначен для сценических выступлений и игровых инсценировок   омплект включает маску  безрукавку и шорты   азмерная группа   не менее 26 28  по маркировке производителя    атериал ткани   ш"&amp;" лк или аналогичный материал   ассчитан на многократное использование в помещении ")</f>
        <v xml:space="preserve"> арнавальный костюм   етух   маска  безрукавка  шорты   остюм предназначен для сценических выступлений и игровых инсценировок   омплект включает маску  безрукавку и шорты   азмерная группа   не менее 26 28  по маркировке производителя    атериал ткани   ш лк или аналогичный материал   ассчитан на многократное использование в помещении </v>
      </c>
      <c r="G253" s="4" t="str">
        <f ca="1">IFERROR(__xludf.DUMMYFUNCTION("TEXTJOIN(""|"",TRUE,UNIQUE(FILTER(SPLIT(F253,"" ""),LEN(SPLIT(F253,"" ""))&gt;2)))"),"арнавальный|костюм|етух|маска|безрукавка|шорты|остюм|предназначен|для|сценических|выступлений|игровых|инсценировок|омплект|включает|маску|безрукавку|шорты|азмерная|группа|менее|маркировке|производителя|атериал|ткани|или|аналогичный|материал|ассчитан|много"&amp;"кратное|использование|помещении")</f>
        <v>арнавальный|костюм|етух|маска|безрукавка|шорты|остюм|предназначен|для|сценических|выступлений|игровых|инсценировок|омплект|включает|маску|безрукавку|шорты|азмерная|группа|менее|маркировке|производителя|атериал|ткани|или|аналогичный|материал|ассчитан|многократное|использование|помещении</v>
      </c>
      <c r="I253" s="1"/>
      <c r="J253" s="1"/>
    </row>
    <row r="254" spans="1:10" x14ac:dyDescent="0.2">
      <c r="A254" s="8" t="s">
        <v>2849</v>
      </c>
      <c r="B254" s="7" t="s">
        <v>2848</v>
      </c>
      <c r="C254" s="7" t="s">
        <v>2847</v>
      </c>
      <c r="D254" s="6">
        <v>103500</v>
      </c>
      <c r="E254" s="5">
        <v>1</v>
      </c>
      <c r="F254" s="4" t="str">
        <f ca="1">IFERROR(__xludf.DUMMYFUNCTION("LOWER(REGEXREPLACE(B254&amp;"" ""&amp;C254,""[^а-яa-z0-9 ]"","" ""))")," арнавальный костюм   негурочка   комплект   остюм предназначен для участия в праздничных мероприятиях и театрализованных сценках    комплект входит шубка  шапочка и рукавицы варежки   атериал   л гкая ткань  например  атлас или аналог   удобная для актив"&amp;"ного движения   зделие рассчитано на многократное использование ")</f>
        <v xml:space="preserve"> арнавальный костюм   негурочка   комплект   остюм предназначен для участия в праздничных мероприятиях и театрализованных сценках    комплект входит шубка  шапочка и рукавицы варежки   атериал   л гкая ткань  например  атлас или аналог   удобная для активного движения   зделие рассчитано на многократное использование </v>
      </c>
      <c r="G254" s="4" t="str">
        <f ca="1">IFERROR(__xludf.DUMMYFUNCTION("TEXTJOIN(""|"",TRUE,UNIQUE(FILTER(SPLIT(F254,"" ""),LEN(SPLIT(F254,"" ""))&gt;2)))"),"арнавальный|костюм|негурочка|комплект|остюм|предназначен|для|участия|праздничных|мероприятиях|театрализованных|сценках|комплект|входит|шубка|шапочка|рукавицы|варежки|атериал|гкая|ткань|например|атлас|или|аналог|удобная|для|активного|движения|зделие|рассчи"&amp;"тано|многократное|использование")</f>
        <v>арнавальный|костюм|негурочка|комплект|остюм|предназначен|для|участия|праздничных|мероприятиях|театрализованных|сценках|комплект|входит|шубка|шапочка|рукавицы|варежки|атериал|гкая|ткань|например|атлас|или|аналог|удобная|для|активного|движения|зделие|рассчитано|многократное|использование</v>
      </c>
      <c r="I254" s="1"/>
      <c r="J254" s="1"/>
    </row>
    <row r="255" spans="1:10" x14ac:dyDescent="0.2">
      <c r="A255" s="8" t="s">
        <v>2846</v>
      </c>
      <c r="B255" s="7" t="s">
        <v>2845</v>
      </c>
      <c r="C255" s="7" t="s">
        <v>2844</v>
      </c>
      <c r="D255" s="6">
        <v>2500</v>
      </c>
      <c r="E255" s="5">
        <v>25</v>
      </c>
      <c r="F255" s="4" t="str">
        <f ca="1">IFERROR(__xludf.DUMMYFUNCTION("LOWER(REGEXREPLACE(B255&amp;"" ""&amp;C255,""[^а-яa-z0-9 ]"","" ""))")," артон цветной  набор для творчества   ветной картон используется для аппликаций  конструирования и изготовления поделок   рименяется при вырезании  сгибании и наклеивании деталей   одходит для изготовления макетов  открыток и элементов декора   оставляет"&amp;"ся в виде набора листов   ассчитан на использование в творческих занятиях ")</f>
        <v xml:space="preserve"> артон цветной  набор для творчества   ветной картон используется для аппликаций  конструирования и изготовления поделок   рименяется при вырезании  сгибании и наклеивании деталей   одходит для изготовления макетов  открыток и элементов декора   оставляется в виде набора листов   ассчитан на использование в творческих занятиях </v>
      </c>
      <c r="G255" s="4" t="str">
        <f ca="1">IFERROR(__xludf.DUMMYFUNCTION("TEXTJOIN(""|"",TRUE,UNIQUE(FILTER(SPLIT(F255,"" ""),LEN(SPLIT(F255,"" ""))&gt;2)))"),"артон|цветной|набор|для|творчества|ветной|картон|используется|для|аппликаций|конструирования|изготовления|поделок|рименяется|при|вырезании|сгибании|наклеивании|деталей|одходит|для|изготовления|макетов|открыток|элементов|декора|оставляется|виде|набора|лист"&amp;"ов|ассчитан|использование|творческих|занятиях")</f>
        <v>артон|цветной|набор|для|творчества|ветной|картон|используется|для|аппликаций|конструирования|изготовления|поделок|рименяется|при|вырезании|сгибании|наклеивании|деталей|одходит|для|изготовления|макетов|открыток|элементов|декора|оставляется|виде|набора|листов|ассчитан|использование|творческих|занятиях</v>
      </c>
      <c r="I255" s="1"/>
      <c r="J255" s="1"/>
    </row>
    <row r="256" spans="1:10" x14ac:dyDescent="0.2">
      <c r="A256" s="8" t="s">
        <v>2843</v>
      </c>
      <c r="B256" s="7" t="s">
        <v>2842</v>
      </c>
      <c r="C256" s="7" t="s">
        <v>2841</v>
      </c>
      <c r="D256" s="6">
        <v>9500</v>
      </c>
      <c r="E256" s="5">
        <v>7</v>
      </c>
      <c r="F256" s="4" t="str">
        <f ca="1">IFERROR(__xludf.DUMMYFUNCTION("LOWER(REGEXREPLACE(B256&amp;"" ""&amp;C256,""[^а-яa-z0-9 ]"","" ""))")," арточки   то как говорит   набор звукоподражаний   абор используется для упражнений на звукоподражание и активизацию речи    процессе работы выполняется соотнесение картинки и звука  повторение слогов и коротких слов   оличество карточек   не менее 35 шт"&amp;"   азмер карточек   не менее 10 15 см   одходит для занятий и игр по теме животных и звуков ")</f>
        <v xml:space="preserve"> арточки   то как говорит   набор звукоподражаний   абор используется для упражнений на звукоподражание и активизацию речи    процессе работы выполняется соотнесение картинки и звука  повторение слогов и коротких слов   оличество карточек   не менее 35 шт   азмер карточек   не менее 10 15 см   одходит для занятий и игр по теме животных и звуков </v>
      </c>
      <c r="G256" s="4" t="str">
        <f ca="1">IFERROR(__xludf.DUMMYFUNCTION("TEXTJOIN(""|"",TRUE,UNIQUE(FILTER(SPLIT(F256,"" ""),LEN(SPLIT(F256,"" ""))&gt;2)))"),"арточки|как|говорит|набор|звукоподражаний|абор|используется|для|упражнений|звукоподражание|активизацию|речи|процессе|работы|выполняется|соотнесение|картинки|звука|повторение|слогов|коротких|слов|оличество|карточек|менее|азмер|карточек|менее|одходит|для|за"&amp;"нятий|игр|теме|животных|звуков")</f>
        <v>арточки|как|говорит|набор|звукоподражаний|абор|используется|для|упражнений|звукоподражание|активизацию|речи|процессе|работы|выполняется|соотнесение|картинки|звука|повторение|слогов|коротких|слов|оличество|карточек|менее|азмер|карточек|менее|одходит|для|занятий|игр|теме|животных|звуков</v>
      </c>
      <c r="I256" s="1"/>
      <c r="J256" s="1"/>
    </row>
    <row r="257" spans="1:10" x14ac:dyDescent="0.2">
      <c r="A257" s="8" t="s">
        <v>2840</v>
      </c>
      <c r="B257" s="7" t="s">
        <v>2839</v>
      </c>
      <c r="C257" s="7" t="s">
        <v>2838</v>
      </c>
      <c r="D257" s="6">
        <v>39900</v>
      </c>
      <c r="E257" s="5">
        <v>1</v>
      </c>
      <c r="F257" s="4" t="str">
        <f ca="1">IFERROR(__xludf.DUMMYFUNCTION("LOWER(REGEXREPLACE(B257&amp;"" ""&amp;C257,""[^а-яa-z0-9 ]"","" ""))")," арточки   оя ежедневная рутина   абор карточек используется для закрепления последовательности действий дня и формирования речевых высказываний    процессе работы выполняется выбор карточек по ситуации и составление коротких фраз   рименяется при обсужде"&amp;"нии режимных моментов и навыков самоорганизации   арточки выполнены из плотного материала для регулярного использования ")</f>
        <v xml:space="preserve"> арточки   оя ежедневная рутина   абор карточек используется для закрепления последовательности действий дня и формирования речевых высказываний    процессе работы выполняется выбор карточек по ситуации и составление коротких фраз   рименяется при обсуждении режимных моментов и навыков самоорганизации   арточки выполнены из плотного материала для регулярного использования </v>
      </c>
      <c r="G257" s="4" t="str">
        <f ca="1">IFERROR(__xludf.DUMMYFUNCTION("TEXTJOIN(""|"",TRUE,UNIQUE(FILTER(SPLIT(F257,"" ""),LEN(SPLIT(F257,"" ""))&gt;2)))"),"арточки|ежедневная|рутина|абор|карточек|используется|для|закрепления|последовательности|действий|дня|формирования|речевых|высказываний|процессе|работы|выполняется|выбор|карточек|ситуации|составление|коротких|фраз|рименяется|при|обсуждении|режимных|моменто"&amp;"в|навыков|самоорганизации|арточки|выполнены|плотного|материала|для|регулярного|использования")</f>
        <v>арточки|ежедневная|рутина|абор|карточек|используется|для|закрепления|последовательности|действий|дня|формирования|речевых|высказываний|процессе|работы|выполняется|выбор|карточек|ситуации|составление|коротких|фраз|рименяется|при|обсуждении|режимных|моментов|навыков|самоорганизации|арточки|выполнены|плотного|материала|для|регулярного|использования</v>
      </c>
      <c r="I257" s="1"/>
      <c r="J257" s="1"/>
    </row>
    <row r="258" spans="1:10" x14ac:dyDescent="0.2">
      <c r="A258" s="8" t="s">
        <v>2837</v>
      </c>
      <c r="B258" s="7" t="s">
        <v>2836</v>
      </c>
      <c r="C258" s="7" t="s">
        <v>2835</v>
      </c>
      <c r="D258" s="6">
        <v>3200</v>
      </c>
      <c r="E258" s="5">
        <v>1</v>
      </c>
      <c r="F258" s="4" t="str">
        <f ca="1">IFERROR(__xludf.DUMMYFUNCTION("LOWER(REGEXREPLACE(B258&amp;"" ""&amp;C258,""[^а-яa-z0-9 ]"","" ""))")," арточки  омана  набор тематических карточек   абор карточек используется для показа и называния предметов по темам  транспорт  посуда  продукты питания  одежда  фрукты ягоды  животные  насекомые  оттенки цветов    рименяется для рассматривания  расширени"&amp;"я словаря и упражнений на классификацию   арточки рассчитаны на регулярное использование и хранение в комплекте ")</f>
        <v xml:space="preserve"> арточки  омана  набор тематических карточек   абор карточек используется для показа и называния предметов по темам  транспорт  посуда  продукты питания  одежда  фрукты ягоды  животные  насекомые  оттенки цветов    рименяется для рассматривания  расширения словаря и упражнений на классификацию   арточки рассчитаны на регулярное использование и хранение в комплекте </v>
      </c>
      <c r="G258" s="4" t="str">
        <f ca="1">IFERROR(__xludf.DUMMYFUNCTION("TEXTJOIN(""|"",TRUE,UNIQUE(FILTER(SPLIT(F258,"" ""),LEN(SPLIT(F258,"" ""))&gt;2)))"),"арточки|омана|набор|тематических|карточек|абор|карточек|используется|для|показа|называния|предметов|темам|транспорт|посуда|продукты|питания|одежда|фрукты|ягоды|животные|насекомые|оттенки|цветов|рименяется|для|рассматривания|расширения|словаря|упражнений|к"&amp;"лассификацию|арточки|рассчитаны|регулярное|использование|хранение|комплекте")</f>
        <v>арточки|омана|набор|тематических|карточек|абор|карточек|используется|для|показа|называния|предметов|темам|транспорт|посуда|продукты|питания|одежда|фрукты|ягоды|животные|насекомые|оттенки|цветов|рименяется|для|рассматривания|расширения|словаря|упражнений|классификацию|арточки|рассчитаны|регулярное|использование|хранение|комплекте</v>
      </c>
      <c r="I258" s="1"/>
      <c r="J258" s="1"/>
    </row>
    <row r="259" spans="1:10" x14ac:dyDescent="0.2">
      <c r="A259" s="8" t="s">
        <v>2834</v>
      </c>
      <c r="B259" s="7" t="s">
        <v>2833</v>
      </c>
      <c r="C259" s="7" t="s">
        <v>2832</v>
      </c>
      <c r="D259" s="6">
        <v>11800</v>
      </c>
      <c r="E259" s="5">
        <v>1</v>
      </c>
      <c r="F259" s="4" t="str">
        <f ca="1">IFERROR(__xludf.DUMMYFUNCTION("LOWER(REGEXREPLACE(B259&amp;"" ""&amp;C259,""[^а-яa-z0-9 ]"","" ""))")," арточки с предложениями и рассказами  атериал используется для работы над связной речью    процессе занятий выполняется чтение пересказ и составление рассказов по опорам   рименяется для упражнений на последовательность событий и построение фраз   ассчит"&amp;"ан на многократное использование ")</f>
        <v xml:space="preserve"> арточки с предложениями и рассказами  атериал используется для работы над связной речью    процессе занятий выполняется чтение пересказ и составление рассказов по опорам   рименяется для упражнений на последовательность событий и построение фраз   ассчитан на многократное использование </v>
      </c>
      <c r="G259" s="4" t="str">
        <f ca="1">IFERROR(__xludf.DUMMYFUNCTION("TEXTJOIN(""|"",TRUE,UNIQUE(FILTER(SPLIT(F259,"" ""),LEN(SPLIT(F259,"" ""))&gt;2)))"),"арточки|предложениями|рассказами|атериал|используется|для|работы|над|связной|речью|процессе|занятий|выполняется|чтение|пересказ|составление|рассказов|опорам|рименяется|для|упражнений|последовательность|событий|построение|фраз|ассчитан|многократное|использ"&amp;"ование")</f>
        <v>арточки|предложениями|рассказами|атериал|используется|для|работы|над|связной|речью|процессе|занятий|выполняется|чтение|пересказ|составление|рассказов|опорам|рименяется|для|упражнений|последовательность|событий|построение|фраз|ассчитан|многократное|использование</v>
      </c>
      <c r="I259" s="1"/>
      <c r="J259" s="1"/>
    </row>
    <row r="260" spans="1:10" x14ac:dyDescent="0.2">
      <c r="A260" s="8" t="s">
        <v>2831</v>
      </c>
      <c r="B260" s="7" t="s">
        <v>2830</v>
      </c>
      <c r="C260" s="7" t="s">
        <v>2349</v>
      </c>
      <c r="D260" s="6">
        <v>6800</v>
      </c>
      <c r="E260" s="5">
        <v>1</v>
      </c>
      <c r="F260" s="4" t="str">
        <f ca="1">IFERROR(__xludf.DUMMYFUNCTION("LOWER(REGEXREPLACE(B260&amp;"" ""&amp;C260,""[^а-яa-z0-9 ]"","" ""))")," лпамыс батыр  каз   а ылш    ей мдеген    ум сбаев")</f>
        <v xml:space="preserve"> лпамыс батыр  каз   а ылш    ей мдеген    ум сбаев</v>
      </c>
      <c r="G260" s="4" t="str">
        <f ca="1">IFERROR(__xludf.DUMMYFUNCTION("TEXTJOIN(""|"",TRUE,UNIQUE(FILTER(SPLIT(F260,"" ""),LEN(SPLIT(F260,"" ""))&gt;2)))"),"лпамыс|батыр|каз|ылш|мдеген|сбаев")</f>
        <v>лпамыс|батыр|каз|ылш|мдеген|сбаев</v>
      </c>
      <c r="I260" s="1"/>
      <c r="J260" s="1"/>
    </row>
    <row r="261" spans="1:10" x14ac:dyDescent="0.2">
      <c r="A261" s="8" t="s">
        <v>2829</v>
      </c>
      <c r="B261" s="7" t="s">
        <v>2828</v>
      </c>
      <c r="C261" s="7"/>
      <c r="D261" s="6">
        <v>1300</v>
      </c>
      <c r="E261" s="5">
        <v>1</v>
      </c>
      <c r="F261" s="4" t="str">
        <f ca="1">IFERROR(__xludf.DUMMYFUNCTION("LOWER(REGEXREPLACE(B261&amp;"" ""&amp;C261,""[^а-яa-z0-9 ]"","" ""))")," арынбай   азахская сказка ")</f>
        <v xml:space="preserve"> арынбай   азахская сказка </v>
      </c>
      <c r="G261" s="4" t="str">
        <f ca="1">IFERROR(__xludf.DUMMYFUNCTION("TEXTJOIN(""|"",TRUE,UNIQUE(FILTER(SPLIT(F261,"" ""),LEN(SPLIT(F261,"" ""))&gt;2)))"),"арынбай|азахская|сказка")</f>
        <v>арынбай|азахская|сказка</v>
      </c>
      <c r="I261" s="1"/>
      <c r="J261" s="1"/>
    </row>
    <row r="262" spans="1:10" x14ac:dyDescent="0.2">
      <c r="A262" s="8" t="s">
        <v>2827</v>
      </c>
      <c r="B262" s="7" t="s">
        <v>2826</v>
      </c>
      <c r="C262" s="7" t="s">
        <v>2825</v>
      </c>
      <c r="D262" s="6">
        <v>6900</v>
      </c>
      <c r="E262" s="5">
        <v>1</v>
      </c>
      <c r="F262" s="4" t="str">
        <f ca="1">IFERROR(__xludf.DUMMYFUNCTION("LOWER(REGEXREPLACE(B262&amp;"" ""&amp;C262,""[^а-яa-z0-9 ]"","" ""))")," асса цифр и сч тного материала    гкий сч т   асса используется для упражнений на сч т и составление простых числовых комбинаций    процессе работы выполняется подбор цифр и сч тных элементов  раскладывание по заданиям и решение простых примеров   одходи"&amp;"т для настольной учебно игровой деятельности   атериал рассчитан на регулярное использование ")</f>
        <v xml:space="preserve"> асса цифр и сч тного материала    гкий сч т   асса используется для упражнений на сч т и составление простых числовых комбинаций    процессе работы выполняется подбор цифр и сч тных элементов  раскладывание по заданиям и решение простых примеров   одходит для настольной учебно игровой деятельности   атериал рассчитан на регулярное использование </v>
      </c>
      <c r="G262" s="4" t="str">
        <f ca="1">IFERROR(__xludf.DUMMYFUNCTION("TEXTJOIN(""|"",TRUE,UNIQUE(FILTER(SPLIT(F262,"" ""),LEN(SPLIT(F262,"" ""))&gt;2)))"),"асса|цифр|тного|материала|гкий|асса|используется|для|упражнений|составление|простых|числовых|комбинаций|процессе|работы|выполняется|подбор|цифр|тных|элементов|раскладывание|заданиям|решение|простых|примеров|одходит|для|настольной|учебно|игровой|деятельнос"&amp;"ти|атериал|рассчитан|регулярное|использование")</f>
        <v>асса|цифр|тного|материала|гкий|асса|используется|для|упражнений|составление|простых|числовых|комбинаций|процессе|работы|выполняется|подбор|цифр|тных|элементов|раскладывание|заданиям|решение|простых|примеров|одходит|для|настольной|учебно|игровой|деятельности|атериал|рассчитан|регулярное|использование</v>
      </c>
      <c r="I262" s="1"/>
      <c r="J262" s="1"/>
    </row>
    <row r="263" spans="1:10" x14ac:dyDescent="0.2">
      <c r="A263" s="8" t="s">
        <v>2824</v>
      </c>
      <c r="B263" s="7" t="s">
        <v>2823</v>
      </c>
      <c r="C263" s="7" t="s">
        <v>2822</v>
      </c>
      <c r="D263" s="6">
        <v>4100</v>
      </c>
      <c r="E263" s="5">
        <v>125</v>
      </c>
      <c r="F263" s="4" t="str">
        <f ca="1">IFERROR(__xludf.DUMMYFUNCTION("LOWER(REGEXREPLACE(B263&amp;"" ""&amp;C263,""[^а-яa-z0-9 ]"","" ""))")," асса веер цифр от 0 до 9  асса веер используется для наглядного ознакомления с цифрами и сч том   редставляет собой набор карточек с цифровыми обозначениями  соедин нных в веер   рименяется при выполнении заданий на распознавание и называние чисел   арто"&amp;"чки имеют крупный шрифт и устойчивы к истиранию ")</f>
        <v xml:space="preserve"> асса веер цифр от 0 до 9  асса веер используется для наглядного ознакомления с цифрами и сч том   редставляет собой набор карточек с цифровыми обозначениями  соедин нных в веер   рименяется при выполнении заданий на распознавание и называние чисел   арточки имеют крупный шрифт и устойчивы к истиранию </v>
      </c>
      <c r="G263" s="4" t="str">
        <f ca="1">IFERROR(__xludf.DUMMYFUNCTION("TEXTJOIN(""|"",TRUE,UNIQUE(FILTER(SPLIT(F263,"" ""),LEN(SPLIT(F263,"" ""))&gt;2)))"),"асса|веер|цифр|асса|веер|используется|для|наглядного|ознакомления|цифрами|том|редставляет|собой|набор|карточек|цифровыми|обозначениями|соедин|нных|веер|рименяется|при|выполнении|заданий|распознавание|называние|чисел|арточки|имеют|крупный|шрифт|устойчивы|и"&amp;"стиранию")</f>
        <v>асса|веер|цифр|асса|веер|используется|для|наглядного|ознакомления|цифрами|том|редставляет|собой|набор|карточек|цифровыми|обозначениями|соедин|нных|веер|рименяется|при|выполнении|заданий|распознавание|называние|чисел|арточки|имеют|крупный|шрифт|устойчивы|истиранию</v>
      </c>
      <c r="I263" s="1"/>
      <c r="J263" s="1"/>
    </row>
    <row r="264" spans="1:10" x14ac:dyDescent="0.2">
      <c r="A264" s="8" t="s">
        <v>2821</v>
      </c>
      <c r="B264" s="7" t="s">
        <v>2820</v>
      </c>
      <c r="C264" s="7" t="s">
        <v>2819</v>
      </c>
      <c r="D264" s="6">
        <v>7800</v>
      </c>
      <c r="E264" s="5">
        <v>1</v>
      </c>
      <c r="F264" s="4" t="str">
        <f ca="1">IFERROR(__xludf.DUMMYFUNCTION("LOWER(REGEXREPLACE(B264&amp;"" ""&amp;C264,""[^а-яa-z0-9 ]"","" ""))")," ел  ойнайы   бала ай   л мжанов   ")</f>
        <v xml:space="preserve"> ел  ойнайы   бала ай   л мжанов   </v>
      </c>
      <c r="G264" s="4" t="str">
        <f ca="1">IFERROR(__xludf.DUMMYFUNCTION("TEXTJOIN(""|"",TRUE,UNIQUE(FILTER(SPLIT(F264,"" ""),LEN(SPLIT(F264,"" ""))&gt;2)))"),"ойнайы|бала|мжанов")</f>
        <v>ойнайы|бала|мжанов</v>
      </c>
      <c r="I264" s="1"/>
      <c r="J264" s="1"/>
    </row>
    <row r="265" spans="1:10" x14ac:dyDescent="0.2">
      <c r="A265" s="8" t="s">
        <v>2818</v>
      </c>
      <c r="B265" s="7" t="s">
        <v>2817</v>
      </c>
      <c r="C265" s="7" t="s">
        <v>2816</v>
      </c>
      <c r="D265" s="6">
        <v>7000</v>
      </c>
      <c r="E265" s="5">
        <v>1</v>
      </c>
      <c r="F265" s="4" t="str">
        <f ca="1">IFERROR(__xludf.DUMMYFUNCTION("LOWER(REGEXREPLACE(B265&amp;"" ""&amp;C265,""[^а-яa-z0-9 ]"","" ""))")," ерек к тап   ыпбек лы   ")</f>
        <v xml:space="preserve"> ерек к тап   ыпбек лы   </v>
      </c>
      <c r="G265" s="4" t="str">
        <f ca="1">IFERROR(__xludf.DUMMYFUNCTION("TEXTJOIN(""|"",TRUE,UNIQUE(FILTER(SPLIT(F265,"" ""),LEN(SPLIT(F265,"" ""))&gt;2)))"),"ерек|тап|ыпбек")</f>
        <v>ерек|тап|ыпбек</v>
      </c>
      <c r="I265" s="1"/>
      <c r="J265" s="1"/>
    </row>
    <row r="266" spans="1:10" x14ac:dyDescent="0.2">
      <c r="A266" s="8" t="s">
        <v>2815</v>
      </c>
      <c r="B266" s="7" t="s">
        <v>2814</v>
      </c>
      <c r="C266" s="7" t="s">
        <v>2813</v>
      </c>
      <c r="D266" s="6">
        <v>7600</v>
      </c>
      <c r="E266" s="5">
        <v>5</v>
      </c>
      <c r="F266" s="4" t="str">
        <f ca="1">IFERROR(__xludf.DUMMYFUNCTION("LOWER(REGEXREPLACE(B266&amp;"" ""&amp;C266,""[^а-яa-z0-9 ]"","" ""))")," инетический песок с контейнером  инетический песок с контейнером  розового цвета или иного цвета  в комплекте не менее 786 г песка и не менее 4 фигурок  размер коробки не менее 19   14   9 см  предназначен для развивающих игр и формирования мелкой мотори"&amp;"ки у детей ")</f>
        <v xml:space="preserve"> инетический песок с контейнером  инетический песок с контейнером  розового цвета или иного цвета  в комплекте не менее 786 г песка и не менее 4 фигурок  размер коробки не менее 19   14   9 см  предназначен для развивающих игр и формирования мелкой моторики у детей </v>
      </c>
      <c r="G266" s="4" t="str">
        <f ca="1">IFERROR(__xludf.DUMMYFUNCTION("TEXTJOIN(""|"",TRUE,UNIQUE(FILTER(SPLIT(F266,"" ""),LEN(SPLIT(F266,"" ""))&gt;2)))"),"инетический|песок|контейнером|инетический|песок|контейнером|розового|цвета|или|иного|цвета|комплекте|менее|786|песка|менее|фигурок|размер|коробки|менее|предназначен|для|развивающих|игр|формирования|мелкой|моторики|детей")</f>
        <v>инетический|песок|контейнером|инетический|песок|контейнером|розового|цвета|или|иного|цвета|комплекте|менее|786|песка|менее|фигурок|размер|коробки|менее|предназначен|для|развивающих|игр|формирования|мелкой|моторики|детей</v>
      </c>
      <c r="I266" s="1"/>
      <c r="J266" s="1"/>
    </row>
    <row r="267" spans="1:10" x14ac:dyDescent="0.2">
      <c r="A267" s="8" t="s">
        <v>2812</v>
      </c>
      <c r="B267" s="7" t="s">
        <v>2811</v>
      </c>
      <c r="C267" s="7" t="s">
        <v>2810</v>
      </c>
      <c r="D267" s="6">
        <v>2600</v>
      </c>
      <c r="E267" s="5">
        <v>5</v>
      </c>
      <c r="F267" s="4" t="str">
        <f ca="1">IFERROR(__xludf.DUMMYFUNCTION("LOWER(REGEXREPLACE(B267&amp;"" ""&amp;C267,""[^а-яa-z0-9 ]"","" ""))")," исти для макияжа  набор 7 шт    абор кистей используется как аксессуар для сюжетно ролевых игр на тему салона красоты    комплект входит не менее 7 кистей   рименяется для имитации нанесения макияжа без косметических средств   ассчитан на использование в"&amp;" игровой среде ")</f>
        <v xml:space="preserve"> исти для макияжа  набор 7 шт    абор кистей используется как аксессуар для сюжетно ролевых игр на тему салона красоты    комплект входит не менее 7 кистей   рименяется для имитации нанесения макияжа без косметических средств   ассчитан на использование в игровой среде </v>
      </c>
      <c r="G267" s="4" t="str">
        <f ca="1">IFERROR(__xludf.DUMMYFUNCTION("TEXTJOIN(""|"",TRUE,UNIQUE(FILTER(SPLIT(F267,"" ""),LEN(SPLIT(F267,"" ""))&gt;2)))"),"исти|для|макияжа|набор|абор|кистей|используется|как|аксессуар|для|сюжетно|ролевых|игр|тему|салона|красоты|комплект|входит|менее|кистей|рименяется|для|имитации|нанесения|макияжа|без|косметических|средств|ассчитан|использование|игровой|среде")</f>
        <v>исти|для|макияжа|набор|абор|кистей|используется|как|аксессуар|для|сюжетно|ролевых|игр|тему|салона|красоты|комплект|входит|менее|кистей|рименяется|для|имитации|нанесения|макияжа|без|косметических|средств|ассчитан|использование|игровой|среде</v>
      </c>
      <c r="I267" s="1"/>
      <c r="J267" s="1"/>
    </row>
    <row r="268" spans="1:10" x14ac:dyDescent="0.2">
      <c r="A268" s="8" t="s">
        <v>2809</v>
      </c>
      <c r="B268" s="7" t="s">
        <v>2808</v>
      </c>
      <c r="C268" s="7" t="s">
        <v>2807</v>
      </c>
      <c r="D268" s="6">
        <v>2100</v>
      </c>
      <c r="E268" s="5">
        <v>25</v>
      </c>
      <c r="F268" s="4" t="str">
        <f ca="1">IFERROR(__xludf.DUMMYFUNCTION("LOWER(REGEXREPLACE(B268&amp;"" ""&amp;C268,""[^а-яa-z0-9 ]"","" ""))")," исти художественные  набор   абор кистей используется для рисования гуашью  акварелью и другими красками   ключает кисти разных размеров для прорисовки деталей и закрашивания больших поверхностей   укоятки выполнены из дерева или аналогичного материала  "&amp;" исти рассчитаны на многократное использование при соблюдении правил ухода ")</f>
        <v xml:space="preserve"> исти художественные  набор   абор кистей используется для рисования гуашью  акварелью и другими красками   ключает кисти разных размеров для прорисовки деталей и закрашивания больших поверхностей   укоятки выполнены из дерева или аналогичного материала   исти рассчитаны на многократное использование при соблюдении правил ухода </v>
      </c>
      <c r="G268" s="4" t="str">
        <f ca="1">IFERROR(__xludf.DUMMYFUNCTION("TEXTJOIN(""|"",TRUE,UNIQUE(FILTER(SPLIT(F268,"" ""),LEN(SPLIT(F268,"" ""))&gt;2)))"),"исти|художественные|набор|абор|кистей|используется|для|рисования|гуашью|акварелью|другими|красками|ключает|кисти|разных|размеров|для|прорисовки|деталей|закрашивания|больших|поверхностей|укоятки|выполнены|дерева|или|аналогичного|материала|исти|рассчитаны|м"&amp;"ногократное|использование|при|соблюдении|правил|ухода")</f>
        <v>исти|художественные|набор|абор|кистей|используется|для|рисования|гуашью|акварелью|другими|красками|ключает|кисти|разных|размеров|для|прорисовки|деталей|закрашивания|больших|поверхностей|укоятки|выполнены|дерева|или|аналогичного|материала|исти|рассчитаны|многократное|использование|при|соблюдении|правил|ухода</v>
      </c>
      <c r="I268" s="1"/>
      <c r="J268" s="1"/>
    </row>
    <row r="269" spans="1:10" x14ac:dyDescent="0.2">
      <c r="A269" s="8" t="s">
        <v>2806</v>
      </c>
      <c r="B269" s="7" t="s">
        <v>2805</v>
      </c>
      <c r="C269" s="7" t="s">
        <v>2804</v>
      </c>
      <c r="D269" s="6">
        <v>41700</v>
      </c>
      <c r="E269" s="5">
        <v>10</v>
      </c>
      <c r="F269" s="4" t="str">
        <f ca="1">IFERROR(__xludf.DUMMYFUNCTION("LOWER(REGEXREPLACE(B269&amp;"" ""&amp;C269,""[^а-яa-z0-9 ]"","" ""))")," исти художественные с синтетическим ворсом  набор 10 шт    абор кистей предназначен для рисования различными видами красок    комплект входит не менее 10 кистей разных форм и размеров  что позволяет выполнять фоновые заливки и тонкие линии   орс синтетич"&amp;"еский  нейлон   упругий и устойчивый к деформации   укоятки деревянные  удобные для удержания   исти подходят для регулярного использования при выполнении художественных работ ")</f>
        <v xml:space="preserve"> исти художественные с синтетическим ворсом  набор 10 шт    абор кистей предназначен для рисования различными видами красок    комплект входит не менее 10 кистей разных форм и размеров  что позволяет выполнять фоновые заливки и тонкие линии   орс синтетический  нейлон   упругий и устойчивый к деформации   укоятки деревянные  удобные для удержания   исти подходят для регулярного использования при выполнении художественных работ </v>
      </c>
      <c r="G269" s="4" t="str">
        <f ca="1">IFERROR(__xludf.DUMMYFUNCTION("TEXTJOIN(""|"",TRUE,UNIQUE(FILTER(SPLIT(F269,"" ""),LEN(SPLIT(F269,"" ""))&gt;2)))"),"исти|художественные|синтетическим|ворсом|набор|абор|кистей|предназначен|для|рисования|различными|видами|красок|комплект|входит|менее|кистей|разных|форм|размеров|что|позволяет|выполнять|фоновые|заливки|тонкие|линии|орс|синтетический|нейлон|упругий|устойчив"&amp;"ый|деформации|укоятки|деревянные|удобные|для|удержания|исти|подходят|для|регулярного|использования|при|выполнении|художественных|работ")</f>
        <v>исти|художественные|синтетическим|ворсом|набор|абор|кистей|предназначен|для|рисования|различными|видами|красок|комплект|входит|менее|кистей|разных|форм|размеров|что|позволяет|выполнять|фоновые|заливки|тонкие|линии|орс|синтетический|нейлон|упругий|устойчивый|деформации|укоятки|деревянные|удобные|для|удержания|исти|подходят|для|регулярного|использования|при|выполнении|художественных|работ</v>
      </c>
      <c r="I269" s="1"/>
      <c r="J269" s="1"/>
    </row>
    <row r="270" spans="1:10" x14ac:dyDescent="0.2">
      <c r="A270" s="8" t="s">
        <v>2803</v>
      </c>
      <c r="B270" s="7" t="s">
        <v>2802</v>
      </c>
      <c r="C270" s="7" t="s">
        <v>2801</v>
      </c>
      <c r="D270" s="6">
        <v>3000</v>
      </c>
      <c r="E270" s="5">
        <v>12</v>
      </c>
      <c r="F270" s="4" t="str">
        <f ca="1">IFERROR(__xludf.DUMMYFUNCTION("LOWER(REGEXREPLACE(B270&amp;"" ""&amp;C270,""[^а-яa-z0-9 ]"","" ""))")," лей     детский  лей     используется для приклеивания бумаги  картона и л гких материалов в творческих работах   одходит для аппликаций и изготовления поделок   елательно наличие сертификата соответствия        спользуется дозировано  легко смывается с "&amp;"поверхностей при своевременной очистке ")</f>
        <v xml:space="preserve"> лей     детский  лей     используется для приклеивания бумаги  картона и л гких материалов в творческих работах   одходит для аппликаций и изготовления поделок   елательно наличие сертификата соответствия        спользуется дозировано  легко смывается с поверхностей при своевременной очистке </v>
      </c>
      <c r="G270" s="4" t="str">
        <f ca="1">IFERROR(__xludf.DUMMYFUNCTION("TEXTJOIN(""|"",TRUE,UNIQUE(FILTER(SPLIT(F270,"" ""),LEN(SPLIT(F270,"" ""))&gt;2)))"),"лей|детский|лей|используется|для|приклеивания|бумаги|картона|гких|материалов|творческих|работах|одходит|для|аппликаций|изготовления|поделок|елательно|наличие|сертификата|соответствия|спользуется|дозировано|легко|смывается|поверхностей|при|своевременной|оч"&amp;"истке")</f>
        <v>лей|детский|лей|используется|для|приклеивания|бумаги|картона|гких|материалов|творческих|работах|одходит|для|аппликаций|изготовления|поделок|елательно|наличие|сертификата|соответствия|спользуется|дозировано|легко|смывается|поверхностей|при|своевременной|очистке</v>
      </c>
      <c r="I270" s="1"/>
      <c r="J270" s="1"/>
    </row>
    <row r="271" spans="1:10" x14ac:dyDescent="0.2">
      <c r="A271" s="8" t="s">
        <v>2800</v>
      </c>
      <c r="B271" s="7" t="s">
        <v>2799</v>
      </c>
      <c r="C271" s="7" t="s">
        <v>2355</v>
      </c>
      <c r="D271" s="6">
        <v>7500</v>
      </c>
      <c r="E271" s="5">
        <v>1</v>
      </c>
      <c r="F271" s="4" t="str">
        <f ca="1">IFERROR(__xludf.DUMMYFUNCTION("LOWER(REGEXREPLACE(B271&amp;"" ""&amp;C271,""[^а-яa-z0-9 ]"","" ""))")," лпамыс батыр  рус   англ    дапт   умисбаев   ")</f>
        <v xml:space="preserve"> лпамыс батыр  рус   англ    дапт   умисбаев   </v>
      </c>
      <c r="G271" s="4" t="str">
        <f ca="1">IFERROR(__xludf.DUMMYFUNCTION("TEXTJOIN(""|"",TRUE,UNIQUE(FILTER(SPLIT(F271,"" ""),LEN(SPLIT(F271,"" ""))&gt;2)))"),"лпамыс|батыр|рус|англ|дапт|умисбаев")</f>
        <v>лпамыс|батыр|рус|англ|дапт|умисбаев</v>
      </c>
      <c r="I271" s="1"/>
      <c r="J271" s="1"/>
    </row>
    <row r="272" spans="1:10" x14ac:dyDescent="0.2">
      <c r="A272" s="8" t="s">
        <v>2798</v>
      </c>
      <c r="B272" s="7" t="s">
        <v>2797</v>
      </c>
      <c r="C272" s="7" t="s">
        <v>2796</v>
      </c>
      <c r="D272" s="6">
        <v>1800</v>
      </c>
      <c r="E272" s="5">
        <v>25</v>
      </c>
      <c r="F272" s="4" t="str">
        <f ca="1">IFERROR(__xludf.DUMMYFUNCTION("LOWER(REGEXREPLACE(B272&amp;"" ""&amp;C272,""[^а-яa-z0-9 ]"","" ""))")," лей карандаш  лей карандаш используется для склеивания бумаги и тонкого картона   добен для точечного нанесения без излишков влаги   одходит для аппликаций и офисно учебных задач   ассчитан на регулярное использование ")</f>
        <v xml:space="preserve"> лей карандаш  лей карандаш используется для склеивания бумаги и тонкого картона   добен для точечного нанесения без излишков влаги   одходит для аппликаций и офисно учебных задач   ассчитан на регулярное использование </v>
      </c>
      <c r="G272" s="4" t="str">
        <f ca="1">IFERROR(__xludf.DUMMYFUNCTION("TEXTJOIN(""|"",TRUE,UNIQUE(FILTER(SPLIT(F272,"" ""),LEN(SPLIT(F272,"" ""))&gt;2)))"),"лей|карандаш|лей|карандаш|используется|для|склеивания|бумаги|тонкого|картона|добен|для|точечного|нанесения|без|излишков|влаги|одходит|для|аппликаций|офисно|учебных|задач|ассчитан|регулярное|использование")</f>
        <v>лей|карандаш|лей|карандаш|используется|для|склеивания|бумаги|тонкого|картона|добен|для|точечного|нанесения|без|излишков|влаги|одходит|для|аппликаций|офисно|учебных|задач|ассчитан|регулярное|использование</v>
      </c>
      <c r="I272" s="1"/>
      <c r="J272" s="1"/>
    </row>
    <row r="273" spans="1:10" x14ac:dyDescent="0.2">
      <c r="A273" s="8" t="s">
        <v>2795</v>
      </c>
      <c r="B273" s="7" t="s">
        <v>2794</v>
      </c>
      <c r="C273" s="7" t="s">
        <v>2793</v>
      </c>
      <c r="D273" s="6">
        <v>3600</v>
      </c>
      <c r="E273" s="5">
        <v>1</v>
      </c>
      <c r="F273" s="4" t="str">
        <f ca="1">IFERROR(__xludf.DUMMYFUNCTION("LOWER(REGEXREPLACE(B273&amp;"" ""&amp;C273,""[^а-яa-z0-9 ]"","" ""))")," леопатра   leopatra  каз   рус   англ яз      ейнз  перевод  ужикова      санова    ")</f>
        <v xml:space="preserve"> леопатра   leopatra  каз   рус   англ яз      ейнз  перевод  ужикова      санова    </v>
      </c>
      <c r="G273" s="4" t="str">
        <f ca="1">IFERROR(__xludf.DUMMYFUNCTION("TEXTJOIN(""|"",TRUE,UNIQUE(FILTER(SPLIT(F273,"" ""),LEN(SPLIT(F273,"" ""))&gt;2)))"),"леопатра|leopatra|каз|рус|англ|ейнз|перевод|ужикова|санова")</f>
        <v>леопатра|leopatra|каз|рус|англ|ейнз|перевод|ужикова|санова</v>
      </c>
      <c r="I273" s="1"/>
      <c r="J273" s="1"/>
    </row>
    <row r="274" spans="1:10" x14ac:dyDescent="0.2">
      <c r="A274" s="8" t="s">
        <v>2792</v>
      </c>
      <c r="B274" s="7" t="s">
        <v>2791</v>
      </c>
      <c r="C274" s="7" t="s">
        <v>2790</v>
      </c>
      <c r="D274" s="6">
        <v>5700</v>
      </c>
      <c r="E274" s="5">
        <v>1</v>
      </c>
      <c r="F274" s="4" t="str">
        <f ca="1">IFERROR(__xludf.DUMMYFUNCTION("LOWER(REGEXREPLACE(B274&amp;"" ""&amp;C274,""[^а-яa-z0-9 ]"","" ""))")," нига   омашние животные   картонная   нига используется для знакомства с домашними животными через изображения и подписи   рименяется при рассматривании  назывании и обсуждении особенностей животных   артонные страницы подходят для регулярного использова"&amp;"ния ")</f>
        <v xml:space="preserve"> нига   омашние животные   картонная   нига используется для знакомства с домашними животными через изображения и подписи   рименяется при рассматривании  назывании и обсуждении особенностей животных   артонные страницы подходят для регулярного использования </v>
      </c>
      <c r="G274" s="4" t="str">
        <f ca="1">IFERROR(__xludf.DUMMYFUNCTION("TEXTJOIN(""|"",TRUE,UNIQUE(FILTER(SPLIT(F274,"" ""),LEN(SPLIT(F274,"" ""))&gt;2)))"),"нига|омашние|животные|картонная|нига|используется|для|знакомства|домашними|животными|через|изображения|подписи|рименяется|при|рассматривании|назывании|обсуждении|особенностей|животных|артонные|страницы|подходят|для|регулярного|использования")</f>
        <v>нига|омашние|животные|картонная|нига|используется|для|знакомства|домашними|животными|через|изображения|подписи|рименяется|при|рассматривании|назывании|обсуждении|особенностей|животных|артонные|страницы|подходят|для|регулярного|использования</v>
      </c>
      <c r="I274" s="1"/>
      <c r="J274" s="1"/>
    </row>
    <row r="275" spans="1:10" x14ac:dyDescent="0.2">
      <c r="A275" s="8" t="s">
        <v>2789</v>
      </c>
      <c r="B275" s="7" t="s">
        <v>2788</v>
      </c>
      <c r="C275" s="7" t="s">
        <v>2787</v>
      </c>
      <c r="D275" s="6">
        <v>700</v>
      </c>
      <c r="E275" s="5">
        <v>5</v>
      </c>
      <c r="F275" s="4" t="str">
        <f ca="1">IFERROR(__xludf.DUMMYFUNCTION("LOWER(REGEXREPLACE(B275&amp;"" ""&amp;C275,""[^а-яa-z0-9 ]"","" ""))")," нига   ртег лер   та анамен о имыз   часть 1  нига содержит тексты сказок для совместного чтения   спользуется при чтении и обсуждении содержания   одходит для спокойной совместной деятельности ")</f>
        <v xml:space="preserve"> нига   ртег лер   та анамен о имыз   часть 1  нига содержит тексты сказок для совместного чтения   спользуется при чтении и обсуждении содержания   одходит для спокойной совместной деятельности </v>
      </c>
      <c r="G275" s="4" t="str">
        <f ca="1">IFERROR(__xludf.DUMMYFUNCTION("TEXTJOIN(""|"",TRUE,UNIQUE(FILTER(SPLIT(F275,"" ""),LEN(SPLIT(F275,"" ""))&gt;2)))"),"нига|ртег|лер|анамен|имыз|часть|нига|содержит|тексты|сказок|для|совместного|чтения|спользуется|при|чтении|обсуждении|содержания|одходит|для|спокойной|совместной|деятельности")</f>
        <v>нига|ртег|лер|анамен|имыз|часть|нига|содержит|тексты|сказок|для|совместного|чтения|спользуется|при|чтении|обсуждении|содержания|одходит|для|спокойной|совместной|деятельности</v>
      </c>
      <c r="I275" s="1"/>
      <c r="J275" s="1"/>
    </row>
    <row r="276" spans="1:10" x14ac:dyDescent="0.2">
      <c r="A276" s="8" t="s">
        <v>2786</v>
      </c>
      <c r="B276" s="7" t="s">
        <v>2785</v>
      </c>
      <c r="C276" s="7" t="s">
        <v>2784</v>
      </c>
      <c r="D276" s="6">
        <v>700</v>
      </c>
      <c r="E276" s="5">
        <v>5</v>
      </c>
      <c r="F276" s="4" t="str">
        <f ca="1">IFERROR(__xludf.DUMMYFUNCTION("LOWER(REGEXREPLACE(B276&amp;"" ""&amp;C276,""[^а-яa-z0-9 ]"","" ""))")," нига   ртег лер   та анамен о имыз   часть 2  здание включает подборку сказок для чтения и обсуждения   спользуется при совместном чтении и рассматривании   редназначено для использования в помещении ")</f>
        <v xml:space="preserve"> нига   ртег лер   та анамен о имыз   часть 2  здание включает подборку сказок для чтения и обсуждения   спользуется при совместном чтении и рассматривании   редназначено для использования в помещении </v>
      </c>
      <c r="G276" s="4" t="str">
        <f ca="1">IFERROR(__xludf.DUMMYFUNCTION("TEXTJOIN(""|"",TRUE,UNIQUE(FILTER(SPLIT(F276,"" ""),LEN(SPLIT(F276,"" ""))&gt;2)))"),"нига|ртег|лер|анамен|имыз|часть|здание|включает|подборку|сказок|для|чтения|обсуждения|спользуется|при|совместном|чтении|рассматривании|редназначено|для|использования|помещении")</f>
        <v>нига|ртег|лер|анамен|имыз|часть|здание|включает|подборку|сказок|для|чтения|обсуждения|спользуется|при|совместном|чтении|рассматривании|редназначено|для|использования|помещении</v>
      </c>
      <c r="I276" s="1"/>
      <c r="J276" s="1"/>
    </row>
    <row r="277" spans="1:10" x14ac:dyDescent="0.2">
      <c r="A277" s="8" t="s">
        <v>2783</v>
      </c>
      <c r="B277" s="7" t="s">
        <v>2782</v>
      </c>
      <c r="C277" s="7" t="s">
        <v>2781</v>
      </c>
      <c r="D277" s="6">
        <v>700</v>
      </c>
      <c r="E277" s="5">
        <v>5</v>
      </c>
      <c r="F277" s="4" t="str">
        <f ca="1">IFERROR(__xludf.DUMMYFUNCTION("LOWER(REGEXREPLACE(B277&amp;"" ""&amp;C277,""[^а-яa-z0-9 ]"","" ""))")," нига   ртег лер   та анамен о имыз   часть 3  нига содержит тексты сказок  предназначенные для чтения и обсуждения   спользуется как часть серии для последовательного ознакомления с произведениями ")</f>
        <v xml:space="preserve"> нига   ртег лер   та анамен о имыз   часть 3  нига содержит тексты сказок  предназначенные для чтения и обсуждения   спользуется как часть серии для последовательного ознакомления с произведениями </v>
      </c>
      <c r="G277" s="4" t="str">
        <f ca="1">IFERROR(__xludf.DUMMYFUNCTION("TEXTJOIN(""|"",TRUE,UNIQUE(FILTER(SPLIT(F277,"" ""),LEN(SPLIT(F277,"" ""))&gt;2)))"),"нига|ртег|лер|анамен|имыз|часть|нига|содержит|тексты|сказок|предназначенные|для|чтения|обсуждения|спользуется|как|часть|серии|для|последовательного|ознакомления|произведениями")</f>
        <v>нига|ртег|лер|анамен|имыз|часть|нига|содержит|тексты|сказок|предназначенные|для|чтения|обсуждения|спользуется|как|часть|серии|для|последовательного|ознакомления|произведениями</v>
      </c>
      <c r="I277" s="1"/>
      <c r="J277" s="1"/>
    </row>
    <row r="278" spans="1:10" x14ac:dyDescent="0.2">
      <c r="A278" s="8" t="s">
        <v>2780</v>
      </c>
      <c r="B278" s="7" t="s">
        <v>2779</v>
      </c>
      <c r="C278" s="7" t="s">
        <v>2778</v>
      </c>
      <c r="D278" s="6">
        <v>9500</v>
      </c>
      <c r="E278" s="5">
        <v>7</v>
      </c>
      <c r="F278" s="4" t="str">
        <f ca="1">IFERROR(__xludf.DUMMYFUNCTION("LOWER(REGEXREPLACE(B278&amp;"" ""&amp;C278,""[^а-яa-z0-9 ]"","" ""))")," нига   ел  ойнайы   бала ай    здание используется для чтения и совместного рассматривания   рименяется в спокойной деятельности и тематических занятиях   одержит текстовый и или иллюстративный материал   ассчитано на регулярное использование в помещении"&amp;" ")</f>
        <v xml:space="preserve"> нига   ел  ойнайы   бала ай    здание используется для чтения и совместного рассматривания   рименяется в спокойной деятельности и тематических занятиях   одержит текстовый и или иллюстративный материал   ассчитано на регулярное использование в помещении </v>
      </c>
      <c r="G278" s="4" t="str">
        <f ca="1">IFERROR(__xludf.DUMMYFUNCTION("TEXTJOIN(""|"",TRUE,UNIQUE(FILTER(SPLIT(F278,"" ""),LEN(SPLIT(F278,"" ""))&gt;2)))"),"нига|ойнайы|бала|здание|используется|для|чтения|совместного|рассматривания|рименяется|спокойной|деятельности|тематических|занятиях|одержит|текстовый|или|иллюстративный|материал|ассчитано|регулярное|использование|помещении")</f>
        <v>нига|ойнайы|бала|здание|используется|для|чтения|совместного|рассматривания|рименяется|спокойной|деятельности|тематических|занятиях|одержит|текстовый|или|иллюстративный|материал|ассчитано|регулярное|использование|помещении</v>
      </c>
      <c r="I278" s="1"/>
      <c r="J278" s="1"/>
    </row>
    <row r="279" spans="1:10" x14ac:dyDescent="0.2">
      <c r="A279" s="8" t="s">
        <v>2777</v>
      </c>
      <c r="B279" s="7" t="s">
        <v>2776</v>
      </c>
      <c r="C279" s="7" t="s">
        <v>2775</v>
      </c>
      <c r="D279" s="6">
        <v>35700</v>
      </c>
      <c r="E279" s="5">
        <v>7</v>
      </c>
      <c r="F279" s="4" t="str">
        <f ca="1">IFERROR(__xludf.DUMMYFUNCTION("LOWER(REGEXREPLACE(B279&amp;"" ""&amp;C279,""[^а-яa-z0-9 ]"","" ""))")," нига   оя  одина    азахстан   ллюстрированное познавательное издание предназначено для знакомства детей с культурой  традициями и символами  еспублики  азахстан   спользуется в образовательной деятельности  направленной на формирование гражданской идент"&amp;"ичности  уважения к национальному наследию и расширение кругозора   одходит для чтения с педагогом или родителями  а также для тематических занятий и бесед ")</f>
        <v xml:space="preserve"> нига   оя  одина    азахстан   ллюстрированное познавательное издание предназначено для знакомства детей с культурой  традициями и символами  еспублики  азахстан   спользуется в образовательной деятельности  направленной на формирование гражданской идентичности  уважения к национальному наследию и расширение кругозора   одходит для чтения с педагогом или родителями  а также для тематических занятий и бесед </v>
      </c>
      <c r="G279" s="4" t="str">
        <f ca="1">IFERROR(__xludf.DUMMYFUNCTION("TEXTJOIN(""|"",TRUE,UNIQUE(FILTER(SPLIT(F279,"" ""),LEN(SPLIT(F279,"" ""))&gt;2)))"),"нига|одина|азахстан|ллюстрированное|познавательное|издание|предназначено|для|знакомства|детей|культурой|традициями|символами|еспублики|азахстан|спользуется|образовательной|деятельности|направленной|формирование|гражданской|идентичности|уважения|национальн"&amp;"ому|наследию|расширение|кругозора|одходит|для|чтения|педагогом|или|родителями|также|для|тематических|занятий|бесед")</f>
        <v>нига|одина|азахстан|ллюстрированное|познавательное|издание|предназначено|для|знакомства|детей|культурой|традициями|символами|еспублики|азахстан|спользуется|образовательной|деятельности|направленной|формирование|гражданской|идентичности|уважения|национальному|наследию|расширение|кругозора|одходит|для|чтения|педагогом|или|родителями|также|для|тематических|занятий|бесед</v>
      </c>
      <c r="I279" s="1"/>
      <c r="J279" s="1"/>
    </row>
    <row r="280" spans="1:10" x14ac:dyDescent="0.2">
      <c r="A280" s="8" t="s">
        <v>2774</v>
      </c>
      <c r="B280" s="7" t="s">
        <v>2773</v>
      </c>
      <c r="C280" s="7" t="s">
        <v>2772</v>
      </c>
      <c r="D280" s="6">
        <v>4000</v>
      </c>
      <c r="E280" s="5">
        <v>1</v>
      </c>
      <c r="F280" s="4" t="str">
        <f ca="1">IFERROR(__xludf.DUMMYFUNCTION("LOWER(REGEXREPLACE(B280&amp;"" ""&amp;C280,""[^а-яa-z0-9 ]"","" ""))")," нига   вощи и фрукты   картонная   нига используется для ознакомления с овощами и фруктами через изображения и подписи   рименяется при рассматривании  назывании и обсуждении признаков  цвет  форма  где раст т    траницы выполнены из плотного картона   о"&amp;"дходит для тематических занятий ")</f>
        <v xml:space="preserve"> нига   вощи и фрукты   картонная   нига используется для ознакомления с овощами и фруктами через изображения и подписи   рименяется при рассматривании  назывании и обсуждении признаков  цвет  форма  где раст т    траницы выполнены из плотного картона   одходит для тематических занятий </v>
      </c>
      <c r="G280" s="4" t="str">
        <f ca="1">IFERROR(__xludf.DUMMYFUNCTION("TEXTJOIN(""|"",TRUE,UNIQUE(FILTER(SPLIT(F280,"" ""),LEN(SPLIT(F280,"" ""))&gt;2)))"),"нига|вощи|фрукты|картонная|нига|используется|для|ознакомления|овощами|фруктами|через|изображения|подписи|рименяется|при|рассматривании|назывании|обсуждении|признаков|цвет|форма|где|раст|траницы|выполнены|плотного|картона|одходит|для|тематических|занятий")</f>
        <v>нига|вощи|фрукты|картонная|нига|используется|для|ознакомления|овощами|фруктами|через|изображения|подписи|рименяется|при|рассматривании|назывании|обсуждении|признаков|цвет|форма|где|раст|траницы|выполнены|плотного|картона|одходит|для|тематических|занятий</v>
      </c>
      <c r="I280" s="1"/>
      <c r="J280" s="1"/>
    </row>
    <row r="281" spans="1:10" x14ac:dyDescent="0.2">
      <c r="A281" s="8" t="s">
        <v>2771</v>
      </c>
      <c r="B281" s="7" t="s">
        <v>2770</v>
      </c>
      <c r="C281" s="7" t="s">
        <v>2769</v>
      </c>
      <c r="D281" s="6">
        <v>12700</v>
      </c>
      <c r="E281" s="5">
        <v>1</v>
      </c>
      <c r="F281" s="4" t="str">
        <f ca="1">IFERROR(__xludf.DUMMYFUNCTION("LOWER(REGEXREPLACE(B281&amp;"" ""&amp;C281,""[^а-яa-z0-9 ]"","" ""))")," нига   вета   картонная   нига предназначена для знакомства с основными цветами через персонажей и сюжетные изображения   спользуется при рассматривании и назывании цветов   траницы выполнены из плотного картона  удобного для частого перелистывания   одх"&amp;"одит для тематических занятий и спокойной деятельности ")</f>
        <v xml:space="preserve"> нига   вета   картонная   нига предназначена для знакомства с основными цветами через персонажей и сюжетные изображения   спользуется при рассматривании и назывании цветов   траницы выполнены из плотного картона  удобного для частого перелистывания   одходит для тематических занятий и спокойной деятельности </v>
      </c>
      <c r="G281" s="4" t="str">
        <f ca="1">IFERROR(__xludf.DUMMYFUNCTION("TEXTJOIN(""|"",TRUE,UNIQUE(FILTER(SPLIT(F281,"" ""),LEN(SPLIT(F281,"" ""))&gt;2)))"),"нига|вета|картонная|нига|предназначена|для|знакомства|основными|цветами|через|персонажей|сюжетные|изображения|спользуется|при|рассматривании|назывании|цветов|траницы|выполнены|плотного|картона|удобного|для|частого|перелистывания|одходит|для|тематических|з"&amp;"анятий|спокойной|деятельности")</f>
        <v>нига|вета|картонная|нига|предназначена|для|знакомства|основными|цветами|через|персонажей|сюжетные|изображения|спользуется|при|рассматривании|назывании|цветов|траницы|выполнены|плотного|картона|удобного|для|частого|перелистывания|одходит|для|тематических|занятий|спокойной|деятельности</v>
      </c>
      <c r="I281" s="1"/>
      <c r="J281" s="1"/>
    </row>
    <row r="282" spans="1:10" x14ac:dyDescent="0.2">
      <c r="A282" s="8" t="s">
        <v>2768</v>
      </c>
      <c r="B282" s="7" t="s">
        <v>2767</v>
      </c>
      <c r="C282" s="7" t="s">
        <v>2766</v>
      </c>
      <c r="D282" s="6">
        <v>6700</v>
      </c>
      <c r="E282" s="5">
        <v>5</v>
      </c>
      <c r="F282" s="4" t="str">
        <f ca="1">IFERROR(__xludf.DUMMYFUNCTION("LOWER(REGEXREPLACE(B282&amp;"" ""&amp;C282,""[^а-яa-z0-9 ]"","" ""))")," льбомы с иллюстрациями и фотографиями сельскохозяйственного и бытового труда  льбомы содержат иллюстрации и фотографии  отражающие виды сельскохозяйственного и бытового труда   спользуются для наглядного ознакомления с трудовой деятельностью и профессиям"&amp;"и   атериалы применяются при рассматривании изображений  обсуждении и расширении представлений об окружающем мире   льбомы подходят для использования в образовательной практике ")</f>
        <v xml:space="preserve"> льбомы с иллюстрациями и фотографиями сельскохозяйственного и бытового труда  льбомы содержат иллюстрации и фотографии  отражающие виды сельскохозяйственного и бытового труда   спользуются для наглядного ознакомления с трудовой деятельностью и профессиями   атериалы применяются при рассматривании изображений  обсуждении и расширении представлений об окружающем мире   льбомы подходят для использования в образовательной практике </v>
      </c>
      <c r="G282" s="4" t="str">
        <f ca="1">IFERROR(__xludf.DUMMYFUNCTION("TEXTJOIN(""|"",TRUE,UNIQUE(FILTER(SPLIT(F282,"" ""),LEN(SPLIT(F282,"" ""))&gt;2)))"),"льбомы|иллюстрациями|фотографиями|сельскохозяйственного|бытового|труда|льбомы|содержат|иллюстрации|фотографии|отражающие|виды|сельскохозяйственного|бытового|труда|спользуются|для|наглядного|ознакомления|трудовой|деятельностью|профессиями|атериалы|применяю"&amp;"тся|при|рассматривании|изображений|обсуждении|расширении|представлений|окружающем|мире|льбомы|подходят|для|использования|образовательной|практике")</f>
        <v>льбомы|иллюстрациями|фотографиями|сельскохозяйственного|бытового|труда|льбомы|содержат|иллюстрации|фотографии|отражающие|виды|сельскохозяйственного|бытового|труда|спользуются|для|наглядного|ознакомления|трудовой|деятельностью|профессиями|атериалы|применяются|при|рассматривании|изображений|обсуждении|расширении|представлений|окружающем|мире|льбомы|подходят|для|использования|образовательной|практике</v>
      </c>
      <c r="I282" s="1"/>
      <c r="J282" s="1"/>
    </row>
    <row r="283" spans="1:10" x14ac:dyDescent="0.2">
      <c r="A283" s="8" t="s">
        <v>2765</v>
      </c>
      <c r="B283" s="7" t="s">
        <v>2764</v>
      </c>
      <c r="C283" s="7" t="s">
        <v>2763</v>
      </c>
      <c r="D283" s="6">
        <v>7400</v>
      </c>
      <c r="E283" s="5">
        <v>5</v>
      </c>
      <c r="F283" s="4" t="str">
        <f ca="1">IFERROR(__xludf.DUMMYFUNCTION("LOWER(REGEXREPLACE(B283&amp;"" ""&amp;C283,""[^а-яa-z0-9 ]"","" ""))")," нига  op up   осмос   панорамка   нига панорамка используется для рассматривания объ мных разворотов по теме космоса   op up элементы обеспечивают визуальную наглядность и удержание внимания при чтении   здание выполнено на картоне и рассчитано на аккура"&amp;"тное многократное использование   рименяется при совместном чтении и тематических занятиях ")</f>
        <v xml:space="preserve"> нига  op up   осмос   панорамка   нига панорамка используется для рассматривания объ мных разворотов по теме космоса   op up элементы обеспечивают визуальную наглядность и удержание внимания при чтении   здание выполнено на картоне и рассчитано на аккуратное многократное использование   рименяется при совместном чтении и тематических занятиях </v>
      </c>
      <c r="G283" s="4" t="str">
        <f ca="1">IFERROR(__xludf.DUMMYFUNCTION("TEXTJOIN(""|"",TRUE,UNIQUE(FILTER(SPLIT(F283,"" ""),LEN(SPLIT(F283,"" ""))&gt;2)))"),"нига|осмос|панорамка|нига|панорамка|используется|для|рассматривания|объ|мных|разворотов|теме|космоса|элементы|обеспечивают|визуальную|наглядность|удержание|внимания|при|чтении|здание|выполнено|картоне|рассчитано|аккуратное|многократное|использование|римен"&amp;"яется|при|совместном|чтении|тематических|занятиях")</f>
        <v>нига|осмос|панорамка|нига|панорамка|используется|для|рассматривания|объ|мных|разворотов|теме|космоса|элементы|обеспечивают|визуальную|наглядность|удержание|внимания|при|чтении|здание|выполнено|картоне|рассчитано|аккуратное|многократное|использование|рименяется|при|совместном|чтении|тематических|занятиях</v>
      </c>
      <c r="I283" s="1"/>
      <c r="J283" s="1"/>
    </row>
    <row r="284" spans="1:10" x14ac:dyDescent="0.2">
      <c r="A284" s="8" t="s">
        <v>2762</v>
      </c>
      <c r="B284" s="7" t="s">
        <v>2761</v>
      </c>
      <c r="C284" s="7" t="s">
        <v>2760</v>
      </c>
      <c r="D284" s="6">
        <v>7400</v>
      </c>
      <c r="E284" s="5">
        <v>5</v>
      </c>
      <c r="F284" s="4" t="str">
        <f ca="1">IFERROR(__xludf.DUMMYFUNCTION("LOWER(REGEXREPLACE(B284&amp;"" ""&amp;C284,""[^а-яa-z0-9 ]"","" ""))")," нига  op up   ранспорт   панорамка   нига панорамка используется для знакомства с видами транспорта через объ мные развороты   op up конструкции позволяют рассматривать элементы в объ ме и обсуждать детали   траницы картонные  подходят для регулярного ак"&amp;"куратного использования   рименяется при совместном чтении и тематических занятиях ")</f>
        <v xml:space="preserve"> нига  op up   ранспорт   панорамка   нига панорамка используется для знакомства с видами транспорта через объ мные развороты   op up конструкции позволяют рассматривать элементы в объ ме и обсуждать детали   траницы картонные  подходят для регулярного аккуратного использования   рименяется при совместном чтении и тематических занятиях </v>
      </c>
      <c r="G284" s="4" t="str">
        <f ca="1">IFERROR(__xludf.DUMMYFUNCTION("TEXTJOIN(""|"",TRUE,UNIQUE(FILTER(SPLIT(F284,"" ""),LEN(SPLIT(F284,"" ""))&gt;2)))"),"нига|ранспорт|панорамка|нига|панорамка|используется|для|знакомства|видами|транспорта|через|объ|мные|развороты|конструкции|позволяют|рассматривать|элементы|объ|обсуждать|детали|траницы|картонные|подходят|для|регулярного|аккуратного|использования|рименяется"&amp;"|при|совместном|чтении|тематических|занятиях")</f>
        <v>нига|ранспорт|панорамка|нига|панорамка|используется|для|знакомства|видами|транспорта|через|объ|мные|развороты|конструкции|позволяют|рассматривать|элементы|объ|обсуждать|детали|траницы|картонные|подходят|для|регулярного|аккуратного|использования|рименяется|при|совместном|чтении|тематических|занятиях</v>
      </c>
      <c r="I284" s="1"/>
      <c r="J284" s="1"/>
    </row>
    <row r="285" spans="1:10" x14ac:dyDescent="0.2">
      <c r="A285" s="8" t="s">
        <v>2759</v>
      </c>
      <c r="B285" s="7" t="s">
        <v>2758</v>
      </c>
      <c r="C285" s="7" t="s">
        <v>2757</v>
      </c>
      <c r="D285" s="6">
        <v>9500</v>
      </c>
      <c r="E285" s="5">
        <v>1</v>
      </c>
      <c r="F285" s="4" t="str">
        <f ca="1">IFERROR(__xludf.DUMMYFUNCTION("LOWER(REGEXREPLACE(B285&amp;"" ""&amp;C285,""[^а-яa-z0-9 ]"","" ""))")," нига раскладушка со звуками животных  нижка раскладушка используется для знакомства с голосами животных и птиц   а страницах размещены иллюстрации и подписи со звукоподражанием   ормат раскладушки удобен для показа группе и индивидуального рассматривания"&amp;"   артонные страницы рассчитаны на многократное использование ")</f>
        <v xml:space="preserve"> нига раскладушка со звуками животных  нижка раскладушка используется для знакомства с голосами животных и птиц   а страницах размещены иллюстрации и подписи со звукоподражанием   ормат раскладушки удобен для показа группе и индивидуального рассматривания   артонные страницы рассчитаны на многократное использование </v>
      </c>
      <c r="G285" s="4" t="str">
        <f ca="1">IFERROR(__xludf.DUMMYFUNCTION("TEXTJOIN(""|"",TRUE,UNIQUE(FILTER(SPLIT(F285,"" ""),LEN(SPLIT(F285,"" ""))&gt;2)))"),"нига|раскладушка|звуками|животных|нижка|раскладушка|используется|для|знакомства|голосами|животных|птиц|страницах|размещены|иллюстрации|подписи|звукоподражанием|ормат|раскладушки|удобен|для|показа|группе|индивидуального|рассматривания|артонные|страницы|рас"&amp;"считаны|многократное|использование")</f>
        <v>нига|раскладушка|звуками|животных|нижка|раскладушка|используется|для|знакомства|голосами|животных|птиц|страницах|размещены|иллюстрации|подписи|звукоподражанием|ормат|раскладушки|удобен|для|показа|группе|индивидуального|рассматривания|артонные|страницы|рассчитаны|многократное|использование</v>
      </c>
      <c r="I285" s="1"/>
      <c r="J285" s="1"/>
    </row>
    <row r="286" spans="1:10" x14ac:dyDescent="0.2">
      <c r="A286" s="8" t="s">
        <v>2756</v>
      </c>
      <c r="B286" s="7" t="s">
        <v>2755</v>
      </c>
      <c r="C286" s="7" t="s">
        <v>2754</v>
      </c>
      <c r="D286" s="6">
        <v>10600</v>
      </c>
      <c r="E286" s="5">
        <v>10</v>
      </c>
      <c r="F286" s="4" t="str">
        <f ca="1">IFERROR(__xludf.DUMMYFUNCTION("LOWER(REGEXREPLACE(B286&amp;"" ""&amp;C286,""[^а-яa-z0-9 ]"","" ""))")," ниги по воспитанию и педагогике  омплект включает издания по педагогике  психологии и вопросам воспитания   спользуется для методической подготовки и профессионального чтения   одходит для размещения в методическом кабинете или библиотеке учреждения   ас"&amp;"считан на длительное хранение и использование ")</f>
        <v xml:space="preserve"> ниги по воспитанию и педагогике  омплект включает издания по педагогике  психологии и вопросам воспитания   спользуется для методической подготовки и профессионального чтения   одходит для размещения в методическом кабинете или библиотеке учреждения   ассчитан на длительное хранение и использование </v>
      </c>
      <c r="G286" s="4" t="str">
        <f ca="1">IFERROR(__xludf.DUMMYFUNCTION("TEXTJOIN(""|"",TRUE,UNIQUE(FILTER(SPLIT(F286,"" ""),LEN(SPLIT(F286,"" ""))&gt;2)))"),"ниги|воспитанию|педагогике|омплект|включает|издания|педагогике|психологии|вопросам|воспитания|спользуется|для|методической|подготовки|профессионального|чтения|одходит|для|размещения|методическом|кабинете|или|библиотеке|учреждения|ассчитан|длительное|хране"&amp;"ние|использование")</f>
        <v>ниги|воспитанию|педагогике|омплект|включает|издания|педагогике|психологии|вопросам|воспитания|спользуется|для|методической|подготовки|профессионального|чтения|одходит|для|размещения|методическом|кабинете|или|библиотеке|учреждения|ассчитан|длительное|хранение|использование</v>
      </c>
      <c r="I286" s="1"/>
      <c r="J286" s="1"/>
    </row>
    <row r="287" spans="1:10" x14ac:dyDescent="0.2">
      <c r="A287" s="8" t="s">
        <v>2753</v>
      </c>
      <c r="B287" s="8" t="s">
        <v>2752</v>
      </c>
      <c r="C287" s="7" t="s">
        <v>2751</v>
      </c>
      <c r="D287" s="6">
        <v>152000</v>
      </c>
      <c r="E287" s="5">
        <v>18</v>
      </c>
      <c r="F287" s="4" t="str">
        <f ca="1">IFERROR(__xludf.DUMMYFUNCTION("LOWER(REGEXREPLACE(B287&amp;"" ""&amp;C287,""[^а-яa-z0-9 ]"","" ""))")," нижные стеллажи  открытые   ткрытые книжные стеллажи для хранения и демонстрации детской литературы   ниги размещаются на уровне глаз реб нка   атериал        16 мм   азмер одного стеллажа   1000   350   1200 мм ")</f>
        <v xml:space="preserve"> нижные стеллажи  открытые   ткрытые книжные стеллажи для хранения и демонстрации детской литературы   ниги размещаются на уровне глаз реб нка   атериал        16 мм   азмер одного стеллажа   1000   350   1200 мм </v>
      </c>
      <c r="G287" s="4" t="str">
        <f ca="1">IFERROR(__xludf.DUMMYFUNCTION("TEXTJOIN(""|"",TRUE,UNIQUE(FILTER(SPLIT(F287,"" ""),LEN(SPLIT(F287,"" ""))&gt;2)))"),"нижные|стеллажи|открытые|ткрытые|книжные|стеллажи|для|хранения|демонстрации|детской|литературы|ниги|размещаются|уровне|глаз|реб|нка|атериал|азмер|одного|стеллажа|1000|350|1200")</f>
        <v>нижные|стеллажи|открытые|ткрытые|книжные|стеллажи|для|хранения|демонстрации|детской|литературы|ниги|размещаются|уровне|глаз|реб|нка|атериал|азмер|одного|стеллажа|1000|350|1200</v>
      </c>
      <c r="I287" s="1"/>
      <c r="J287" s="1"/>
    </row>
    <row r="288" spans="1:10" x14ac:dyDescent="0.2">
      <c r="A288" s="7"/>
      <c r="B288" s="7"/>
      <c r="C288" s="9" t="s">
        <v>2750</v>
      </c>
      <c r="D288" s="6">
        <v>34799</v>
      </c>
      <c r="E288" s="5">
        <v>1</v>
      </c>
      <c r="F288" s="4" t="str">
        <f ca="1">IFERROR(__xludf.DUMMYFUNCTION("LOWER(REGEXREPLACE(B288&amp;"" ""&amp;C288,""[^а-яa-z0-9 ]"","" ""))"),"  теллаж двусторонний  3 полки  размер не менее 800х600х1100 мм")</f>
        <v xml:space="preserve">  теллаж двусторонний  3 полки  размер не менее 800х600х1100 мм</v>
      </c>
      <c r="G288" s="4" t="str">
        <f ca="1">IFERROR(__xludf.DUMMYFUNCTION("TEXTJOIN(""|"",TRUE,UNIQUE(FILTER(SPLIT(F288,"" ""),LEN(SPLIT(F288,"" ""))&gt;2)))"),"теллаж|двусторонний|полки|размер|менее|800х600х1100")</f>
        <v>теллаж|двусторонний|полки|размер|менее|800х600х1100</v>
      </c>
      <c r="I288" s="1"/>
      <c r="J288" s="1"/>
    </row>
    <row r="289" spans="1:10" x14ac:dyDescent="0.2">
      <c r="A289" s="8" t="s">
        <v>2749</v>
      </c>
      <c r="B289" s="7" t="s">
        <v>2748</v>
      </c>
      <c r="C289" s="7" t="s">
        <v>2747</v>
      </c>
      <c r="D289" s="6">
        <v>20700</v>
      </c>
      <c r="E289" s="5">
        <v>1</v>
      </c>
      <c r="F289" s="4" t="str">
        <f ca="1">IFERROR(__xludf.DUMMYFUNCTION("LOWER(REGEXREPLACE(B289&amp;"" ""&amp;C289,""[^а-яa-z0-9 ]"","" ""))")," ов р с казахскими орнаментами  ягкий ков р для зоны чтения и отдыха с традиционными казахскими узорами   снащ н антискользящим основанием ")</f>
        <v xml:space="preserve"> ов р с казахскими орнаментами  ягкий ков р для зоны чтения и отдыха с традиционными казахскими узорами   снащ н антискользящим основанием </v>
      </c>
      <c r="G289" s="4" t="str">
        <f ca="1">IFERROR(__xludf.DUMMYFUNCTION("TEXTJOIN(""|"",TRUE,UNIQUE(FILTER(SPLIT(F289,"" ""),LEN(SPLIT(F289,"" ""))&gt;2)))"),"казахскими|орнаментами|ягкий|ков|для|зоны|чтения|отдыха|традиционными|казахскими|узорами|снащ|антискользящим|основанием")</f>
        <v>казахскими|орнаментами|ягкий|ков|для|зоны|чтения|отдыха|традиционными|казахскими|узорами|снащ|антискользящим|основанием</v>
      </c>
      <c r="I289" s="1"/>
      <c r="J289" s="1"/>
    </row>
    <row r="290" spans="1:10" x14ac:dyDescent="0.2">
      <c r="A290" s="8" t="s">
        <v>2746</v>
      </c>
      <c r="B290" s="7" t="s">
        <v>2745</v>
      </c>
      <c r="C290" s="7" t="s">
        <v>2744</v>
      </c>
      <c r="D290" s="6">
        <v>4500</v>
      </c>
      <c r="E290" s="5">
        <v>25</v>
      </c>
      <c r="F290" s="4" t="str">
        <f ca="1">IFERROR(__xludf.DUMMYFUNCTION("LOWER(REGEXREPLACE(B290&amp;"" ""&amp;C290,""[^а-яa-z0-9 ]"","" ""))")," оврик для упражнений напольный  йога       оврик используется для упражнений на полу  растяжки и спокойной двигательной активности   азмер коврика составляет не менее 180 60 см  толщина   не менее 0 6 см   атериал       или аналог  устойчивый к скольжени"&amp;"ю и л гкий в уходе   ассчитан на регулярное использование ")</f>
        <v xml:space="preserve"> оврик для упражнений напольный  йога       оврик используется для упражнений на полу  растяжки и спокойной двигательной активности   азмер коврика составляет не менее 180 60 см  толщина   не менее 0 6 см   атериал       или аналог  устойчивый к скольжению и л гкий в уходе   ассчитан на регулярное использование </v>
      </c>
      <c r="G290" s="4" t="str">
        <f ca="1">IFERROR(__xludf.DUMMYFUNCTION("TEXTJOIN(""|"",TRUE,UNIQUE(FILTER(SPLIT(F290,"" ""),LEN(SPLIT(F290,"" ""))&gt;2)))"),"оврик|для|упражнений|напольный|йога|оврик|используется|для|упражнений|полу|растяжки|спокойной|двигательной|активности|азмер|коврика|составляет|менее|180|толщина|менее|атериал|или|аналог|устойчивый|скольжению|гкий|уходе|ассчитан|регулярное|использование")</f>
        <v>оврик|для|упражнений|напольный|йога|оврик|используется|для|упражнений|полу|растяжки|спокойной|двигательной|активности|азмер|коврика|составляет|менее|180|толщина|менее|атериал|или|аналог|устойчивый|скольжению|гкий|уходе|ассчитан|регулярное|использование</v>
      </c>
      <c r="I290" s="1"/>
      <c r="J290" s="1"/>
    </row>
    <row r="291" spans="1:10" x14ac:dyDescent="0.2">
      <c r="A291" s="8" t="s">
        <v>2743</v>
      </c>
      <c r="B291" s="7" t="s">
        <v>2742</v>
      </c>
      <c r="C291" s="7" t="s">
        <v>2741</v>
      </c>
      <c r="D291" s="6">
        <v>2900</v>
      </c>
      <c r="E291" s="5">
        <v>15</v>
      </c>
      <c r="F291" s="4" t="str">
        <f ca="1">IFERROR(__xludf.DUMMYFUNCTION("LOWER(REGEXREPLACE(B291&amp;"" ""&amp;C291,""[^а-яa-z0-9 ]"","" ""))")," оврики для лепки  набор 4 шт    оврики используются как рабочая поверхность при лепке и работе с пластичными материалами   атериал   силикон или пластик  водонепроницаемый и термостойкий   оверхность предотвращает прилипание и облегчает уборку рабочего м"&amp;"еста    комплект входит не менее 4 ковриков   азмер одного коврика   не менее 39 29 см  возможны дополнительные меньшие форматы  ")</f>
        <v xml:space="preserve"> оврики для лепки  набор 4 шт    оврики используются как рабочая поверхность при лепке и работе с пластичными материалами   атериал   силикон или пластик  водонепроницаемый и термостойкий   оверхность предотвращает прилипание и облегчает уборку рабочего места    комплект входит не менее 4 ковриков   азмер одного коврика   не менее 39 29 см  возможны дополнительные меньшие форматы  </v>
      </c>
      <c r="G291" s="4" t="str">
        <f ca="1">IFERROR(__xludf.DUMMYFUNCTION("TEXTJOIN(""|"",TRUE,UNIQUE(FILTER(SPLIT(F291,"" ""),LEN(SPLIT(F291,"" ""))&gt;2)))"),"оврики|для|лепки|набор|оврики|используются|как|рабочая|поверхность|при|лепке|работе|пластичными|материалами|атериал|силикон|или|пластик|водонепроницаемый|термостойкий|оверхность|предотвращает|прилипание|облегчает|уборку|рабочего|места|комплект|входит|мене"&amp;"е|ковриков|азмер|одного|коврика|менее|возможны|дополнительные|меньшие|форматы")</f>
        <v>оврики|для|лепки|набор|оврики|используются|как|рабочая|поверхность|при|лепке|работе|пластичными|материалами|атериал|силикон|или|пластик|водонепроницаемый|термостойкий|оверхность|предотвращает|прилипание|облегчает|уборку|рабочего|места|комплект|входит|менее|ковриков|азмер|одного|коврика|менее|возможны|дополнительные|меньшие|форматы</v>
      </c>
      <c r="I291" s="1"/>
      <c r="J291" s="1"/>
    </row>
    <row r="292" spans="1:10" x14ac:dyDescent="0.2">
      <c r="A292" s="8" t="s">
        <v>2740</v>
      </c>
      <c r="B292" s="7" t="s">
        <v>2739</v>
      </c>
      <c r="C292" s="7" t="s">
        <v>2738</v>
      </c>
      <c r="D292" s="6">
        <v>12400</v>
      </c>
      <c r="E292" s="5">
        <v>1</v>
      </c>
      <c r="F292" s="4" t="str">
        <f ca="1">IFERROR(__xludf.DUMMYFUNCTION("LOWER(REGEXREPLACE(B292&amp;"" ""&amp;C292,""[^а-яa-z0-9 ]"","" ""))")," овролин напольный для игровой зоны  овролин используется как основное покрытие игровой или рабочей зоны  снижая шум и делая поверхность более т плой и безопасной   атериал должен быть гипоаллергенным и устойчивым к истиранию   вет   нейтральный  пастельн"&amp;"ые или светлые тона  для визуального спокойствия пространства   азмер подбирается по площади зоны  при этом покрытие обеспечивает сплошное перекрытие основной рабочей поверхности   одходит для регулярной уборки пылесосом и локальной влажной очистки ")</f>
        <v xml:space="preserve"> овролин напольный для игровой зоны  овролин используется как основное покрытие игровой или рабочей зоны  снижая шум и делая поверхность более т плой и безопасной   атериал должен быть гипоаллергенным и устойчивым к истиранию   вет   нейтральный  пастельные или светлые тона  для визуального спокойствия пространства   азмер подбирается по площади зоны  при этом покрытие обеспечивает сплошное перекрытие основной рабочей поверхности   одходит для регулярной уборки пылесосом и локальной влажной очистки </v>
      </c>
      <c r="G292" s="4" t="str">
        <f ca="1">IFERROR(__xludf.DUMMYFUNCTION("TEXTJOIN(""|"",TRUE,UNIQUE(FILTER(SPLIT(F292,"" ""),LEN(SPLIT(F292,"" ""))&gt;2)))"),"овролин|напольный|для|игровой|зоны|овролин|используется|как|основное|покрытие|игровой|или|рабочей|зоны|снижая|шум|делая|поверхность|более|плой|безопасной|атериал|должен|быть|гипоаллергенным|устойчивым|истиранию|вет|нейтральный|пастельные|или|светлые|тона|"&amp;"для|визуального|спокойствия|пространства|азмер|подбирается|площади|зоны|при|этом|покрытие|обеспечивает|сплошное|перекрытие|основной|рабочей|поверхности|одходит|для|регулярной|уборки|пылесосом|локальной|влажной|очистки")</f>
        <v>овролин|напольный|для|игровой|зоны|овролин|используется|как|основное|покрытие|игровой|или|рабочей|зоны|снижая|шум|делая|поверхность|более|плой|безопасной|атериал|должен|быть|гипоаллергенным|устойчивым|истиранию|вет|нейтральный|пастельные|или|светлые|тона|для|визуального|спокойствия|пространства|азмер|подбирается|площади|зоны|при|этом|покрытие|обеспечивает|сплошное|перекрытие|основной|рабочей|поверхности|одходит|для|регулярной|уборки|пылесосом|локальной|влажной|очистки</v>
      </c>
      <c r="I292" s="1"/>
      <c r="J292" s="1"/>
    </row>
    <row r="293" spans="1:10" x14ac:dyDescent="0.2">
      <c r="A293" s="8" t="s">
        <v>2737</v>
      </c>
      <c r="B293" s="7" t="s">
        <v>2736</v>
      </c>
      <c r="C293" s="7" t="s">
        <v>2355</v>
      </c>
      <c r="D293" s="6">
        <v>7900</v>
      </c>
      <c r="E293" s="5">
        <v>1</v>
      </c>
      <c r="F293" s="4" t="str">
        <f ca="1">IFERROR(__xludf.DUMMYFUNCTION("LOWER(REGEXREPLACE(B293&amp;"" ""&amp;C293,""[^а-яa-z0-9 ]"","" ""))")," озы  орпеш    аян сулу  рус   англ    дапт   умисбаев   ")</f>
        <v xml:space="preserve"> озы  орпеш    аян сулу  рус   англ    дапт   умисбаев   </v>
      </c>
      <c r="G293" s="4" t="str">
        <f ca="1">IFERROR(__xludf.DUMMYFUNCTION("TEXTJOIN(""|"",TRUE,UNIQUE(FILTER(SPLIT(F293,"" ""),LEN(SPLIT(F293,"" ""))&gt;2)))"),"озы|орпеш|аян|сулу|рус|англ|дапт|умисбаев")</f>
        <v>озы|орпеш|аян|сулу|рус|англ|дапт|умисбаев</v>
      </c>
      <c r="I293" s="1"/>
      <c r="J293" s="1"/>
    </row>
    <row r="294" spans="1:10" x14ac:dyDescent="0.2">
      <c r="A294" s="8" t="s">
        <v>2735</v>
      </c>
      <c r="B294" s="7" t="s">
        <v>2734</v>
      </c>
      <c r="C294" s="7" t="s">
        <v>2414</v>
      </c>
      <c r="D294" s="6">
        <v>1400</v>
      </c>
      <c r="E294" s="5">
        <v>1</v>
      </c>
      <c r="F294" s="4" t="str">
        <f ca="1">IFERROR(__xludf.DUMMYFUNCTION("LOWER(REGEXREPLACE(B294&amp;"" ""&amp;C294,""[^а-яa-z0-9 ]"","" ""))"),"   ылды  бояма    й    мная  раскраска   аскрась по коду   ом  енаги   ")</f>
        <v xml:space="preserve">   ылды  бояма    й    мная  раскраска   аскрась по коду   ом  енаги   </v>
      </c>
      <c r="G294" s="4" t="str">
        <f ca="1">IFERROR(__xludf.DUMMYFUNCTION("TEXTJOIN(""|"",TRUE,UNIQUE(FILTER(SPLIT(F294,"" ""),LEN(SPLIT(F294,"" ""))&gt;2)))"),"ылды|бояма|мная|раскраска|аскрась|коду|енаги")</f>
        <v>ылды|бояма|мная|раскраска|аскрась|коду|енаги</v>
      </c>
      <c r="I294" s="1"/>
      <c r="J294" s="1"/>
    </row>
    <row r="295" spans="1:10" x14ac:dyDescent="0.2">
      <c r="A295" s="8" t="s">
        <v>2733</v>
      </c>
      <c r="B295" s="7" t="s">
        <v>2732</v>
      </c>
      <c r="C295" s="7" t="s">
        <v>2731</v>
      </c>
      <c r="D295" s="6">
        <v>19000</v>
      </c>
      <c r="E295" s="5">
        <v>1</v>
      </c>
      <c r="F295" s="4" t="str">
        <f ca="1">IFERROR(__xludf.DUMMYFUNCTION("LOWER(REGEXREPLACE(B295&amp;"" ""&amp;C295,""[^а-яa-z0-9 ]"","" ""))")," нтология планеты земля  лдершоу   ")</f>
        <v xml:space="preserve"> нтология планеты земля  лдершоу   </v>
      </c>
      <c r="G295" s="4" t="str">
        <f ca="1">IFERROR(__xludf.DUMMYFUNCTION("TEXTJOIN(""|"",TRUE,UNIQUE(FILTER(SPLIT(F295,"" ""),LEN(SPLIT(F295,"" ""))&gt;2)))"),"нтология|планеты|земля|лдершоу")</f>
        <v>нтология|планеты|земля|лдершоу</v>
      </c>
      <c r="I295" s="1"/>
      <c r="J295" s="1"/>
    </row>
    <row r="296" spans="1:10" x14ac:dyDescent="0.2">
      <c r="A296" s="8" t="s">
        <v>2730</v>
      </c>
      <c r="B296" s="7" t="s">
        <v>2729</v>
      </c>
      <c r="C296" s="7" t="s">
        <v>2728</v>
      </c>
      <c r="D296" s="6">
        <v>18400</v>
      </c>
      <c r="E296" s="5">
        <v>10</v>
      </c>
      <c r="F296" s="4" t="str">
        <f ca="1">IFERROR(__xludf.DUMMYFUNCTION("LOWER(REGEXREPLACE(B296&amp;"" ""&amp;C296,""[^а-яa-z0-9 ]"","" ""))")," оллекция семян и плодов  демонстрационный набор   оллекция предназначена для ознакомления с разнообразием семян и плодов и их внешними признаками   спользуется как демонстрационный материал при тематических занятиях и наблюдениях    составе набора должны"&amp;" быть образцы разных форм и размеров для сравнения и классификации   лементы размещаются в контейнере коробке для хранения и систематизации   атериал рассчитан на многократное использование в помещении ")</f>
        <v xml:space="preserve"> оллекция семян и плодов  демонстрационный набор   оллекция предназначена для ознакомления с разнообразием семян и плодов и их внешними признаками   спользуется как демонстрационный материал при тематических занятиях и наблюдениях    составе набора должны быть образцы разных форм и размеров для сравнения и классификации   лементы размещаются в контейнере коробке для хранения и систематизации   атериал рассчитан на многократное использование в помещении </v>
      </c>
      <c r="G296" s="4" t="str">
        <f ca="1">IFERROR(__xludf.DUMMYFUNCTION("TEXTJOIN(""|"",TRUE,UNIQUE(FILTER(SPLIT(F296,"" ""),LEN(SPLIT(F296,"" ""))&gt;2)))"),"оллекция|семян|плодов|демонстрационный|набор|оллекция|предназначена|для|ознакомления|разнообразием|семян|плодов|внешними|признаками|спользуется|как|демонстрационный|материал|при|тематических|занятиях|наблюдениях|составе|набора|должны|быть|образцы|разных|ф"&amp;"орм|размеров|для|сравнения|классификации|лементы|размещаются|контейнере|коробке|для|хранения|систематизации|атериал|рассчитан|многократное|использование|помещении")</f>
        <v>оллекция|семян|плодов|демонстрационный|набор|оллекция|предназначена|для|ознакомления|разнообразием|семян|плодов|внешними|признаками|спользуется|как|демонстрационный|материал|при|тематических|занятиях|наблюдениях|составе|набора|должны|быть|образцы|разных|форм|размеров|для|сравнения|классификации|лементы|размещаются|контейнере|коробке|для|хранения|систематизации|атериал|рассчитан|многократное|использование|помещении</v>
      </c>
      <c r="I296" s="1"/>
      <c r="J296" s="1"/>
    </row>
    <row r="297" spans="1:10" x14ac:dyDescent="0.2">
      <c r="A297" s="8" t="s">
        <v>2727</v>
      </c>
      <c r="B297" s="7" t="s">
        <v>2726</v>
      </c>
      <c r="C297" s="7" t="s">
        <v>2725</v>
      </c>
      <c r="D297" s="6">
        <v>22800</v>
      </c>
      <c r="E297" s="5">
        <v>1</v>
      </c>
      <c r="F297" s="4" t="str">
        <f ca="1">IFERROR(__xludf.DUMMYFUNCTION("LOWER(REGEXREPLACE(B297&amp;"" ""&amp;C297,""[^а-яa-z0-9 ]"","" ""))")," оллекция тканей  набор образцов   абор образцов тканей используется для тактильного сравнения материалов и изучения их свойств  плотность  гладкость  фактура    рименяется при занятиях по ознакомлению с материалами и в творческих заданиях   лина одного о"&amp;"треза ткани   не менее 1 м  при поставке единицей товара    ветовая гамма допускает различные варианты по ассортименту ")</f>
        <v xml:space="preserve"> оллекция тканей  набор образцов   абор образцов тканей используется для тактильного сравнения материалов и изучения их свойств  плотность  гладкость  фактура    рименяется при занятиях по ознакомлению с материалами и в творческих заданиях   лина одного отреза ткани   не менее 1 м  при поставке единицей товара    ветовая гамма допускает различные варианты по ассортименту </v>
      </c>
      <c r="G297" s="4" t="str">
        <f ca="1">IFERROR(__xludf.DUMMYFUNCTION("TEXTJOIN(""|"",TRUE,UNIQUE(FILTER(SPLIT(F297,"" ""),LEN(SPLIT(F297,"" ""))&gt;2)))"),"оллекция|тканей|набор|образцов|абор|образцов|тканей|используется|для|тактильного|сравнения|материалов|изучения|свойств|плотность|гладкость|фактура|рименяется|при|занятиях|ознакомлению|материалами|творческих|заданиях|лина|одного|отреза|ткани|менее|при|пост"&amp;"авке|единицей|товара|ветовая|гамма|допускает|различные|варианты|ассортименту")</f>
        <v>оллекция|тканей|набор|образцов|абор|образцов|тканей|используется|для|тактильного|сравнения|материалов|изучения|свойств|плотность|гладкость|фактура|рименяется|при|занятиях|ознакомлению|материалами|творческих|заданиях|лина|одного|отреза|ткани|менее|при|поставке|единицей|товара|ветовая|гамма|допускает|различные|варианты|ассортименту</v>
      </c>
      <c r="I297" s="1"/>
      <c r="J297" s="1"/>
    </row>
    <row r="298" spans="1:10" x14ac:dyDescent="0.2">
      <c r="A298" s="8" t="s">
        <v>2724</v>
      </c>
      <c r="B298" s="7" t="s">
        <v>2723</v>
      </c>
      <c r="C298" s="7" t="s">
        <v>2722</v>
      </c>
      <c r="D298" s="6">
        <v>470300</v>
      </c>
      <c r="E298" s="5">
        <v>1</v>
      </c>
      <c r="F298" s="4" t="str">
        <f ca="1">IFERROR(__xludf.DUMMYFUNCTION("LOWER(REGEXREPLACE(B298&amp;"" ""&amp;C298,""[^а-яa-z0-9 ]"","" ""))")," олода для рубки мяса верх пэ ce ekp70x70  ержавеющая сталь 430   олщина  полиэтилена  10 cm    бортиком  без полки   араметры  700x700x850 мм")</f>
        <v xml:space="preserve"> олода для рубки мяса верх пэ ce ekp70x70  ержавеющая сталь 430   олщина  полиэтилена  10 cm    бортиком  без полки   араметры  700x700x850 мм</v>
      </c>
      <c r="G298" s="4" t="str">
        <f ca="1">IFERROR(__xludf.DUMMYFUNCTION("TEXTJOIN(""|"",TRUE,UNIQUE(FILTER(SPLIT(F298,"" ""),LEN(SPLIT(F298,"" ""))&gt;2)))"),"олода|для|рубки|мяса|верх|ekp70x70|ержавеющая|сталь|430|олщина|полиэтилена|бортиком|без|полки|араметры|700x700x850")</f>
        <v>олода|для|рубки|мяса|верх|ekp70x70|ержавеющая|сталь|430|олщина|полиэтилена|бортиком|без|полки|араметры|700x700x850</v>
      </c>
      <c r="I298" s="1"/>
      <c r="J298" s="1"/>
    </row>
    <row r="299" spans="1:10" x14ac:dyDescent="0.2">
      <c r="A299" s="8" t="s">
        <v>2721</v>
      </c>
      <c r="B299" s="7" t="s">
        <v>2720</v>
      </c>
      <c r="C299" s="7" t="s">
        <v>2719</v>
      </c>
      <c r="D299" s="6">
        <v>4500</v>
      </c>
      <c r="E299" s="5">
        <v>175</v>
      </c>
      <c r="F299" s="4" t="str">
        <f ca="1">IFERROR(__xludf.DUMMYFUNCTION("LOWER(REGEXREPLACE(B299&amp;"" ""&amp;C299,""[^а-яa-z0-9 ]"","" ""))")," олокольчик детский  металл пластик   олокольчик используется как ударный музыкальный инструмент для извлечения звука при встряхивании   рименяется в ритмических упражнениях и музыкальных играх   орпус выполнен из металла и пластика  что обеспечивает проч"&amp;"ность и удобство удержания   абариты изделия составляют не менее 6 5 6 5 12 см   ассчитан на многократное использование в помещении ")</f>
        <v xml:space="preserve"> олокольчик детский  металл пластик   олокольчик используется как ударный музыкальный инструмент для извлечения звука при встряхивании   рименяется в ритмических упражнениях и музыкальных играх   орпус выполнен из металла и пластика  что обеспечивает прочность и удобство удержания   абариты изделия составляют не менее 6 5 6 5 12 см   ассчитан на многократное использование в помещении </v>
      </c>
      <c r="G299" s="4" t="str">
        <f ca="1">IFERROR(__xludf.DUMMYFUNCTION("TEXTJOIN(""|"",TRUE,UNIQUE(FILTER(SPLIT(F299,"" ""),LEN(SPLIT(F299,"" ""))&gt;2)))"),"олокольчик|детский|металл|пластик|олокольчик|используется|как|ударный|музыкальный|инструмент|для|извлечения|звука|при|встряхивании|рименяется|ритмических|упражнениях|музыкальных|играх|орпус|выполнен|металла|пластика|что|обеспечивает|прочность|удобство|уде"&amp;"ржания|абариты|изделия|составляют|менее|ассчитан|многократное|использование|помещении")</f>
        <v>олокольчик|детский|металл|пластик|олокольчик|используется|как|ударный|музыкальный|инструмент|для|извлечения|звука|при|встряхивании|рименяется|ритмических|упражнениях|музыкальных|играх|орпус|выполнен|металла|пластика|что|обеспечивает|прочность|удобство|удержания|абариты|изделия|составляют|менее|ассчитан|многократное|использование|помещении</v>
      </c>
      <c r="I299" s="1"/>
      <c r="J299" s="1"/>
    </row>
    <row r="300" spans="1:10" x14ac:dyDescent="0.2">
      <c r="A300" s="8" t="s">
        <v>2718</v>
      </c>
      <c r="B300" s="7" t="s">
        <v>2717</v>
      </c>
      <c r="C300" s="7" t="s">
        <v>2716</v>
      </c>
      <c r="D300" s="6">
        <v>19000</v>
      </c>
      <c r="E300" s="5">
        <v>2</v>
      </c>
      <c r="F300" s="4" t="str">
        <f ca="1">IFERROR(__xludf.DUMMYFUNCTION("LOWER(REGEXREPLACE(B300&amp;"" ""&amp;C300,""[^а-яa-z0-9 ]"","" ""))")," оляска для куклы игровая  металл пластик текстиль   гровая коляска используется как атрибут сюжетно ролевых игр по уходу за куклой    процессе игры выполняются действия по перевозке  укладыванию и  прогулке   что поддерживает развитие ролевых сценариев  "&amp;" аркас изготовлен из металла  элементы   из пластика и текстиля   онструкция должна быть устойчивой  с кол сами  обеспечивающими плавное перемещение   ветовое исполнение   фиолетовый и красный  или близкий вариант по партии  ")</f>
        <v xml:space="preserve"> оляска для куклы игровая  металл пластик текстиль   гровая коляска используется как атрибут сюжетно ролевых игр по уходу за куклой    процессе игры выполняются действия по перевозке  укладыванию и  прогулке   что поддерживает развитие ролевых сценариев   аркас изготовлен из металла  элементы   из пластика и текстиля   онструкция должна быть устойчивой  с кол сами  обеспечивающими плавное перемещение   ветовое исполнение   фиолетовый и красный  или близкий вариант по партии  </v>
      </c>
      <c r="G300" s="4" t="str">
        <f ca="1">IFERROR(__xludf.DUMMYFUNCTION("TEXTJOIN(""|"",TRUE,UNIQUE(FILTER(SPLIT(F300,"" ""),LEN(SPLIT(F300,"" ""))&gt;2)))"),"оляска|для|куклы|игровая|металл|пластик|текстиль|гровая|коляска|используется|как|атрибут|сюжетно|ролевых|игр|уходу|куклой|процессе|игры|выполняются|действия|перевозке|укладыванию|прогулке|что|поддерживает|развитие|ролевых|сценариев|аркас|изготовлен|металл"&amp;"а|элементы|пластика|текстиля|онструкция|должна|быть|устойчивой|кол|сами|обеспечивающими|плавное|перемещение|ветовое|исполнение|фиолетовый|красный|или|близкий|вариант|партии")</f>
        <v>оляска|для|куклы|игровая|металл|пластик|текстиль|гровая|коляска|используется|как|атрибут|сюжетно|ролевых|игр|уходу|куклой|процессе|игры|выполняются|действия|перевозке|укладыванию|прогулке|что|поддерживает|развитие|ролевых|сценариев|аркас|изготовлен|металла|элементы|пластика|текстиля|онструкция|должна|быть|устойчивой|кол|сами|обеспечивающими|плавное|перемещение|ветовое|исполнение|фиолетовый|красный|или|близкий|вариант|партии</v>
      </c>
      <c r="I300" s="1"/>
      <c r="J300" s="1"/>
    </row>
    <row r="301" spans="1:10" x14ac:dyDescent="0.2">
      <c r="A301" s="8" t="s">
        <v>2715</v>
      </c>
      <c r="B301" s="7" t="s">
        <v>2714</v>
      </c>
      <c r="C301" s="7" t="s">
        <v>2713</v>
      </c>
      <c r="D301" s="6">
        <v>23500</v>
      </c>
      <c r="E301" s="5">
        <v>10</v>
      </c>
      <c r="F301" s="4" t="str">
        <f ca="1">IFERROR(__xludf.DUMMYFUNCTION("LOWER(REGEXREPLACE(B301&amp;"" ""&amp;C301,""[^а-яa-z0-9 ]"","" ""))")," оляска для куклы с люлькой  со съ мной корзиной   оляска предназначена для сюжетно ролевой игры  уход за малышом куклой  с возможностью переноски куклы в люльке   ъ мная люлька используется отдельно как переноска кроватка для куклы  что расширяет игровые"&amp;" сценарии   ол са обеспечивают устойчивость и плавный ход  конструкция подходит для перемещения по полу   аркас складной  что облегчает хранение  ручка регулируемая и подходит детям разного роста   нутри люльки предусмотрены ремешки для фиксации куклы во "&amp;"время игры ")</f>
        <v xml:space="preserve"> оляска для куклы с люлькой  со съ мной корзиной   оляска предназначена для сюжетно ролевой игры  уход за малышом куклой  с возможностью переноски куклы в люльке   ъ мная люлька используется отдельно как переноска кроватка для куклы  что расширяет игровые сценарии   ол са обеспечивают устойчивость и плавный ход  конструкция подходит для перемещения по полу   аркас складной  что облегчает хранение  ручка регулируемая и подходит детям разного роста   нутри люльки предусмотрены ремешки для фиксации куклы во время игры </v>
      </c>
      <c r="G301" s="4" t="str">
        <f ca="1">IFERROR(__xludf.DUMMYFUNCTION("TEXTJOIN(""|"",TRUE,UNIQUE(FILTER(SPLIT(F301,"" ""),LEN(SPLIT(F301,"" ""))&gt;2)))"),"оляска|для|куклы|люлькой|мной|корзиной|оляска|предназначена|для|сюжетно|ролевой|игры|уход|малышом|куклой|возможностью|переноски|куклы|люльке|мная|люлька|используется|отдельно|как|переноска|кроватка|для|куклы|что|расширяет|игровые|сценарии|обеспечивают|уст"&amp;"ойчивость|плавный|ход|конструкция|подходит|для|перемещения|полу|аркас|складной|что|облегчает|хранение|ручка|регулируемая|подходит|детям|разного|роста|нутри|люльки|предусмотрены|ремешки|для|фиксации|куклы|время|игры")</f>
        <v>оляска|для|куклы|люлькой|мной|корзиной|оляска|предназначена|для|сюжетно|ролевой|игры|уход|малышом|куклой|возможностью|переноски|куклы|люльке|мная|люлька|используется|отдельно|как|переноска|кроватка|для|куклы|что|расширяет|игровые|сценарии|обеспечивают|устойчивость|плавный|ход|конструкция|подходит|для|перемещения|полу|аркас|складной|что|облегчает|хранение|ручка|регулируемая|подходит|детям|разного|роста|нутри|люльки|предусмотрены|ремешки|для|фиксации|куклы|время|игры</v>
      </c>
      <c r="I301" s="1"/>
      <c r="J301" s="1"/>
    </row>
    <row r="302" spans="1:10" x14ac:dyDescent="0.2">
      <c r="A302" s="8" t="s">
        <v>2712</v>
      </c>
      <c r="B302" s="7" t="s">
        <v>2711</v>
      </c>
      <c r="C302" s="7" t="s">
        <v>2710</v>
      </c>
      <c r="D302" s="6">
        <v>1472500</v>
      </c>
      <c r="E302" s="5">
        <v>1</v>
      </c>
      <c r="F302" s="4" t="str">
        <f ca="1">IFERROR(__xludf.DUMMYFUNCTION("LOWER(REGEXREPLACE(B302&amp;"" ""&amp;C302,""[^а-яa-z0-9 ]"","" ""))")," омплект   рио   енсорный светодинамический комплект  включающий три воздушно пузырьковые колонны высотой 1 5 м и диаметром 10 см каждая  мягкое объединяющее основание и комплект зеркальных панелей   спользуется для известной релаксации  визуальной стимул"&amp;"яции  развития внимания и снижения эмоционального напряжения   онструкция устойчивая  предназначена для стационарного размещения в сенсорных и психологических зонах ")</f>
        <v xml:space="preserve"> омплект   рио   енсорный светодинамический комплект  включающий три воздушно пузырьковые колонны высотой 1 5 м и диаметром 10 см каждая  мягкое объединяющее основание и комплект зеркальных панелей   спользуется для известной релаксации  визуальной стимуляции  развития внимания и снижения эмоционального напряжения   онструкция устойчивая  предназначена для стационарного размещения в сенсорных и психологических зонах </v>
      </c>
      <c r="G302" s="4" t="str">
        <f ca="1">IFERROR(__xludf.DUMMYFUNCTION("TEXTJOIN(""|"",TRUE,UNIQUE(FILTER(SPLIT(F302,"" ""),LEN(SPLIT(F302,"" ""))&gt;2)))"),"омплект|рио|енсорный|светодинамический|комплект|включающий|три|воздушно|пузырьковые|колонны|высотой|диаметром|каждая|мягкое|объединяющее|основание|комплект|зеркальных|панелей|спользуется|для|известной|релаксации|визуальной|стимуляции|развития|внимания|сни"&amp;"жения|эмоционального|напряжения|онструкция|устойчивая|предназначена|для|стационарного|размещения|сенсорных|психологических|зонах")</f>
        <v>омплект|рио|енсорный|светодинамический|комплект|включающий|три|воздушно|пузырьковые|колонны|высотой|диаметром|каждая|мягкое|объединяющее|основание|комплект|зеркальных|панелей|спользуется|для|известной|релаксации|визуальной|стимуляции|развития|внимания|снижения|эмоционального|напряжения|онструкция|устойчивая|предназначена|для|стационарного|размещения|сенсорных|психологических|зонах</v>
      </c>
      <c r="I302" s="1"/>
      <c r="J302" s="1"/>
    </row>
    <row r="303" spans="1:10" x14ac:dyDescent="0.2">
      <c r="A303" s="8" t="s">
        <v>2709</v>
      </c>
      <c r="B303" s="7" t="s">
        <v>2708</v>
      </c>
      <c r="C303" s="7" t="s">
        <v>2707</v>
      </c>
      <c r="D303" s="6">
        <v>9100</v>
      </c>
      <c r="E303" s="5">
        <v>25</v>
      </c>
      <c r="F303" s="4" t="str">
        <f ca="1">IFERROR(__xludf.DUMMYFUNCTION("LOWER(REGEXREPLACE(B303&amp;"" ""&amp;C303,""[^а-яa-z0-9 ]"","" ""))")," омплект безопасных световых фильтров для изучения цветов спектра  абор цветных прозрачных фильтров  предназначенных для изучения основных и составных цветов спектра   рименяется в развивающих  сенсорных и экспериментальных зонах для формирования цветораз"&amp;"личения  зрительного восприятия и элементарных представлений о свойствах света   атериалы безопасны для детского использования  фильтры подходят для индивидуальной и групповой работы ")</f>
        <v xml:space="preserve"> омплект безопасных световых фильтров для изучения цветов спектра  абор цветных прозрачных фильтров  предназначенных для изучения основных и составных цветов спектра   рименяется в развивающих  сенсорных и экспериментальных зонах для формирования цветоразличения  зрительного восприятия и элементарных представлений о свойствах света   атериалы безопасны для детского использования  фильтры подходят для индивидуальной и групповой работы </v>
      </c>
      <c r="G303" s="4" t="str">
        <f ca="1">IFERROR(__xludf.DUMMYFUNCTION("TEXTJOIN(""|"",TRUE,UNIQUE(FILTER(SPLIT(F303,"" ""),LEN(SPLIT(F303,"" ""))&gt;2)))"),"омплект|безопасных|световых|фильтров|для|изучения|цветов|спектра|абор|цветных|прозрачных|фильтров|предназначенных|для|изучения|основных|составных|цветов|спектра|рименяется|развивающих|сенсорных|экспериментальных|зонах|для|формирования|цветоразличения|зрит"&amp;"ельного|восприятия|элементарных|представлений|свойствах|света|атериалы|безопасны|для|детского|использования|фильтры|подходят|для|индивидуальной|групповой|работы")</f>
        <v>омплект|безопасных|световых|фильтров|для|изучения|цветов|спектра|абор|цветных|прозрачных|фильтров|предназначенных|для|изучения|основных|составных|цветов|спектра|рименяется|развивающих|сенсорных|экспериментальных|зонах|для|формирования|цветоразличения|зрительного|восприятия|элементарных|представлений|свойствах|света|атериалы|безопасны|для|детского|использования|фильтры|подходят|для|индивидуальной|групповой|работы</v>
      </c>
      <c r="I303" s="1"/>
      <c r="J303" s="1"/>
    </row>
    <row r="304" spans="1:10" x14ac:dyDescent="0.2">
      <c r="A304" s="8" t="s">
        <v>2706</v>
      </c>
      <c r="B304" s="7" t="s">
        <v>2705</v>
      </c>
      <c r="C304" s="7" t="s">
        <v>2704</v>
      </c>
      <c r="D304" s="6">
        <v>195400</v>
      </c>
      <c r="E304" s="5">
        <v>1</v>
      </c>
      <c r="F304" s="4" t="str">
        <f ca="1">IFERROR(__xludf.DUMMYFUNCTION("LOWER(REGEXREPLACE(B304&amp;"" ""&amp;C304,""[^а-яa-z0-9 ]"","" ""))")," омплект игрушечной мебели и домашнего оборудования  абор миниатюрных предметов мебели и бытовых аксессуаров  предназначенный для сюжетно ролевых и коррекционно развивающих занятий   озволяет моделировать повседневные жизненные ситуации  развивать социаль"&amp;"ные навыки  речь  эмоциональный интеллект и навыки взаимодействия   спользуется в психологических и игровых кабинетах ")</f>
        <v xml:space="preserve"> омплект игрушечной мебели и домашнего оборудования  абор миниатюрных предметов мебели и бытовых аксессуаров  предназначенный для сюжетно ролевых и коррекционно развивающих занятий   озволяет моделировать повседневные жизненные ситуации  развивать социальные навыки  речь  эмоциональный интеллект и навыки взаимодействия   спользуется в психологических и игровых кабинетах </v>
      </c>
      <c r="G304" s="4" t="str">
        <f ca="1">IFERROR(__xludf.DUMMYFUNCTION("TEXTJOIN(""|"",TRUE,UNIQUE(FILTER(SPLIT(F304,"" ""),LEN(SPLIT(F304,"" ""))&gt;2)))"),"омплект|игрушечной|мебели|домашнего|оборудования|абор|миниатюрных|предметов|мебели|бытовых|аксессуаров|предназначенный|для|сюжетно|ролевых|коррекционно|развивающих|занятий|озволяет|моделировать|повседневные|жизненные|ситуации|развивать|социальные|навыки|р"&amp;"ечь|эмоциональный|интеллект|навыки|взаимодействия|спользуется|психологических|игровых|кабинетах")</f>
        <v>омплект|игрушечной|мебели|домашнего|оборудования|абор|миниатюрных|предметов|мебели|бытовых|аксессуаров|предназначенный|для|сюжетно|ролевых|коррекционно|развивающих|занятий|озволяет|моделировать|повседневные|жизненные|ситуации|развивать|социальные|навыки|речь|эмоциональный|интеллект|навыки|взаимодействия|спользуется|психологических|игровых|кабинетах</v>
      </c>
      <c r="I304" s="1"/>
      <c r="J304" s="1"/>
    </row>
    <row r="305" spans="1:10" x14ac:dyDescent="0.2">
      <c r="A305" s="8" t="s">
        <v>2703</v>
      </c>
      <c r="B305" s="7" t="s">
        <v>2702</v>
      </c>
      <c r="C305" s="7" t="s">
        <v>2701</v>
      </c>
      <c r="D305" s="6">
        <v>19000</v>
      </c>
      <c r="E305" s="5">
        <v>1</v>
      </c>
      <c r="F305" s="4" t="str">
        <f ca="1">IFERROR(__xludf.DUMMYFUNCTION("LOWER(REGEXREPLACE(B305&amp;"" ""&amp;C305,""[^а-яa-z0-9 ]"","" ""))")," омплект из 10 книг   роки логопеда   етодический книжный комплект для логопедической работы с детьми   одержит материалы по развитию артикуляционной моторики  фонематического восприятия  лексико грамматического строя речи и связной речи   спользуется для"&amp;" индивидуальных и подгрупповых занятий  а также в коррекционно развивающей практике ")</f>
        <v xml:space="preserve"> омплект из 10 книг   роки логопеда   етодический книжный комплект для логопедической работы с детьми   одержит материалы по развитию артикуляционной моторики  фонематического восприятия  лексико грамматического строя речи и связной речи   спользуется для индивидуальных и подгрупповых занятий  а также в коррекционно развивающей практике </v>
      </c>
      <c r="G305" s="4" t="str">
        <f ca="1">IFERROR(__xludf.DUMMYFUNCTION("TEXTJOIN(""|"",TRUE,UNIQUE(FILTER(SPLIT(F305,"" ""),LEN(SPLIT(F305,"" ""))&gt;2)))"),"омплект|книг|роки|логопеда|етодический|книжный|комплект|для|логопедической|работы|детьми|одержит|материалы|развитию|артикуляционной|моторики|фонематического|восприятия|лексико|грамматического|строя|речи|связной|речи|спользуется|для|индивидуальных|подгрупп"&amp;"овых|занятий|также|коррекционно|развивающей|практике")</f>
        <v>омплект|книг|роки|логопеда|етодический|книжный|комплект|для|логопедической|работы|детьми|одержит|материалы|развитию|артикуляционной|моторики|фонематического|восприятия|лексико|грамматического|строя|речи|связной|речи|спользуется|для|индивидуальных|подгрупповых|занятий|также|коррекционно|развивающей|практике</v>
      </c>
      <c r="I305" s="1"/>
      <c r="J305" s="1"/>
    </row>
    <row r="306" spans="1:10" x14ac:dyDescent="0.2">
      <c r="A306" s="8" t="s">
        <v>2700</v>
      </c>
      <c r="B306" s="7" t="s">
        <v>2699</v>
      </c>
      <c r="C306" s="7" t="s">
        <v>2698</v>
      </c>
      <c r="D306" s="6">
        <v>18000</v>
      </c>
      <c r="E306" s="5">
        <v>1</v>
      </c>
      <c r="F306" s="4" t="str">
        <f ca="1">IFERROR(__xludf.DUMMYFUNCTION("LOWER(REGEXREPLACE(B306&amp;"" ""&amp;C306,""[^а-яa-z0-9 ]"","" ""))")," птечка  птечка предназначена для хранения медицинских изделий и средств первой необходимости   спользуется для оперативного доступа к медицинским принадлежностям   омплектуется в соответствии с установленными требованиями   редназначена для размещения в "&amp;"помещениях учреждения ")</f>
        <v xml:space="preserve"> птечка  птечка предназначена для хранения медицинских изделий и средств первой необходимости   спользуется для оперативного доступа к медицинским принадлежностям   омплектуется в соответствии с установленными требованиями   редназначена для размещения в помещениях учреждения </v>
      </c>
      <c r="G306" s="4" t="str">
        <f ca="1">IFERROR(__xludf.DUMMYFUNCTION("TEXTJOIN(""|"",TRUE,UNIQUE(FILTER(SPLIT(F306,"" ""),LEN(SPLIT(F306,"" ""))&gt;2)))"),"птечка|птечка|предназначена|для|хранения|медицинских|изделий|средств|первой|необходимости|спользуется|для|оперативного|доступа|медицинским|принадлежностям|омплектуется|соответствии|установленными|требованиями|редназначена|для|размещения|помещениях|учрежде"&amp;"ния")</f>
        <v>птечка|птечка|предназначена|для|хранения|медицинских|изделий|средств|первой|необходимости|спользуется|для|оперативного|доступа|медицинским|принадлежностям|омплектуется|соответствии|установленными|требованиями|редназначена|для|размещения|помещениях|учреждения</v>
      </c>
      <c r="I306" s="1"/>
      <c r="J306" s="1"/>
    </row>
    <row r="307" spans="1:10" x14ac:dyDescent="0.2">
      <c r="A307" s="8" t="s">
        <v>2697</v>
      </c>
      <c r="B307" s="7" t="s">
        <v>2696</v>
      </c>
      <c r="C307" s="7" t="s">
        <v>2695</v>
      </c>
      <c r="D307" s="6">
        <v>10600</v>
      </c>
      <c r="E307" s="5">
        <v>5</v>
      </c>
      <c r="F307" s="4" t="str">
        <f ca="1">IFERROR(__xludf.DUMMYFUNCTION("LOWER(REGEXREPLACE(B307&amp;"" ""&amp;C307,""[^а-яa-z0-9 ]"","" ""))")," омплект карточек с изображениями  предметы действия животные   арточки используются для упражнений на называние  описание и подбор по признакам   ематика включает предметы  животных и действия   рименяется для игр на классификацию и составление фраз   ар"&amp;"точки рассчитаны на регулярное использование ")</f>
        <v xml:space="preserve"> омплект карточек с изображениями  предметы действия животные   арточки используются для упражнений на называние  описание и подбор по признакам   ематика включает предметы  животных и действия   рименяется для игр на классификацию и составление фраз   арточки рассчитаны на регулярное использование </v>
      </c>
      <c r="G307" s="4" t="str">
        <f ca="1">IFERROR(__xludf.DUMMYFUNCTION("TEXTJOIN(""|"",TRUE,UNIQUE(FILTER(SPLIT(F307,"" ""),LEN(SPLIT(F307,"" ""))&gt;2)))"),"омплект|карточек|изображениями|предметы|действия|животные|арточки|используются|для|упражнений|называние|описание|подбор|признакам|ематика|включает|предметы|животных|действия|рименяется|для|игр|классификацию|составление|фраз|арточки|рассчитаны|регулярное|и"&amp;"спользование")</f>
        <v>омплект|карточек|изображениями|предметы|действия|животные|арточки|используются|для|упражнений|называние|описание|подбор|признакам|ематика|включает|предметы|животных|действия|рименяется|для|игр|классификацию|составление|фраз|арточки|рассчитаны|регулярное|использование</v>
      </c>
      <c r="I307" s="1"/>
      <c r="J307" s="1"/>
    </row>
    <row r="308" spans="1:10" x14ac:dyDescent="0.2">
      <c r="A308" s="8" t="s">
        <v>2694</v>
      </c>
      <c r="B308" s="7" t="s">
        <v>2693</v>
      </c>
      <c r="C308" s="7" t="s">
        <v>2692</v>
      </c>
      <c r="D308" s="6">
        <v>47500</v>
      </c>
      <c r="E308" s="5">
        <v>7</v>
      </c>
      <c r="F308" s="4" t="str">
        <f ca="1">IFERROR(__xludf.DUMMYFUNCTION("LOWER(REGEXREPLACE(B308&amp;"" ""&amp;C308,""[^а-яa-z0-9 ]"","" ""))")," омплект книг  сказки  в том числе говорящие   не менее 15 шт   омплект включает не менее 15 книг со сказками и другими произведениями  включая издания с озвучиванием  при наличии    спользуется для чтения  прослушивания и обсуждения сюжетов   одходит для"&amp;" организации книжного уголка и тематических занятий   ассчитан на регулярное использование ")</f>
        <v xml:space="preserve"> омплект книг  сказки  в том числе говорящие   не менее 15 шт   омплект включает не менее 15 книг со сказками и другими произведениями  включая издания с озвучиванием  при наличии    спользуется для чтения  прослушивания и обсуждения сюжетов   одходит для организации книжного уголка и тематических занятий   ассчитан на регулярное использование </v>
      </c>
      <c r="G308" s="4" t="str">
        <f ca="1">IFERROR(__xludf.DUMMYFUNCTION("TEXTJOIN(""|"",TRUE,UNIQUE(FILTER(SPLIT(F308,"" ""),LEN(SPLIT(F308,"" ""))&gt;2)))"),"омплект|книг|сказки|том|числе|говорящие|менее|омплект|включает|менее|книг|сказками|другими|произведениями|включая|издания|озвучиванием|при|наличии|спользуется|для|чтения|прослушивания|обсуждения|сюжетов|одходит|для|организации|книжного|уголка|тематических"&amp;"|занятий|ассчитан|регулярное|использование")</f>
        <v>омплект|книг|сказки|том|числе|говорящие|менее|омплект|включает|менее|книг|сказками|другими|произведениями|включая|издания|озвучиванием|при|наличии|спользуется|для|чтения|прослушивания|обсуждения|сюжетов|одходит|для|организации|книжного|уголка|тематических|занятий|ассчитан|регулярное|использование</v>
      </c>
      <c r="I308" s="1"/>
      <c r="J308" s="1"/>
    </row>
    <row r="309" spans="1:10" x14ac:dyDescent="0.2">
      <c r="A309" s="8" t="s">
        <v>2691</v>
      </c>
      <c r="B309" s="7" t="s">
        <v>2690</v>
      </c>
      <c r="C309" s="7" t="s">
        <v>2689</v>
      </c>
      <c r="D309" s="6">
        <v>714000</v>
      </c>
      <c r="E309" s="5">
        <v>45</v>
      </c>
      <c r="F309" s="4" t="str">
        <f ca="1">IFERROR(__xludf.DUMMYFUNCTION("LOWER(REGEXREPLACE(B309&amp;"" ""&amp;C309,""[^а-яa-z0-9 ]"","" ""))")," омплект мягкой мебели  омплект мягкой мебели  состоящий из дивана и кресла  предназначенный для детских и игровых зон   ысота изделий 20 40 см  оптимальна для детей   онструкция выполнена с использованием экокожи или моющейся ткани  что обеспечивает л гк"&amp;"ость ухода  износостойкость и долговечность ")</f>
        <v xml:space="preserve"> омплект мягкой мебели  омплект мягкой мебели  состоящий из дивана и кресла  предназначенный для детских и игровых зон   ысота изделий 20 40 см  оптимальна для детей   онструкция выполнена с использованием экокожи или моющейся ткани  что обеспечивает л гкость ухода  износостойкость и долговечность </v>
      </c>
      <c r="G309" s="4" t="str">
        <f ca="1">IFERROR(__xludf.DUMMYFUNCTION("TEXTJOIN(""|"",TRUE,UNIQUE(FILTER(SPLIT(F309,"" ""),LEN(SPLIT(F309,"" ""))&gt;2)))"),"омплект|мягкой|мебели|омплект|мягкой|мебели|состоящий|дивана|кресла|предназначенный|для|детских|игровых|зон|ысота|изделий|оптимальна|для|детей|онструкция|выполнена|использованием|экокожи|или|моющейся|ткани|что|обеспечивает|гкость|ухода|износостойкость|дол"&amp;"говечность")</f>
        <v>омплект|мягкой|мебели|омплект|мягкой|мебели|состоящий|дивана|кресла|предназначенный|для|детских|игровых|зон|ысота|изделий|оптимальна|для|детей|онструкция|выполнена|использованием|экокожи|или|моющейся|ткани|что|обеспечивает|гкость|ухода|износостойкость|долговечность</v>
      </c>
      <c r="I309" s="1"/>
      <c r="J309" s="1"/>
    </row>
    <row r="310" spans="1:10" x14ac:dyDescent="0.2">
      <c r="A310" s="8" t="s">
        <v>2688</v>
      </c>
      <c r="B310" s="7" t="s">
        <v>2687</v>
      </c>
      <c r="C310" s="7" t="s">
        <v>2686</v>
      </c>
      <c r="D310" s="6">
        <v>36000</v>
      </c>
      <c r="E310" s="5">
        <v>960</v>
      </c>
      <c r="F310" s="4" t="str">
        <f ca="1">IFERROR(__xludf.DUMMYFUNCTION("LOWER(REGEXREPLACE(B310&amp;"" ""&amp;C310,""[^а-яa-z0-9 ]"","" ""))")," омплект постельного белья  омплект текстильных принадлежностей для оснащения спальных зон   редназначен для ежедневного использования  обеспечивает гигиеничность  комфорт и простоту ухода   одходит для детских учреждений и регулярной санитарной обработки"&amp;" ")</f>
        <v xml:space="preserve"> омплект постельного белья  омплект текстильных принадлежностей для оснащения спальных зон   редназначен для ежедневного использования  обеспечивает гигиеничность  комфорт и простоту ухода   одходит для детских учреждений и регулярной санитарной обработки </v>
      </c>
      <c r="G310" s="4" t="str">
        <f ca="1">IFERROR(__xludf.DUMMYFUNCTION("TEXTJOIN(""|"",TRUE,UNIQUE(FILTER(SPLIT(F310,"" ""),LEN(SPLIT(F310,"" ""))&gt;2)))"),"омплект|постельного|белья|омплект|текстильных|принадлежностей|для|оснащения|спальных|зон|редназначен|для|ежедневного|использования|обеспечивает|гигиеничность|комфорт|простоту|ухода|одходит|для|детских|учреждений|регулярной|санитарной|обработки")</f>
        <v>омплект|постельного|белья|омплект|текстильных|принадлежностей|для|оснащения|спальных|зон|редназначен|для|ежедневного|использования|обеспечивает|гигиеничность|комфорт|простоту|ухода|одходит|для|детских|учреждений|регулярной|санитарной|обработки</v>
      </c>
      <c r="I310" s="1"/>
      <c r="J310" s="1"/>
    </row>
    <row r="311" spans="1:10" x14ac:dyDescent="0.2">
      <c r="A311" s="8" t="s">
        <v>2685</v>
      </c>
      <c r="B311" s="7" t="s">
        <v>2684</v>
      </c>
      <c r="C311" s="7" t="s">
        <v>2683</v>
      </c>
      <c r="D311" s="6">
        <v>5700</v>
      </c>
      <c r="E311" s="5">
        <v>1</v>
      </c>
      <c r="F311" s="4" t="str">
        <f ca="1">IFERROR(__xludf.DUMMYFUNCTION("LOWER(REGEXREPLACE(B311&amp;"" ""&amp;C311,""[^а-яa-z0-9 ]"","" ""))")," омпьютерл к программалау   алалар а арнал ан  ордерман   ")</f>
        <v xml:space="preserve"> омпьютерл к программалау   алалар а арнал ан  ордерман   </v>
      </c>
      <c r="G311" s="4" t="str">
        <f ca="1">IFERROR(__xludf.DUMMYFUNCTION("TEXTJOIN(""|"",TRUE,UNIQUE(FILTER(SPLIT(F311,"" ""),LEN(SPLIT(F311,"" ""))&gt;2)))"),"омпьютерл|программалау|алалар|арнал|ордерман")</f>
        <v>омпьютерл|программалау|алалар|арнал|ордерман</v>
      </c>
      <c r="I311" s="1"/>
      <c r="J311" s="1"/>
    </row>
    <row r="312" spans="1:10" x14ac:dyDescent="0.2">
      <c r="A312" s="8" t="s">
        <v>2682</v>
      </c>
      <c r="B312" s="7" t="s">
        <v>2681</v>
      </c>
      <c r="C312" s="7" t="s">
        <v>2680</v>
      </c>
      <c r="D312" s="6">
        <v>37900</v>
      </c>
      <c r="E312" s="5">
        <v>1</v>
      </c>
      <c r="F312" s="4" t="str">
        <f ca="1">IFERROR(__xludf.DUMMYFUNCTION("LOWER(REGEXREPLACE(B312&amp;"" ""&amp;C312,""[^а-яa-z0-9 ]"","" ""))")," онный мир казахов  октабай   ")</f>
        <v xml:space="preserve"> онный мир казахов  октабай   </v>
      </c>
      <c r="G312" s="4" t="str">
        <f ca="1">IFERROR(__xludf.DUMMYFUNCTION("TEXTJOIN(""|"",TRUE,UNIQUE(FILTER(SPLIT(F312,"" ""),LEN(SPLIT(F312,"" ""))&gt;2)))"),"онный|мир|казахов|октабай")</f>
        <v>онный|мир|казахов|октабай</v>
      </c>
      <c r="I312" s="1"/>
      <c r="J312" s="1"/>
    </row>
    <row r="313" spans="1:10" x14ac:dyDescent="0.2">
      <c r="A313" s="8" t="s">
        <v>2679</v>
      </c>
      <c r="B313" s="7" t="s">
        <v>2678</v>
      </c>
      <c r="C313" s="7" t="s">
        <v>2677</v>
      </c>
      <c r="D313" s="6">
        <v>14300</v>
      </c>
      <c r="E313" s="5">
        <v>14</v>
      </c>
      <c r="F313" s="4" t="str">
        <f ca="1">IFERROR(__xludf.DUMMYFUNCTION("LOWER(REGEXREPLACE(B313&amp;"" ""&amp;C313,""[^а-яa-z0-9 ]"","" ""))")," онструктор  камни   абор элементов различной формы  имитирующих природные камни   спользуется для упражнений на баланс  устойчивость и концентрацию внимания   азвивает пространственное мышление  терпение и координацию движений ")</f>
        <v xml:space="preserve"> онструктор  камни   абор элементов различной формы  имитирующих природные камни   спользуется для упражнений на баланс  устойчивость и концентрацию внимания   азвивает пространственное мышление  терпение и координацию движений </v>
      </c>
      <c r="G313" s="4" t="str">
        <f ca="1">IFERROR(__xludf.DUMMYFUNCTION("TEXTJOIN(""|"",TRUE,UNIQUE(FILTER(SPLIT(F313,"" ""),LEN(SPLIT(F313,"" ""))&gt;2)))"),"онструктор|камни|абор|элементов|различной|формы|имитирующих|природные|камни|спользуется|для|упражнений|баланс|устойчивость|концентрацию|внимания|азвивает|пространственное|мышление|терпение|координацию|движений")</f>
        <v>онструктор|камни|абор|элементов|различной|формы|имитирующих|природные|камни|спользуется|для|упражнений|баланс|устойчивость|концентрацию|внимания|азвивает|пространственное|мышление|терпение|координацию|движений</v>
      </c>
      <c r="I313" s="1"/>
      <c r="J313" s="1"/>
    </row>
    <row r="314" spans="1:10" x14ac:dyDescent="0.2">
      <c r="A314" s="8" t="s">
        <v>2676</v>
      </c>
      <c r="B314" s="7" t="s">
        <v>2675</v>
      </c>
      <c r="C314" s="7" t="s">
        <v>2674</v>
      </c>
      <c r="D314" s="6">
        <v>34700</v>
      </c>
      <c r="E314" s="5">
        <v>1</v>
      </c>
      <c r="F314" s="4" t="str">
        <f ca="1">IFERROR(__xludf.DUMMYFUNCTION("LOWER(REGEXREPLACE(B314&amp;"" ""&amp;C314,""[^а-яa-z0-9 ]"","" ""))")," онструктор    улетш    азвивающий конструктор предназначен для формирования пространственного мышления  логики  воображения и мелкой моторики   спользуется в индивидуальной и групповой игровой деятельности детей дошкольного возраста ")</f>
        <v xml:space="preserve"> онструктор    улетш    азвивающий конструктор предназначен для формирования пространственного мышления  логики  воображения и мелкой моторики   спользуется в индивидуальной и групповой игровой деятельности детей дошкольного возраста </v>
      </c>
      <c r="G314" s="4" t="str">
        <f ca="1">IFERROR(__xludf.DUMMYFUNCTION("TEXTJOIN(""|"",TRUE,UNIQUE(FILTER(SPLIT(F314,"" ""),LEN(SPLIT(F314,"" ""))&gt;2)))"),"онструктор|улетш|азвивающий|конструктор|предназначен|для|формирования|пространственного|мышления|логики|воображения|мелкой|моторики|спользуется|индивидуальной|групповой|игровой|деятельности|детей|дошкольного|возраста")</f>
        <v>онструктор|улетш|азвивающий|конструктор|предназначен|для|формирования|пространственного|мышления|логики|воображения|мелкой|моторики|спользуется|индивидуальной|групповой|игровой|деятельности|детей|дошкольного|возраста</v>
      </c>
      <c r="I314" s="1"/>
      <c r="J314" s="1"/>
    </row>
    <row r="315" spans="1:10" x14ac:dyDescent="0.2">
      <c r="A315" s="8" t="s">
        <v>2673</v>
      </c>
      <c r="B315" s="7" t="s">
        <v>2672</v>
      </c>
      <c r="C315" s="7" t="s">
        <v>2671</v>
      </c>
      <c r="D315" s="6">
        <v>46700</v>
      </c>
      <c r="E315" s="5">
        <v>5</v>
      </c>
      <c r="F315" s="4" t="str">
        <f ca="1">IFERROR(__xludf.DUMMYFUNCTION("LOWER(REGEXREPLACE(B315&amp;"" ""&amp;C315,""[^а-яa-z0-9 ]"","" ""))")," онструктор   казка театр   ематический конструктор для создания игровых сцен и персонажей   спользуется для театрализованных игр  развития речи  воображения и коммуникативных навыков ")</f>
        <v xml:space="preserve"> онструктор   казка театр   ематический конструктор для создания игровых сцен и персонажей   спользуется для театрализованных игр  развития речи  воображения и коммуникативных навыков </v>
      </c>
      <c r="G315" s="4" t="str">
        <f ca="1">IFERROR(__xludf.DUMMYFUNCTION("TEXTJOIN(""|"",TRUE,UNIQUE(FILTER(SPLIT(F315,"" ""),LEN(SPLIT(F315,"" ""))&gt;2)))"),"онструктор|казка|театр|ематический|конструктор|для|создания|игровых|сцен|персонажей|спользуется|для|театрализованных|игр|развития|речи|воображения|коммуникативных|навыков")</f>
        <v>онструктор|казка|театр|ематический|конструктор|для|создания|игровых|сцен|персонажей|спользуется|для|театрализованных|игр|развития|речи|воображения|коммуникативных|навыков</v>
      </c>
      <c r="I315" s="1"/>
      <c r="J315" s="1"/>
    </row>
    <row r="316" spans="1:10" x14ac:dyDescent="0.2">
      <c r="A316" s="8" t="s">
        <v>2670</v>
      </c>
      <c r="B316" s="7" t="s">
        <v>2669</v>
      </c>
      <c r="C316" s="7" t="s">
        <v>2668</v>
      </c>
      <c r="D316" s="6">
        <v>34100</v>
      </c>
      <c r="E316" s="5">
        <v>5</v>
      </c>
      <c r="F316" s="4" t="str">
        <f ca="1">IFERROR(__xludf.DUMMYFUNCTION("LOWER(REGEXREPLACE(B316&amp;"" ""&amp;C316,""[^а-яa-z0-9 ]"","" ""))")," онструктор   ранспортная машина для мотоциклов   азвивающий блочный конструктор из безопасного полимерного материала  предназначенный для детей дошкольного возраста   абор включает элементы для сборки транспортного средства и дополнительных игровых объек"&amp;"тов  что позволяет моделировать различные сюжетные ситуации    процессе игры развиваются мелкая моторика  пространственное мышление  логика  навыки конструирования и планирования   етали прочные  с гладкой обработкой кра в  рассчитаны на многократную сбор"&amp;"ку и разборку в условиях образовательной среды ")</f>
        <v xml:space="preserve"> онструктор   ранспортная машина для мотоциклов   азвивающий блочный конструктор из безопасного полимерного материала  предназначенный для детей дошкольного возраста   абор включает элементы для сборки транспортного средства и дополнительных игровых объектов  что позволяет моделировать различные сюжетные ситуации    процессе игры развиваются мелкая моторика  пространственное мышление  логика  навыки конструирования и планирования   етали прочные  с гладкой обработкой кра в  рассчитаны на многократную сборку и разборку в условиях образовательной среды </v>
      </c>
      <c r="G316" s="4" t="str">
        <f ca="1">IFERROR(__xludf.DUMMYFUNCTION("TEXTJOIN(""|"",TRUE,UNIQUE(FILTER(SPLIT(F316,"" ""),LEN(SPLIT(F316,"" ""))&gt;2)))"),"онструктор|ранспортная|машина|для|мотоциклов|азвивающий|блочный|конструктор|безопасного|полимерного|материала|предназначенный|для|детей|дошкольного|возраста|абор|включает|элементы|для|сборки|транспортного|средства|дополнительных|игровых|объектов|что|позво"&amp;"ляет|моделировать|различные|сюжетные|ситуации|процессе|игры|развиваются|мелкая|моторика|пространственное|мышление|логика|навыки|конструирования|планирования|етали|прочные|гладкой|обработкой|кра|рассчитаны|многократную|сборку|разборку|условиях|образователь"&amp;"ной|среды")</f>
        <v>онструктор|ранспортная|машина|для|мотоциклов|азвивающий|блочный|конструктор|безопасного|полимерного|материала|предназначенный|для|детей|дошкольного|возраста|абор|включает|элементы|для|сборки|транспортного|средства|дополнительных|игровых|объектов|что|позволяет|моделировать|различные|сюжетные|ситуации|процессе|игры|развиваются|мелкая|моторика|пространственное|мышление|логика|навыки|конструирования|планирования|етали|прочные|гладкой|обработкой|кра|рассчитаны|многократную|сборку|разборку|условиях|образовательной|среды</v>
      </c>
      <c r="I316" s="1"/>
      <c r="J316" s="1"/>
    </row>
    <row r="317" spans="1:10" x14ac:dyDescent="0.2">
      <c r="A317" s="8" t="s">
        <v>2667</v>
      </c>
      <c r="B317" s="7" t="s">
        <v>2666</v>
      </c>
      <c r="C317" s="7" t="s">
        <v>2665</v>
      </c>
      <c r="D317" s="6">
        <v>43200</v>
      </c>
      <c r="E317" s="5">
        <v>13</v>
      </c>
      <c r="F317" s="4" t="str">
        <f ca="1">IFERROR(__xludf.DUMMYFUNCTION("LOWER(REGEXREPLACE(B317&amp;"" ""&amp;C317,""[^а-яa-z0-9 ]"","" ""))")," птечка первой помощи  птечка первой помощи предназначена для оказания первичной медицинской помощи в экстренных ситуациях   одержит набор медицинских средств для обработки ран и оказания неотложной помощи   спользуется в соответствии с установленными пра"&amp;"вилами   ассчитана на хранение и применение в помещениях ")</f>
        <v xml:space="preserve"> птечка первой помощи  птечка первой помощи предназначена для оказания первичной медицинской помощи в экстренных ситуациях   одержит набор медицинских средств для обработки ран и оказания неотложной помощи   спользуется в соответствии с установленными правилами   ассчитана на хранение и применение в помещениях </v>
      </c>
      <c r="G317" s="4" t="str">
        <f ca="1">IFERROR(__xludf.DUMMYFUNCTION("TEXTJOIN(""|"",TRUE,UNIQUE(FILTER(SPLIT(F317,"" ""),LEN(SPLIT(F317,"" ""))&gt;2)))"),"птечка|первой|помощи|птечка|первой|помощи|предназначена|для|оказания|первичной|медицинской|помощи|экстренных|ситуациях|одержит|набор|медицинских|средств|для|обработки|ран|оказания|неотложной|помощи|спользуется|соответствии|установленными|правилами|ассчита"&amp;"на|хранение|применение|помещениях")</f>
        <v>птечка|первой|помощи|птечка|первой|помощи|предназначена|для|оказания|первичной|медицинской|помощи|экстренных|ситуациях|одержит|набор|медицинских|средств|для|обработки|ран|оказания|неотложной|помощи|спользуется|соответствии|установленными|правилами|ассчитана|хранение|применение|помещениях</v>
      </c>
      <c r="I317" s="1"/>
      <c r="J317" s="1"/>
    </row>
    <row r="318" spans="1:10" x14ac:dyDescent="0.2">
      <c r="A318" s="8" t="s">
        <v>2664</v>
      </c>
      <c r="B318" s="7" t="s">
        <v>2663</v>
      </c>
      <c r="C318" s="7" t="s">
        <v>2662</v>
      </c>
      <c r="D318" s="6">
        <v>14600</v>
      </c>
      <c r="E318" s="5">
        <v>7</v>
      </c>
      <c r="F318" s="4" t="str">
        <f ca="1">IFERROR(__xludf.DUMMYFUNCTION("LOWER(REGEXREPLACE(B318&amp;"" ""&amp;C318,""[^а-яa-z0-9 ]"","" ""))")," онструктор   ерма   ематический деревянный конструктор для моделирования сельскохозяйственных сюжетов   пособствует развитию речи  воображения  сюжетного мышления и познавательного интереса к окружающему миру ")</f>
        <v xml:space="preserve"> онструктор   ерма   ематический деревянный конструктор для моделирования сельскохозяйственных сюжетов   пособствует развитию речи  воображения  сюжетного мышления и познавательного интереса к окружающему миру </v>
      </c>
      <c r="G318" s="4" t="str">
        <f ca="1">IFERROR(__xludf.DUMMYFUNCTION("TEXTJOIN(""|"",TRUE,UNIQUE(FILTER(SPLIT(F318,"" ""),LEN(SPLIT(F318,"" ""))&gt;2)))"),"онструктор|ерма|ематический|деревянный|конструктор|для|моделирования|сельскохозяйственных|сюжетов|пособствует|развитию|речи|воображения|сюжетного|мышления|познавательного|интереса|окружающему|миру")</f>
        <v>онструктор|ерма|ематический|деревянный|конструктор|для|моделирования|сельскохозяйственных|сюжетов|пособствует|развитию|речи|воображения|сюжетного|мышления|познавательного|интереса|окружающему|миру</v>
      </c>
      <c r="I318" s="1"/>
      <c r="J318" s="1"/>
    </row>
    <row r="319" spans="1:10" x14ac:dyDescent="0.2">
      <c r="A319" s="8" t="s">
        <v>2661</v>
      </c>
      <c r="B319" s="7" t="s">
        <v>2660</v>
      </c>
      <c r="C319" s="7" t="s">
        <v>2659</v>
      </c>
      <c r="D319" s="6">
        <v>66500</v>
      </c>
      <c r="E319" s="5">
        <v>5</v>
      </c>
      <c r="F319" s="4" t="str">
        <f ca="1">IFERROR(__xludf.DUMMYFUNCTION("LOWER(REGEXREPLACE(B319&amp;"" ""&amp;C319,""[^а-яa-z0-9 ]"","" ""))")," онструктор блочный с крупными деталями  азвивающий конструктор из прочного пластика  предназначенный для детей младшего и среднего дошкольного возраста   рупные элементы удобны для захвата и безопасны в использовании   спользуется для свободного и направ"&amp;"ленного конструирования  способствует развитию координации движений  воображения  сенсорного восприятия формы и цвета  а также формированию навыков совместной игровой деятельности   одходит для индивидуальных и групповых занятий ")</f>
        <v xml:space="preserve"> онструктор блочный с крупными деталями  азвивающий конструктор из прочного пластика  предназначенный для детей младшего и среднего дошкольного возраста   рупные элементы удобны для захвата и безопасны в использовании   спользуется для свободного и направленного конструирования  способствует развитию координации движений  воображения  сенсорного восприятия формы и цвета  а также формированию навыков совместной игровой деятельности   одходит для индивидуальных и групповых занятий </v>
      </c>
      <c r="G319" s="4" t="str">
        <f ca="1">IFERROR(__xludf.DUMMYFUNCTION("TEXTJOIN(""|"",TRUE,UNIQUE(FILTER(SPLIT(F319,"" ""),LEN(SPLIT(F319,"" ""))&gt;2)))"),"онструктор|блочный|крупными|деталями|азвивающий|конструктор|прочного|пластика|предназначенный|для|детей|младшего|среднего|дошкольного|возраста|рупные|элементы|удобны|для|захвата|безопасны|использовании|спользуется|для|свободного|направленного|конструирова"&amp;"ния|способствует|развитию|координации|движений|воображения|сенсорного|восприятия|формы|цвета|также|формированию|навыков|совместной|игровой|деятельности|одходит|для|индивидуальных|групповых|занятий")</f>
        <v>онструктор|блочный|крупными|деталями|азвивающий|конструктор|прочного|пластика|предназначенный|для|детей|младшего|среднего|дошкольного|возраста|рупные|элементы|удобны|для|захвата|безопасны|использовании|спользуется|для|свободного|направленного|конструирования|способствует|развитию|координации|движений|воображения|сенсорного|восприятия|формы|цвета|также|формированию|навыков|совместной|игровой|деятельности|одходит|для|индивидуальных|групповых|занятий</v>
      </c>
      <c r="I319" s="1"/>
      <c r="J319" s="1"/>
    </row>
    <row r="320" spans="1:10" x14ac:dyDescent="0.2">
      <c r="A320" s="8" t="s">
        <v>2658</v>
      </c>
      <c r="B320" s="7" t="s">
        <v>2657</v>
      </c>
      <c r="C320" s="7" t="s">
        <v>2656</v>
      </c>
      <c r="D320" s="6">
        <v>38000</v>
      </c>
      <c r="E320" s="5">
        <v>1</v>
      </c>
      <c r="F320" s="4" t="str">
        <f ca="1">IFERROR(__xludf.DUMMYFUNCTION("LOWER(REGEXREPLACE(B320&amp;"" ""&amp;C320,""[^а-яa-z0-9 ]"","" ""))")," онструктор деревянный  100 элементов   абор деревянных деталей различной формы для свободного конструирования   спользуется для развития творческого мышления  координации рук и глаз  а также навыков планирования и устойчивости построек ")</f>
        <v xml:space="preserve"> онструктор деревянный  100 элементов   абор деревянных деталей различной формы для свободного конструирования   спользуется для развития творческого мышления  координации рук и глаз  а также навыков планирования и устойчивости построек </v>
      </c>
      <c r="G320" s="4" t="str">
        <f ca="1">IFERROR(__xludf.DUMMYFUNCTION("TEXTJOIN(""|"",TRUE,UNIQUE(FILTER(SPLIT(F320,"" ""),LEN(SPLIT(F320,"" ""))&gt;2)))"),"онструктор|деревянный|100|элементов|абор|деревянных|деталей|различной|формы|для|свободного|конструирования|спользуется|для|развития|творческого|мышления|координации|рук|глаз|также|навыков|планирования|устойчивости|построек")</f>
        <v>онструктор|деревянный|100|элементов|абор|деревянных|деталей|различной|формы|для|свободного|конструирования|спользуется|для|развития|творческого|мышления|координации|рук|глаз|также|навыков|планирования|устойчивости|построек</v>
      </c>
      <c r="I320" s="1"/>
      <c r="J320" s="1"/>
    </row>
    <row r="321" spans="1:10" x14ac:dyDescent="0.2">
      <c r="A321" s="8" t="s">
        <v>2655</v>
      </c>
      <c r="B321" s="7" t="s">
        <v>2654</v>
      </c>
      <c r="C321" s="7" t="s">
        <v>2653</v>
      </c>
      <c r="D321" s="6">
        <v>20000</v>
      </c>
      <c r="E321" s="5">
        <v>5</v>
      </c>
      <c r="F321" s="4" t="str">
        <f ca="1">IFERROR(__xludf.DUMMYFUNCTION("LOWER(REGEXREPLACE(B321&amp;"" ""&amp;C321,""[^а-яa-z0-9 ]"","" ""))")," онструктор деревянный цветной  65 деталей   азвивающий набор из крупных цветных деревянных блоков  предназначенных для построения простых и сложных конструкций   пособствует формированию представлений о форме  цвете и пространстве  развитию моторики и фа"&amp;"нтазии ")</f>
        <v xml:space="preserve"> онструктор деревянный цветной  65 деталей   азвивающий набор из крупных цветных деревянных блоков  предназначенных для построения простых и сложных конструкций   пособствует формированию представлений о форме  цвете и пространстве  развитию моторики и фантазии </v>
      </c>
      <c r="G321" s="4" t="str">
        <f ca="1">IFERROR(__xludf.DUMMYFUNCTION("TEXTJOIN(""|"",TRUE,UNIQUE(FILTER(SPLIT(F321,"" ""),LEN(SPLIT(F321,"" ""))&gt;2)))"),"онструктор|деревянный|цветной|деталей|азвивающий|набор|крупных|цветных|деревянных|блоков|предназначенных|для|построения|простых|сложных|конструкций|пособствует|формированию|представлений|форме|цвете|пространстве|развитию|моторики|фантазии")</f>
        <v>онструктор|деревянный|цветной|деталей|азвивающий|набор|крупных|цветных|деревянных|блоков|предназначенных|для|построения|простых|сложных|конструкций|пособствует|формированию|представлений|форме|цвете|пространстве|развитию|моторики|фантазии</v>
      </c>
      <c r="I321" s="1"/>
      <c r="J321" s="1"/>
    </row>
    <row r="322" spans="1:10" x14ac:dyDescent="0.2">
      <c r="A322" s="8" t="s">
        <v>2652</v>
      </c>
      <c r="B322" s="7" t="s">
        <v>2651</v>
      </c>
      <c r="C322" s="7" t="s">
        <v>2650</v>
      </c>
      <c r="D322" s="6">
        <v>52700</v>
      </c>
      <c r="E322" s="5">
        <v>5</v>
      </c>
      <c r="F322" s="4" t="str">
        <f ca="1">IFERROR(__xludf.DUMMYFUNCTION("LOWER(REGEXREPLACE(B322&amp;"" ""&amp;C322,""[^а-яa-z0-9 ]"","" ""))")," онструктор крупный детский  ногоэлементный набор крупноразмерных деталей для свободного и сюжетного конструирования   одходит для индивидуальной и групповой игры  способствует развитию инженерного мышления  воображения и навыков сотрудничества ")</f>
        <v xml:space="preserve"> онструктор крупный детский  ногоэлементный набор крупноразмерных деталей для свободного и сюжетного конструирования   одходит для индивидуальной и групповой игры  способствует развитию инженерного мышления  воображения и навыков сотрудничества </v>
      </c>
      <c r="G322" s="4" t="str">
        <f ca="1">IFERROR(__xludf.DUMMYFUNCTION("TEXTJOIN(""|"",TRUE,UNIQUE(FILTER(SPLIT(F322,"" ""),LEN(SPLIT(F322,"" ""))&gt;2)))"),"онструктор|крупный|детский|ногоэлементный|набор|крупноразмерных|деталей|для|свободного|сюжетного|конструирования|одходит|для|индивидуальной|групповой|игры|способствует|развитию|инженерного|мышления|воображения|навыков|сотрудничества")</f>
        <v>онструктор|крупный|детский|ногоэлементный|набор|крупноразмерных|деталей|для|свободного|сюжетного|конструирования|одходит|для|индивидуальной|групповой|игры|способствует|развитию|инженерного|мышления|воображения|навыков|сотрудничества</v>
      </c>
      <c r="I322" s="1"/>
      <c r="J322" s="1"/>
    </row>
    <row r="323" spans="1:10" x14ac:dyDescent="0.2">
      <c r="A323" s="8" t="s">
        <v>2649</v>
      </c>
      <c r="B323" s="7" t="s">
        <v>2648</v>
      </c>
      <c r="C323" s="7" t="s">
        <v>2647</v>
      </c>
      <c r="D323" s="6">
        <v>940500</v>
      </c>
      <c r="E323" s="5">
        <v>1</v>
      </c>
      <c r="F323" s="4" t="str">
        <f ca="1">IFERROR(__xludf.DUMMYFUNCTION("LOWER(REGEXREPLACE(B323&amp;"" ""&amp;C323,""[^а-яa-z0-9 ]"","" ""))")," онструктор мягкий  онструктор из мягкого вспененного материала  безопасный для активной игры   спользуется для построения объ мных форм  развития крупной моторики и пространственного восприятия   одходит для младшего возраста ")</f>
        <v xml:space="preserve"> онструктор мягкий  онструктор из мягкого вспененного материала  безопасный для активной игры   спользуется для построения объ мных форм  развития крупной моторики и пространственного восприятия   одходит для младшего возраста </v>
      </c>
      <c r="G323" s="4" t="str">
        <f ca="1">IFERROR(__xludf.DUMMYFUNCTION("TEXTJOIN(""|"",TRUE,UNIQUE(FILTER(SPLIT(F323,"" ""),LEN(SPLIT(F323,"" ""))&gt;2)))"),"онструктор|мягкий|онструктор|мягкого|вспененного|материала|безопасный|для|активной|игры|спользуется|для|построения|объ|мных|форм|развития|крупной|моторики|пространственного|восприятия|одходит|для|младшего|возраста")</f>
        <v>онструктор|мягкий|онструктор|мягкого|вспененного|материала|безопасный|для|активной|игры|спользуется|для|построения|объ|мных|форм|развития|крупной|моторики|пространственного|восприятия|одходит|для|младшего|возраста</v>
      </c>
      <c r="I323" s="1"/>
      <c r="J323" s="1"/>
    </row>
    <row r="324" spans="1:10" x14ac:dyDescent="0.2">
      <c r="A324" s="8" t="s">
        <v>2646</v>
      </c>
      <c r="B324" s="7" t="s">
        <v>2645</v>
      </c>
      <c r="C324" s="7" t="s">
        <v>2644</v>
      </c>
      <c r="D324" s="6">
        <v>47900</v>
      </c>
      <c r="E324" s="5">
        <v>7</v>
      </c>
      <c r="F324" s="4" t="str">
        <f ca="1">IFERROR(__xludf.DUMMYFUNCTION("LOWER(REGEXREPLACE(B324&amp;"" ""&amp;C324,""[^а-яa-z0-9 ]"","" ""))")," онструктор с деревянными или пластмассовыми деталями  ниверсальный набор для конструирования  сочетающий различные типы материалов   озволяет варьировать сложность заданий и использовать конструктор в обучающих и игровых целях ")</f>
        <v xml:space="preserve"> онструктор с деревянными или пластмассовыми деталями  ниверсальный набор для конструирования  сочетающий различные типы материалов   озволяет варьировать сложность заданий и использовать конструктор в обучающих и игровых целях </v>
      </c>
      <c r="G324" s="4" t="str">
        <f ca="1">IFERROR(__xludf.DUMMYFUNCTION("TEXTJOIN(""|"",TRUE,UNIQUE(FILTER(SPLIT(F324,"" ""),LEN(SPLIT(F324,"" ""))&gt;2)))"),"онструктор|деревянными|или|пластмассовыми|деталями|ниверсальный|набор|для|конструирования|сочетающий|различные|типы|материалов|озволяет|варьировать|сложность|заданий|использовать|конструктор|обучающих|игровых|целях")</f>
        <v>онструктор|деревянными|или|пластмассовыми|деталями|ниверсальный|набор|для|конструирования|сочетающий|различные|типы|материалов|озволяет|варьировать|сложность|заданий|использовать|конструктор|обучающих|игровых|целях</v>
      </c>
      <c r="I324" s="1"/>
      <c r="J324" s="1"/>
    </row>
    <row r="325" spans="1:10" x14ac:dyDescent="0.2">
      <c r="A325" s="8" t="s">
        <v>2643</v>
      </c>
      <c r="B325" s="7" t="s">
        <v>2642</v>
      </c>
      <c r="C325" s="7" t="s">
        <v>2641</v>
      </c>
      <c r="D325" s="6">
        <v>85500</v>
      </c>
      <c r="E325" s="5">
        <v>1</v>
      </c>
      <c r="F325" s="4" t="str">
        <f ca="1">IFERROR(__xludf.DUMMYFUNCTION("LOWER(REGEXREPLACE(B325&amp;"" ""&amp;C325,""[^а-яa-z0-9 ]"","" ""))")," онструктор с крупными деталями  абор крупных пластиковых и деревянных элементов  предназначенный для безопасной сборки объ мных конструкций   азвивает координацию  внимание и навыки совместной деятельности ")</f>
        <v xml:space="preserve"> онструктор с крупными деталями  абор крупных пластиковых и деревянных элементов  предназначенный для безопасной сборки объ мных конструкций   азвивает координацию  внимание и навыки совместной деятельности </v>
      </c>
      <c r="G325" s="4" t="str">
        <f ca="1">IFERROR(__xludf.DUMMYFUNCTION("TEXTJOIN(""|"",TRUE,UNIQUE(FILTER(SPLIT(F325,"" ""),LEN(SPLIT(F325,"" ""))&gt;2)))"),"онструктор|крупными|деталями|абор|крупных|пластиковых|деревянных|элементов|предназначенный|для|безопасной|сборки|объ|мных|конструкций|азвивает|координацию|внимание|навыки|совместной|деятельности")</f>
        <v>онструктор|крупными|деталями|абор|крупных|пластиковых|деревянных|элементов|предназначенный|для|безопасной|сборки|объ|мных|конструкций|азвивает|координацию|внимание|навыки|совместной|деятельности</v>
      </c>
      <c r="I325" s="1"/>
      <c r="J325" s="1"/>
    </row>
    <row r="326" spans="1:10" x14ac:dyDescent="0.2">
      <c r="A326" s="8" t="s">
        <v>2640</v>
      </c>
      <c r="B326" s="7" t="s">
        <v>2639</v>
      </c>
      <c r="C326" s="7" t="s">
        <v>2638</v>
      </c>
      <c r="D326" s="6">
        <v>18400</v>
      </c>
      <c r="E326" s="5">
        <v>7</v>
      </c>
      <c r="F326" s="4" t="str">
        <f ca="1">IFERROR(__xludf.DUMMYFUNCTION("LOWER(REGEXREPLACE(B326&amp;"" ""&amp;C326,""[^а-яa-z0-9 ]"","" ""))")," онструктор трубки  онструктор из трубок и соединительных элементов для сборки пространственных конструкций   спользуется для развития логического мышления  понимания принципов соединения и причинно следственных связей ")</f>
        <v xml:space="preserve"> онструктор трубки  онструктор из трубок и соединительных элементов для сборки пространственных конструкций   спользуется для развития логического мышления  понимания принципов соединения и причинно следственных связей </v>
      </c>
      <c r="G326" s="4" t="str">
        <f ca="1">IFERROR(__xludf.DUMMYFUNCTION("TEXTJOIN(""|"",TRUE,UNIQUE(FILTER(SPLIT(F326,"" ""),LEN(SPLIT(F326,"" ""))&gt;2)))"),"онструктор|трубки|онструктор|трубок|соединительных|элементов|для|сборки|пространственных|конструкций|спользуется|для|развития|логического|мышления|понимания|принципов|соединения|причинно|следственных|связей")</f>
        <v>онструктор|трубки|онструктор|трубок|соединительных|элементов|для|сборки|пространственных|конструкций|спользуется|для|развития|логического|мышления|понимания|принципов|соединения|причинно|следственных|связей</v>
      </c>
      <c r="I326" s="1"/>
      <c r="J326" s="1"/>
    </row>
    <row r="327" spans="1:10" x14ac:dyDescent="0.2">
      <c r="A327" s="8" t="s">
        <v>2637</v>
      </c>
      <c r="B327" s="7" t="s">
        <v>2636</v>
      </c>
      <c r="C327" s="7" t="s">
        <v>2635</v>
      </c>
      <c r="D327" s="6">
        <v>30400</v>
      </c>
      <c r="E327" s="5">
        <v>1</v>
      </c>
      <c r="F327" s="4" t="str">
        <f ca="1">IFERROR(__xludf.DUMMYFUNCTION("LOWER(REGEXREPLACE(B327&amp;"" ""&amp;C327,""[^а-яa-z0-9 ]"","" ""))")," онструкторная панель  онструкторная настенная панель предназначена для сборки конструкций  моделирования ситуаций  развития воображения и мелкой моторики   снащена встроенным контейнером для хранения элементов   азмер около 1000   1500 мм ")</f>
        <v xml:space="preserve"> онструкторная панель  онструкторная настенная панель предназначена для сборки конструкций  моделирования ситуаций  развития воображения и мелкой моторики   снащена встроенным контейнером для хранения элементов   азмер около 1000   1500 мм </v>
      </c>
      <c r="G327" s="4" t="str">
        <f ca="1">IFERROR(__xludf.DUMMYFUNCTION("TEXTJOIN(""|"",TRUE,UNIQUE(FILTER(SPLIT(F327,"" ""),LEN(SPLIT(F327,"" ""))&gt;2)))"),"онструкторная|панель|онструкторная|настенная|панель|предназначена|для|сборки|конструкций|моделирования|ситуаций|развития|воображения|мелкой|моторики|снащена|встроенным|контейнером|для|хранения|элементов|азмер|около|1000|1500")</f>
        <v>онструкторная|панель|онструкторная|настенная|панель|предназначена|для|сборки|конструкций|моделирования|ситуаций|развития|воображения|мелкой|моторики|снащена|встроенным|контейнером|для|хранения|элементов|азмер|около|1000|1500</v>
      </c>
      <c r="I327" s="1"/>
      <c r="J327" s="1"/>
    </row>
    <row r="328" spans="1:10" x14ac:dyDescent="0.2">
      <c r="A328" s="8" t="s">
        <v>2634</v>
      </c>
      <c r="B328" s="7" t="s">
        <v>2633</v>
      </c>
      <c r="C328" s="7" t="s">
        <v>2600</v>
      </c>
      <c r="D328" s="6">
        <v>18000</v>
      </c>
      <c r="E328" s="5">
        <v>1</v>
      </c>
      <c r="F328" s="4" t="str">
        <f ca="1">IFERROR(__xludf.DUMMYFUNCTION("LOWER(REGEXREPLACE(B328&amp;"" ""&amp;C328,""[^а-яa-z0-9 ]"","" ""))")," хмет   лаш арда тысы  маханбет     ")</f>
        <v xml:space="preserve"> хмет   лаш арда тысы  маханбет     </v>
      </c>
      <c r="G328" s="4" t="str">
        <f ca="1">IFERROR(__xludf.DUMMYFUNCTION("TEXTJOIN(""|"",TRUE,UNIQUE(FILTER(SPLIT(F328,"" ""),LEN(SPLIT(F328,"" ""))&gt;2)))"),"хмет|лаш|арда|тысы|маханбет")</f>
        <v>хмет|лаш|арда|тысы|маханбет</v>
      </c>
      <c r="I328" s="1"/>
      <c r="J328" s="1"/>
    </row>
    <row r="329" spans="1:10" x14ac:dyDescent="0.2">
      <c r="A329" s="8" t="s">
        <v>2632</v>
      </c>
      <c r="B329" s="7" t="s">
        <v>2631</v>
      </c>
      <c r="C329" s="7" t="s">
        <v>2630</v>
      </c>
      <c r="D329" s="6">
        <v>50400</v>
      </c>
      <c r="E329" s="5">
        <v>2</v>
      </c>
      <c r="F329" s="4" t="str">
        <f ca="1">IFERROR(__xludf.DUMMYFUNCTION("LOWER(REGEXREPLACE(B329&amp;"" ""&amp;C329,""[^а-яa-z0-9 ]"","" ""))")," онтейнер для мусора 120 л с педалью  онтейнер для мусора 120 л с педалью   ткрывание крышки без использования рук с помощью широкой педали идеально исключает контакт бака и рук   лотно закрывающаяся крышка предотвращает распространение запахов   ладкая п"&amp;"оверхность пластика обеспечивает легкость мытья")</f>
        <v xml:space="preserve"> онтейнер для мусора 120 л с педалью  онтейнер для мусора 120 л с педалью   ткрывание крышки без использования рук с помощью широкой педали идеально исключает контакт бака и рук   лотно закрывающаяся крышка предотвращает распространение запахов   ладкая поверхность пластика обеспечивает легкость мытья</v>
      </c>
      <c r="G329" s="4" t="str">
        <f ca="1">IFERROR(__xludf.DUMMYFUNCTION("TEXTJOIN(""|"",TRUE,UNIQUE(FILTER(SPLIT(F329,"" ""),LEN(SPLIT(F329,"" ""))&gt;2)))"),"онтейнер|для|мусора|120|педалью|онтейнер|для|мусора|120|педалью|ткрывание|крышки|без|использования|рук|помощью|широкой|педали|идеально|исключает|контакт|бака|рук|лотно|закрывающаяся|крышка|предотвращает|распространение|запахов|ладкая|поверхность|пластика|"&amp;"обеспечивает|легкость|мытья")</f>
        <v>онтейнер|для|мусора|120|педалью|онтейнер|для|мусора|120|педалью|ткрывание|крышки|без|использования|рук|помощью|широкой|педали|идеально|исключает|контакт|бака|рук|лотно|закрывающаяся|крышка|предотвращает|распространение|запахов|ладкая|поверхность|пластика|обеспечивает|легкость|мытья</v>
      </c>
      <c r="I329" s="1"/>
      <c r="J329" s="1"/>
    </row>
    <row r="330" spans="1:10" x14ac:dyDescent="0.2">
      <c r="A330" s="8" t="s">
        <v>2629</v>
      </c>
      <c r="B330" s="7" t="s">
        <v>2628</v>
      </c>
      <c r="C330" s="7" t="s">
        <v>2627</v>
      </c>
      <c r="D330" s="6">
        <v>45000</v>
      </c>
      <c r="E330" s="5">
        <v>6</v>
      </c>
      <c r="F330" s="4" t="str">
        <f ca="1">IFERROR(__xludf.DUMMYFUNCTION("LOWER(REGEXREPLACE(B330&amp;"" ""&amp;C330,""[^а-яa-z0-9 ]"","" ""))")," онтейнер пластиковый  ластиковый контейнер  предназначенный для хранения и сортировки учебных  игровых и хозяйственных материалов    гкий  прочный  устойчивый к влаге  удобен для регулярного использования в образовательной среде ")</f>
        <v xml:space="preserve"> онтейнер пластиковый  ластиковый контейнер  предназначенный для хранения и сортировки учебных  игровых и хозяйственных материалов    гкий  прочный  устойчивый к влаге  удобен для регулярного использования в образовательной среде </v>
      </c>
      <c r="G330" s="4" t="str">
        <f ca="1">IFERROR(__xludf.DUMMYFUNCTION("TEXTJOIN(""|"",TRUE,UNIQUE(FILTER(SPLIT(F330,"" ""),LEN(SPLIT(F330,"" ""))&gt;2)))"),"онтейнер|пластиковый|ластиковый|контейнер|предназначенный|для|хранения|сортировки|учебных|игровых|хозяйственных|материалов|гкий|прочный|устойчивый|влаге|удобен|для|регулярного|использования|образовательной|среде")</f>
        <v>онтейнер|пластиковый|ластиковый|контейнер|предназначенный|для|хранения|сортировки|учебных|игровых|хозяйственных|материалов|гкий|прочный|устойчивый|влаге|удобен|для|регулярного|использования|образовательной|среде</v>
      </c>
      <c r="I330" s="1"/>
      <c r="J330" s="1"/>
    </row>
    <row r="331" spans="1:10" x14ac:dyDescent="0.2">
      <c r="A331" s="8" t="s">
        <v>2626</v>
      </c>
      <c r="B331" s="7" t="s">
        <v>2625</v>
      </c>
      <c r="C331" s="7" t="s">
        <v>2624</v>
      </c>
      <c r="D331" s="6">
        <v>13000</v>
      </c>
      <c r="E331" s="5">
        <v>8</v>
      </c>
      <c r="F331" s="4" t="str">
        <f ca="1">IFERROR(__xludf.DUMMYFUNCTION("LOWER(REGEXREPLACE(B331&amp;"" ""&amp;C331,""[^а-яa-z0-9 ]"","" ""))")," онтейнеры для хранения  лоские пластиковые контейнеры с крышкой  предназначенные для хранения мелких предметов  канцелярии и дидактических материалов   омпактный формат позволяет эффективно использовать полки и ящики ")</f>
        <v xml:space="preserve"> онтейнеры для хранения  лоские пластиковые контейнеры с крышкой  предназначенные для хранения мелких предметов  канцелярии и дидактических материалов   омпактный формат позволяет эффективно использовать полки и ящики </v>
      </c>
      <c r="G331" s="4" t="str">
        <f ca="1">IFERROR(__xludf.DUMMYFUNCTION("TEXTJOIN(""|"",TRUE,UNIQUE(FILTER(SPLIT(F331,"" ""),LEN(SPLIT(F331,"" ""))&gt;2)))"),"онтейнеры|для|хранения|лоские|пластиковые|контейнеры|крышкой|предназначенные|для|хранения|мелких|предметов|канцелярии|дидактических|материалов|омпактный|формат|позволяет|эффективно|использовать|полки|ящики")</f>
        <v>онтейнеры|для|хранения|лоские|пластиковые|контейнеры|крышкой|предназначенные|для|хранения|мелких|предметов|канцелярии|дидактических|материалов|омпактный|формат|позволяет|эффективно|использовать|полки|ящики</v>
      </c>
      <c r="I331" s="1"/>
      <c r="J331" s="1"/>
    </row>
    <row r="332" spans="1:10" x14ac:dyDescent="0.2">
      <c r="A332" s="8" t="s">
        <v>2623</v>
      </c>
      <c r="B332" s="7" t="s">
        <v>2622</v>
      </c>
      <c r="C332" s="7" t="s">
        <v>2621</v>
      </c>
      <c r="D332" s="6">
        <v>9700</v>
      </c>
      <c r="E332" s="5">
        <v>3</v>
      </c>
      <c r="F332" s="4" t="str">
        <f ca="1">IFERROR(__xludf.DUMMYFUNCTION("LOWER(REGEXREPLACE(B332&amp;"" ""&amp;C332,""[^а-яa-z0-9 ]"","" ""))")," онусы и фишки для разметки  абор конусов и фишек для разметки пространства при проведении подвижных и спортивных игр   спользуются для обозначения маршрутов  границ и игровых зон ")</f>
        <v xml:space="preserve"> онусы и фишки для разметки  абор конусов и фишек для разметки пространства при проведении подвижных и спортивных игр   спользуются для обозначения маршрутов  границ и игровых зон </v>
      </c>
      <c r="G332" s="4" t="str">
        <f ca="1">IFERROR(__xludf.DUMMYFUNCTION("TEXTJOIN(""|"",TRUE,UNIQUE(FILTER(SPLIT(F332,"" ""),LEN(SPLIT(F332,"" ""))&gt;2)))"),"онусы|фишки|для|разметки|абор|конусов|фишек|для|разметки|пространства|при|проведении|подвижных|спортивных|игр|спользуются|для|обозначения|маршрутов|границ|игровых|зон")</f>
        <v>онусы|фишки|для|разметки|абор|конусов|фишек|для|разметки|пространства|при|проведении|подвижных|спортивных|игр|спользуются|для|обозначения|маршрутов|границ|игровых|зон</v>
      </c>
      <c r="I332" s="1"/>
      <c r="J332" s="1"/>
    </row>
    <row r="333" spans="1:10" x14ac:dyDescent="0.2">
      <c r="A333" s="8" t="s">
        <v>2620</v>
      </c>
      <c r="B333" s="7" t="s">
        <v>2619</v>
      </c>
      <c r="C333" s="7" t="s">
        <v>2618</v>
      </c>
      <c r="D333" s="6">
        <v>1700</v>
      </c>
      <c r="E333" s="5">
        <v>3</v>
      </c>
      <c r="F333" s="4" t="str">
        <f ca="1">IFERROR(__xludf.DUMMYFUNCTION("LOWER(REGEXREPLACE(B333&amp;"" ""&amp;C333,""[^а-яa-z0-9 ]"","" ""))")," онусы с отверстиями для спортивных тренировок  портивные пластиковые конусы с боковыми отверстиями  позволяющими создавать комбинированные препятствия и тренировочные элементы   рименяются для развития координации и ориентации в пространстве ")</f>
        <v xml:space="preserve"> онусы с отверстиями для спортивных тренировок  портивные пластиковые конусы с боковыми отверстиями  позволяющими создавать комбинированные препятствия и тренировочные элементы   рименяются для развития координации и ориентации в пространстве </v>
      </c>
      <c r="G333" s="4" t="str">
        <f ca="1">IFERROR(__xludf.DUMMYFUNCTION("TEXTJOIN(""|"",TRUE,UNIQUE(FILTER(SPLIT(F333,"" ""),LEN(SPLIT(F333,"" ""))&gt;2)))"),"онусы|отверстиями|для|спортивных|тренировок|портивные|пластиковые|конусы|боковыми|отверстиями|позволяющими|создавать|комбинированные|препятствия|тренировочные|элементы|рименяются|для|развития|координации|ориентации|пространстве")</f>
        <v>онусы|отверстиями|для|спортивных|тренировок|портивные|пластиковые|конусы|боковыми|отверстиями|позволяющими|создавать|комбинированные|препятствия|тренировочные|элементы|рименяются|для|развития|координации|ориентации|пространстве</v>
      </c>
      <c r="I333" s="1"/>
      <c r="J333" s="1"/>
    </row>
    <row r="334" spans="1:10" x14ac:dyDescent="0.2">
      <c r="A334" s="8" t="s">
        <v>2617</v>
      </c>
      <c r="B334" s="7" t="s">
        <v>2616</v>
      </c>
      <c r="C334" s="7" t="s">
        <v>2615</v>
      </c>
      <c r="D334" s="6">
        <v>10800</v>
      </c>
      <c r="E334" s="5">
        <v>2</v>
      </c>
      <c r="F334" s="4" t="str">
        <f ca="1">IFERROR(__xludf.DUMMYFUNCTION("LOWER(REGEXREPLACE(B334&amp;"" ""&amp;C334,""[^а-яa-z0-9 ]"","" ""))")," оординационная лестница напольная  апольная координационная дорожка  предназначенная для упражнений на развитие ловкости  баланса и двигательной координации   спользуется в спортивных и игровых занятиях ")</f>
        <v xml:space="preserve"> оординационная лестница напольная  апольная координационная дорожка  предназначенная для упражнений на развитие ловкости  баланса и двигательной координации   спользуется в спортивных и игровых занятиях </v>
      </c>
      <c r="G334" s="4" t="str">
        <f ca="1">IFERROR(__xludf.DUMMYFUNCTION("TEXTJOIN(""|"",TRUE,UNIQUE(FILTER(SPLIT(F334,"" ""),LEN(SPLIT(F334,"" ""))&gt;2)))"),"оординационная|лестница|напольная|апольная|координационная|дорожка|предназначенная|для|упражнений|развитие|ловкости|баланса|двигательной|координации|спользуется|спортивных|игровых|занятиях")</f>
        <v>оординационная|лестница|напольная|апольная|координационная|дорожка|предназначенная|для|упражнений|развитие|ловкости|баланса|двигательной|координации|спользуется|спортивных|игровых|занятиях</v>
      </c>
      <c r="I334" s="1"/>
      <c r="J334" s="1"/>
    </row>
    <row r="335" spans="1:10" x14ac:dyDescent="0.2">
      <c r="A335" s="8" t="s">
        <v>2614</v>
      </c>
      <c r="B335" s="7" t="s">
        <v>2613</v>
      </c>
      <c r="C335" s="7" t="s">
        <v>2612</v>
      </c>
      <c r="D335" s="6">
        <v>6700</v>
      </c>
      <c r="E335" s="5">
        <v>7</v>
      </c>
      <c r="F335" s="4" t="str">
        <f ca="1">IFERROR(__xludf.DUMMYFUNCTION("LOWER(REGEXREPLACE(B335&amp;"" ""&amp;C335,""[^а-яa-z0-9 ]"","" ""))")," ораблик  игрушка   етская игрушка в виде корабля с элементами трансформации и игровыми функциями   спользуется в сюжетно ролевых играх  способствует развитию воображения и моторики ")</f>
        <v xml:space="preserve"> ораблик  игрушка   етская игрушка в виде корабля с элементами трансформации и игровыми функциями   спользуется в сюжетно ролевых играх  способствует развитию воображения и моторики </v>
      </c>
      <c r="G335" s="4" t="str">
        <f ca="1">IFERROR(__xludf.DUMMYFUNCTION("TEXTJOIN(""|"",TRUE,UNIQUE(FILTER(SPLIT(F335,"" ""),LEN(SPLIT(F335,"" ""))&gt;2)))"),"ораблик|игрушка|етская|игрушка|виде|корабля|элементами|трансформации|игровыми|функциями|спользуется|сюжетно|ролевых|играх|способствует|развитию|воображения|моторики")</f>
        <v>ораблик|игрушка|етская|игрушка|виде|корабля|элементами|трансформации|игровыми|функциями|спользуется|сюжетно|ролевых|играх|способствует|развитию|воображения|моторики</v>
      </c>
      <c r="I335" s="1"/>
      <c r="J335" s="1"/>
    </row>
    <row r="336" spans="1:10" x14ac:dyDescent="0.2">
      <c r="A336" s="8" t="s">
        <v>2611</v>
      </c>
      <c r="B336" s="7" t="s">
        <v>2610</v>
      </c>
      <c r="C336" s="7" t="s">
        <v>2609</v>
      </c>
      <c r="D336" s="6">
        <v>1900</v>
      </c>
      <c r="E336" s="5">
        <v>5</v>
      </c>
      <c r="F336" s="4" t="str">
        <f ca="1">IFERROR(__xludf.DUMMYFUNCTION("LOWER(REGEXREPLACE(B336&amp;"" ""&amp;C336,""[^а-яa-z0-9 ]"","" ""))")," орзина для мусора  пластиковая    гкая пластиковая корзина для сбора бытового мусора и бумажных отходов   одходит для использования в учебных и административных помещениях ")</f>
        <v xml:space="preserve"> орзина для мусора  пластиковая    гкая пластиковая корзина для сбора бытового мусора и бумажных отходов   одходит для использования в учебных и административных помещениях </v>
      </c>
      <c r="G336" s="4" t="str">
        <f ca="1">IFERROR(__xludf.DUMMYFUNCTION("TEXTJOIN(""|"",TRUE,UNIQUE(FILTER(SPLIT(F336,"" ""),LEN(SPLIT(F336,"" ""))&gt;2)))"),"орзина|для|мусора|пластиковая|гкая|пластиковая|корзина|для|сбора|бытового|мусора|бумажных|отходов|одходит|для|использования|учебных|административных|помещениях")</f>
        <v>орзина|для|мусора|пластиковая|гкая|пластиковая|корзина|для|сбора|бытового|мусора|бумажных|отходов|одходит|для|использования|учебных|административных|помещениях</v>
      </c>
      <c r="I336" s="1"/>
      <c r="J336" s="1"/>
    </row>
    <row r="337" spans="1:10" x14ac:dyDescent="0.2">
      <c r="A337" s="8" t="s">
        <v>2608</v>
      </c>
      <c r="B337" s="7" t="s">
        <v>2607</v>
      </c>
      <c r="C337" s="7" t="s">
        <v>2606</v>
      </c>
      <c r="D337" s="6">
        <v>1900</v>
      </c>
      <c r="E337" s="5">
        <v>14</v>
      </c>
      <c r="F337" s="4" t="str">
        <f ca="1">IFERROR(__xludf.DUMMYFUNCTION("LOWER(REGEXREPLACE(B337&amp;"" ""&amp;C337,""[^а-яa-z0-9 ]"","" ""))")," орзина для мусора  сетчатая   етчатая корзина для бумаги  обеспечивает вентиляцию и визуальный контроль наполнения   спользуется в кабинетах и рабочих зонах ")</f>
        <v xml:space="preserve"> орзина для мусора  сетчатая   етчатая корзина для бумаги  обеспечивает вентиляцию и визуальный контроль наполнения   спользуется в кабинетах и рабочих зонах </v>
      </c>
      <c r="G337" s="4" t="str">
        <f ca="1">IFERROR(__xludf.DUMMYFUNCTION("TEXTJOIN(""|"",TRUE,UNIQUE(FILTER(SPLIT(F337,"" ""),LEN(SPLIT(F337,"" ""))&gt;2)))"),"орзина|для|мусора|сетчатая|етчатая|корзина|для|бумаги|обеспечивает|вентиляцию|визуальный|контроль|наполнения|спользуется|кабинетах|рабочих|зонах")</f>
        <v>орзина|для|мусора|сетчатая|етчатая|корзина|для|бумаги|обеспечивает|вентиляцию|визуальный|контроль|наполнения|спользуется|кабинетах|рабочих|зонах</v>
      </c>
      <c r="I337" s="1"/>
      <c r="J337" s="1"/>
    </row>
    <row r="338" spans="1:10" x14ac:dyDescent="0.2">
      <c r="A338" s="8" t="s">
        <v>2605</v>
      </c>
      <c r="B338" s="7" t="s">
        <v>2604</v>
      </c>
      <c r="C338" s="7" t="s">
        <v>2603</v>
      </c>
      <c r="D338" s="6">
        <v>35100</v>
      </c>
      <c r="E338" s="5">
        <v>97</v>
      </c>
      <c r="F338" s="4" t="str">
        <f ca="1">IFERROR(__xludf.DUMMYFUNCTION("LOWER(REGEXREPLACE(B338&amp;"" ""&amp;C338,""[^а-яa-z0-9 ]"","" ""))")," орзина для мусора с педалью  онтейнер для мусора с педальным механизмом открывания крышки   беспечивает гигиеничное использование без контакта рук с крышкой ")</f>
        <v xml:space="preserve"> орзина для мусора с педалью  онтейнер для мусора с педальным механизмом открывания крышки   беспечивает гигиеничное использование без контакта рук с крышкой </v>
      </c>
      <c r="G338" s="4" t="str">
        <f ca="1">IFERROR(__xludf.DUMMYFUNCTION("TEXTJOIN(""|"",TRUE,UNIQUE(FILTER(SPLIT(F338,"" ""),LEN(SPLIT(F338,"" ""))&gt;2)))"),"орзина|для|мусора|педалью|онтейнер|для|мусора|педальным|механизмом|открывания|крышки|беспечивает|гигиеничное|использование|без|контакта|рук|крышкой")</f>
        <v>орзина|для|мусора|педалью|онтейнер|для|мусора|педальным|механизмом|открывания|крышки|беспечивает|гигиеничное|использование|без|контакта|рук|крышкой</v>
      </c>
      <c r="I338" s="1"/>
      <c r="J338" s="1"/>
    </row>
    <row r="339" spans="1:10" x14ac:dyDescent="0.2">
      <c r="A339" s="8" t="s">
        <v>2602</v>
      </c>
      <c r="B339" s="7" t="s">
        <v>2601</v>
      </c>
      <c r="C339" s="7" t="s">
        <v>2600</v>
      </c>
      <c r="D339" s="6">
        <v>18000</v>
      </c>
      <c r="E339" s="5">
        <v>1</v>
      </c>
      <c r="F339" s="4" t="str">
        <f ca="1">IFERROR(__xludf.DUMMYFUNCTION("LOWER(REGEXREPLACE(B339&amp;"" ""&amp;C339,""[^а-яa-z0-9 ]"","" ""))")," хмет   ордость нации  маханбет     ")</f>
        <v xml:space="preserve"> хмет   ордость нации  маханбет     </v>
      </c>
      <c r="G339" s="4" t="str">
        <f ca="1">IFERROR(__xludf.DUMMYFUNCTION("TEXTJOIN(""|"",TRUE,UNIQUE(FILTER(SPLIT(F339,"" ""),LEN(SPLIT(F339,"" ""))&gt;2)))"),"хмет|ордость|нации|маханбет")</f>
        <v>хмет|ордость|нации|маханбет</v>
      </c>
      <c r="I339" s="1"/>
      <c r="J339" s="1"/>
    </row>
    <row r="340" spans="1:10" x14ac:dyDescent="0.2">
      <c r="A340" s="8" t="s">
        <v>2599</v>
      </c>
      <c r="B340" s="7" t="s">
        <v>2598</v>
      </c>
      <c r="C340" s="7" t="s">
        <v>2597</v>
      </c>
      <c r="D340" s="6">
        <v>64600</v>
      </c>
      <c r="E340" s="5">
        <v>1</v>
      </c>
      <c r="F340" s="4" t="str">
        <f ca="1">IFERROR(__xludf.DUMMYFUNCTION("LOWER(REGEXREPLACE(B340&amp;"" ""&amp;C340,""[^а-яa-z0-9 ]"","" ""))")," орзина для теннисных мячей  омпактная корзина предназначена для хранения и переноски небольших спортивных мячей во время занятий и подвижных игр   азмер изделия не менее 30 см по длине  что обеспечивает удобство размещения инвентаря    сткая конструкция "&amp;"сохраняет форму и облегчает сортировку мячей после занятий   спользуется педагогом или детьми под контролем взрослого ")</f>
        <v xml:space="preserve"> орзина для теннисных мячей  омпактная корзина предназначена для хранения и переноски небольших спортивных мячей во время занятий и подвижных игр   азмер изделия не менее 30 см по длине  что обеспечивает удобство размещения инвентаря    сткая конструкция сохраняет форму и облегчает сортировку мячей после занятий   спользуется педагогом или детьми под контролем взрослого </v>
      </c>
      <c r="G340" s="4" t="str">
        <f ca="1">IFERROR(__xludf.DUMMYFUNCTION("TEXTJOIN(""|"",TRUE,UNIQUE(FILTER(SPLIT(F340,"" ""),LEN(SPLIT(F340,"" ""))&gt;2)))"),"орзина|для|теннисных|мячей|омпактная|корзина|предназначена|для|хранения|переноски|небольших|спортивных|мячей|время|занятий|подвижных|игр|азмер|изделия|менее|длине|что|обеспечивает|удобство|размещения|инвентаря|сткая|конструкция|сохраняет|форму|облегчает|с"&amp;"ортировку|мячей|после|занятий|спользуется|педагогом|или|детьми|под|контролем|взрослого")</f>
        <v>орзина|для|теннисных|мячей|омпактная|корзина|предназначена|для|хранения|переноски|небольших|спортивных|мячей|время|занятий|подвижных|игр|азмер|изделия|менее|длине|что|обеспечивает|удобство|размещения|инвентаря|сткая|конструкция|сохраняет|форму|облегчает|сортировку|мячей|после|занятий|спользуется|педагогом|или|детьми|под|контролем|взрослого</v>
      </c>
      <c r="I340" s="1"/>
      <c r="J340" s="1"/>
    </row>
    <row r="341" spans="1:10" x14ac:dyDescent="0.2">
      <c r="A341" s="8" t="s">
        <v>2596</v>
      </c>
      <c r="B341" s="7" t="s">
        <v>2595</v>
      </c>
      <c r="C341" s="7" t="s">
        <v>2594</v>
      </c>
      <c r="D341" s="6">
        <v>102600</v>
      </c>
      <c r="E341" s="5">
        <v>1</v>
      </c>
      <c r="F341" s="4" t="str">
        <f ca="1">IFERROR(__xludf.DUMMYFUNCTION("LOWER(REGEXREPLACE(B341&amp;"" ""&amp;C341,""[^а-яa-z0-9 ]"","" ""))")," орзины для мячей  комплект   разные типы   абор корзин предназначен для хранения и систематизации спортивного инвентаря в физкультурных и игровых зонах   озволяет разделять мячи по видам и размерам  поддерживая порядок в помещении   спользование корзин с"&amp;"пособствует формированию у детей навыков организации пространства и аккуратного обращения с оборудованием ")</f>
        <v xml:space="preserve"> орзины для мячей  комплект   разные типы   абор корзин предназначен для хранения и систематизации спортивного инвентаря в физкультурных и игровых зонах   озволяет разделять мячи по видам и размерам  поддерживая порядок в помещении   спользование корзин способствует формированию у детей навыков организации пространства и аккуратного обращения с оборудованием </v>
      </c>
      <c r="G341" s="4" t="str">
        <f ca="1">IFERROR(__xludf.DUMMYFUNCTION("TEXTJOIN(""|"",TRUE,UNIQUE(FILTER(SPLIT(F341,"" ""),LEN(SPLIT(F341,"" ""))&gt;2)))"),"орзины|для|мячей|комплект|разные|типы|абор|корзин|предназначен|для|хранения|систематизации|спортивного|инвентаря|физкультурных|игровых|зонах|озволяет|разделять|мячи|видам|размерам|поддерживая|порядок|помещении|спользование|корзин|способствует|формированию"&amp;"|детей|навыков|организации|пространства|аккуратного|обращения|оборудованием")</f>
        <v>орзины|для|мячей|комплект|разные|типы|абор|корзин|предназначен|для|хранения|систематизации|спортивного|инвентаря|физкультурных|игровых|зонах|озволяет|разделять|мячи|видам|размерам|поддерживая|порядок|помещении|спользование|корзин|способствует|формированию|детей|навыков|организации|пространства|аккуратного|обращения|оборудованием</v>
      </c>
      <c r="I341" s="1"/>
      <c r="J341" s="1"/>
    </row>
    <row r="342" spans="1:10" x14ac:dyDescent="0.2">
      <c r="A342" s="8" t="s">
        <v>2593</v>
      </c>
      <c r="B342" s="7" t="s">
        <v>2592</v>
      </c>
      <c r="C342" s="7" t="s">
        <v>2591</v>
      </c>
      <c r="D342" s="6">
        <v>6300</v>
      </c>
      <c r="E342" s="5">
        <v>50</v>
      </c>
      <c r="F342" s="4" t="str">
        <f ca="1">IFERROR(__xludf.DUMMYFUNCTION("LOWER(REGEXREPLACE(B342&amp;"" ""&amp;C342,""[^а-яa-z0-9 ]"","" ""))")," оробка архивная формата  4  рхивная коробка из плотного картона используется для хранения документации  методических материалов и наглядных пособий   ормат  4 обеспечивает удобство размещения папок и листовых материалов без сгибов   одходит для системати"&amp;"зации документов в административных и методических помещениях ")</f>
        <v xml:space="preserve"> оробка архивная формата  4  рхивная коробка из плотного картона используется для хранения документации  методических материалов и наглядных пособий   ормат  4 обеспечивает удобство размещения папок и листовых материалов без сгибов   одходит для систематизации документов в административных и методических помещениях </v>
      </c>
      <c r="G342" s="4" t="str">
        <f ca="1">IFERROR(__xludf.DUMMYFUNCTION("TEXTJOIN(""|"",TRUE,UNIQUE(FILTER(SPLIT(F342,"" ""),LEN(SPLIT(F342,"" ""))&gt;2)))"),"оробка|архивная|формата|рхивная|коробка|плотного|картона|используется|для|хранения|документации|методических|материалов|наглядных|пособий|ормат|обеспечивает|удобство|размещения|папок|листовых|материалов|без|сгибов|одходит|для|систематизации|документов|адм"&amp;"инистративных|методических|помещениях")</f>
        <v>оробка|архивная|формата|рхивная|коробка|плотного|картона|используется|для|хранения|документации|методических|материалов|наглядных|пособий|ормат|обеспечивает|удобство|размещения|папок|листовых|материалов|без|сгибов|одходит|для|систематизации|документов|административных|методических|помещениях</v>
      </c>
      <c r="I342" s="1"/>
      <c r="J342" s="1"/>
    </row>
    <row r="343" spans="1:10" x14ac:dyDescent="0.2">
      <c r="A343" s="8" t="s">
        <v>2590</v>
      </c>
      <c r="B343" s="7" t="s">
        <v>2589</v>
      </c>
      <c r="C343" s="7" t="s">
        <v>2588</v>
      </c>
      <c r="D343" s="6">
        <v>28100</v>
      </c>
      <c r="E343" s="5">
        <v>5</v>
      </c>
      <c r="F343" s="4" t="str">
        <f ca="1">IFERROR(__xludf.DUMMYFUNCTION("LOWER(REGEXREPLACE(B343&amp;"" ""&amp;C343,""[^а-яa-z0-9 ]"","" ""))")," оробка для теневого театра  еревянная коробка предназначена для организации теневого театра   спользуется в театрализованной и образовательной деятельности детей  способствует развитию речи  воображения и творческих навыков   атериал   дерево  конструкци"&amp;"я устойчивая и безопасная ")</f>
        <v xml:space="preserve"> оробка для теневого театра  еревянная коробка предназначена для организации теневого театра   спользуется в театрализованной и образовательной деятельности детей  способствует развитию речи  воображения и творческих навыков   атериал   дерево  конструкция устойчивая и безопасная </v>
      </c>
      <c r="G343" s="4" t="str">
        <f ca="1">IFERROR(__xludf.DUMMYFUNCTION("TEXTJOIN(""|"",TRUE,UNIQUE(FILTER(SPLIT(F343,"" ""),LEN(SPLIT(F343,"" ""))&gt;2)))"),"оробка|для|теневого|театра|еревянная|коробка|предназначена|для|организации|теневого|театра|спользуется|театрализованной|образовательной|деятельности|детей|способствует|развитию|речи|воображения|творческих|навыков|атериал|дерево|конструкция|устойчивая|безо"&amp;"пасная")</f>
        <v>оробка|для|теневого|театра|еревянная|коробка|предназначена|для|организации|теневого|театра|спользуется|театрализованной|образовательной|деятельности|детей|способствует|развитию|речи|воображения|творческих|навыков|атериал|дерево|конструкция|устойчивая|безопасная</v>
      </c>
      <c r="I343" s="1"/>
      <c r="J343" s="1"/>
    </row>
    <row r="344" spans="1:10" x14ac:dyDescent="0.2">
      <c r="A344" s="8" t="s">
        <v>2587</v>
      </c>
      <c r="B344" s="7" t="s">
        <v>2586</v>
      </c>
      <c r="C344" s="7" t="s">
        <v>2585</v>
      </c>
      <c r="D344" s="6">
        <v>54900</v>
      </c>
      <c r="E344" s="5">
        <v>1</v>
      </c>
      <c r="F344" s="4" t="str">
        <f ca="1">IFERROR(__xludf.DUMMYFUNCTION("LOWER(REGEXREPLACE(B344&amp;"" ""&amp;C344,""[^а-яa-z0-9 ]"","" ""))")," оробка стерилизационная круглая  бикс   спользуется для стерилизации и хранения медицинских инструментов ")</f>
        <v xml:space="preserve"> оробка стерилизационная круглая  бикс   спользуется для стерилизации и хранения медицинских инструментов </v>
      </c>
      <c r="G344" s="4" t="str">
        <f ca="1">IFERROR(__xludf.DUMMYFUNCTION("TEXTJOIN(""|"",TRUE,UNIQUE(FILTER(SPLIT(F344,"" ""),LEN(SPLIT(F344,"" ""))&gt;2)))"),"оробка|стерилизационная|круглая|бикс|спользуется|для|стерилизации|хранения|медицинских|инструментов")</f>
        <v>оробка|стерилизационная|круглая|бикс|спользуется|для|стерилизации|хранения|медицинских|инструментов</v>
      </c>
      <c r="I344" s="1"/>
      <c r="J344" s="1"/>
    </row>
    <row r="345" spans="1:10" x14ac:dyDescent="0.2">
      <c r="A345" s="8" t="s">
        <v>2584</v>
      </c>
      <c r="B345" s="7" t="s">
        <v>2583</v>
      </c>
      <c r="C345" s="7" t="s">
        <v>2582</v>
      </c>
      <c r="D345" s="6">
        <v>86600</v>
      </c>
      <c r="E345" s="5">
        <v>1</v>
      </c>
      <c r="F345" s="4" t="str">
        <f ca="1">IFERROR(__xludf.DUMMYFUNCTION("LOWER(REGEXREPLACE(B345&amp;"" ""&amp;C345,""[^а-яa-z0-9 ]"","" ""))")," оробка стерилизационная круглая  бикс  большая  редназначена для стерилизации и хранения большего объ ма медицинских инструментов и материалов ")</f>
        <v xml:space="preserve"> оробка стерилизационная круглая  бикс  большая  редназначена для стерилизации и хранения большего объ ма медицинских инструментов и материалов </v>
      </c>
      <c r="G345" s="4" t="str">
        <f ca="1">IFERROR(__xludf.DUMMYFUNCTION("TEXTJOIN(""|"",TRUE,UNIQUE(FILTER(SPLIT(F345,"" ""),LEN(SPLIT(F345,"" ""))&gt;2)))"),"оробка|стерилизационная|круглая|бикс|большая|редназначена|для|стерилизации|хранения|большего|объ|медицинских|инструментов|материалов")</f>
        <v>оробка|стерилизационная|круглая|бикс|большая|редназначена|для|стерилизации|хранения|большего|объ|медицинских|инструментов|материалов</v>
      </c>
      <c r="I345" s="1"/>
      <c r="J345" s="1"/>
    </row>
    <row r="346" spans="1:10" x14ac:dyDescent="0.2">
      <c r="A346" s="8" t="s">
        <v>2581</v>
      </c>
      <c r="B346" s="7" t="s">
        <v>2580</v>
      </c>
      <c r="C346" s="7" t="s">
        <v>2579</v>
      </c>
      <c r="D346" s="6">
        <v>10500</v>
      </c>
      <c r="E346" s="5">
        <v>4</v>
      </c>
      <c r="F346" s="4" t="str">
        <f ca="1">IFERROR(__xludf.DUMMYFUNCTION("LOWER(REGEXREPLACE(B346&amp;"" ""&amp;C346,""[^а-яa-z0-9 ]"","" ""))")," остюм   олк   арнавальный костюм предназначен для участия в сказочных постановках и игровых сценках   ыполнен из искусственного меха и текстильных материалов  включает элементы маски и одежды персонажа   спользуется для развития акт рских навыков  мимики"&amp;" и образного мышления ")</f>
        <v xml:space="preserve"> остюм   олк   арнавальный костюм предназначен для участия в сказочных постановках и игровых сценках   ыполнен из искусственного меха и текстильных материалов  включает элементы маски и одежды персонажа   спользуется для развития акт рских навыков  мимики и образного мышления </v>
      </c>
      <c r="G346" s="4" t="str">
        <f ca="1">IFERROR(__xludf.DUMMYFUNCTION("TEXTJOIN(""|"",TRUE,UNIQUE(FILTER(SPLIT(F346,"" ""),LEN(SPLIT(F346,"" ""))&gt;2)))"),"остюм|олк|арнавальный|костюм|предназначен|для|участия|сказочных|постановках|игровых|сценках|ыполнен|искусственного|меха|текстильных|материалов|включает|элементы|маски|одежды|персонажа|спользуется|для|развития|акт|рских|навыков|мимики|образного|мышления")</f>
        <v>остюм|олк|арнавальный|костюм|предназначен|для|участия|сказочных|постановках|игровых|сценках|ыполнен|искусственного|меха|текстильных|материалов|включает|элементы|маски|одежды|персонажа|спользуется|для|развития|акт|рских|навыков|мимики|образного|мышления</v>
      </c>
      <c r="I346" s="1"/>
      <c r="J346" s="1"/>
    </row>
    <row r="347" spans="1:10" x14ac:dyDescent="0.2">
      <c r="A347" s="8" t="s">
        <v>2578</v>
      </c>
      <c r="B347" s="7" t="s">
        <v>2577</v>
      </c>
      <c r="C347" s="7" t="s">
        <v>2576</v>
      </c>
      <c r="D347" s="6">
        <v>2900</v>
      </c>
      <c r="E347" s="5">
        <v>5</v>
      </c>
      <c r="F347" s="4" t="str">
        <f ca="1">IFERROR(__xludf.DUMMYFUNCTION("LOWER(REGEXREPLACE(B347&amp;"" ""&amp;C347,""[^а-яa-z0-9 ]"","" ""))")," остюм   октор    рач   арнавальный костюм применяется в ролевых играх медицинской тематики и в театрализованных постановках   остоит из халата и головного убора  выполненных из текстиля   спользуется для моделирования ситуаций заботы и помощи  развития р"&amp;"ечи  коммуникативных и социальных навыков ")</f>
        <v xml:space="preserve"> остюм   октор    рач   арнавальный костюм применяется в ролевых играх медицинской тематики и в театрализованных постановках   остоит из халата и головного убора  выполненных из текстиля   спользуется для моделирования ситуаций заботы и помощи  развития речи  коммуникативных и социальных навыков </v>
      </c>
      <c r="G347" s="4" t="str">
        <f ca="1">IFERROR(__xludf.DUMMYFUNCTION("TEXTJOIN(""|"",TRUE,UNIQUE(FILTER(SPLIT(F347,"" ""),LEN(SPLIT(F347,"" ""))&gt;2)))"),"остюм|октор|рач|арнавальный|костюм|применяется|ролевых|играх|медицинской|тематики|театрализованных|постановках|остоит|халата|головного|убора|выполненных|текстиля|спользуется|для|моделирования|ситуаций|заботы|помощи|развития|речи|коммуникативных|социальных"&amp;"|навыков")</f>
        <v>остюм|октор|рач|арнавальный|костюм|применяется|ролевых|играх|медицинской|тематики|театрализованных|постановках|остоит|халата|головного|убора|выполненных|текстиля|спользуется|для|моделирования|ситуаций|заботы|помощи|развития|речи|коммуникативных|социальных|навыков</v>
      </c>
      <c r="I347" s="1"/>
      <c r="J347" s="1"/>
    </row>
    <row r="348" spans="1:10" x14ac:dyDescent="0.2">
      <c r="A348" s="8" t="s">
        <v>2575</v>
      </c>
      <c r="B348" s="7" t="s">
        <v>2574</v>
      </c>
      <c r="C348" s="7" t="s">
        <v>2573</v>
      </c>
      <c r="D348" s="6">
        <v>39900</v>
      </c>
      <c r="E348" s="5">
        <v>5</v>
      </c>
      <c r="F348" s="4" t="str">
        <f ca="1">IFERROR(__xludf.DUMMYFUNCTION("LOWER(REGEXREPLACE(B348&amp;"" ""&amp;C348,""[^а-яa-z0-9 ]"","" ""))")," остюм   осмонавт    осмос   арнавальный костюм предназначен для тематических игр  занятий и театрализованных мероприятий  связанных с изучением темы космоса   ыполнен из текстильного материала на основе полиэстера  устойчивого к многократному использован"&amp;"ию   спользуется для развития познавательного интереса  воображения и сюжетно ролевой игры   одходит для участия в утренниках и образовательных проектах ")</f>
        <v xml:space="preserve"> остюм   осмонавт    осмос   арнавальный костюм предназначен для тематических игр  занятий и театрализованных мероприятий  связанных с изучением темы космоса   ыполнен из текстильного материала на основе полиэстера  устойчивого к многократному использованию   спользуется для развития познавательного интереса  воображения и сюжетно ролевой игры   одходит для участия в утренниках и образовательных проектах </v>
      </c>
      <c r="G348" s="4" t="str">
        <f ca="1">IFERROR(__xludf.DUMMYFUNCTION("TEXTJOIN(""|"",TRUE,UNIQUE(FILTER(SPLIT(F348,"" ""),LEN(SPLIT(F348,"" ""))&gt;2)))"),"остюм|осмонавт|осмос|арнавальный|костюм|предназначен|для|тематических|игр|занятий|театрализованных|мероприятий|связанных|изучением|темы|космоса|ыполнен|текстильного|материала|основе|полиэстера|устойчивого|многократному|использованию|спользуется|для|развит"&amp;"ия|познавательного|интереса|воображения|сюжетно|ролевой|игры|одходит|для|участия|утренниках|образовательных|проектах")</f>
        <v>остюм|осмонавт|осмос|арнавальный|костюм|предназначен|для|тематических|игр|занятий|театрализованных|мероприятий|связанных|изучением|темы|космоса|ыполнен|текстильного|материала|основе|полиэстера|устойчивого|многократному|использованию|спользуется|для|развития|познавательного|интереса|воображения|сюжетно|ролевой|игры|одходит|для|участия|утренниках|образовательных|проектах</v>
      </c>
      <c r="I348" s="1"/>
      <c r="J348" s="1"/>
    </row>
    <row r="349" spans="1:10" x14ac:dyDescent="0.2">
      <c r="A349" s="8" t="s">
        <v>2572</v>
      </c>
      <c r="B349" s="7" t="s">
        <v>2571</v>
      </c>
      <c r="C349" s="7" t="s">
        <v>2570</v>
      </c>
      <c r="D349" s="6">
        <v>12200</v>
      </c>
      <c r="E349" s="5">
        <v>14</v>
      </c>
      <c r="F349" s="4" t="str">
        <f ca="1">IFERROR(__xludf.DUMMYFUNCTION("LOWER(REGEXREPLACE(B349&amp;"" ""&amp;C349,""[^а-яa-z0-9 ]"","" ""))")," остюм   овар   гровой костюм используется в сюжетно ролевых играх на тему кухни и быта    комплект входят фартук и головной убор  выполненные из текстиля   омогает моделировать бытовые ситуации  развивает социальное взаимодействие и речь ")</f>
        <v xml:space="preserve"> остюм   овар   гровой костюм используется в сюжетно ролевых играх на тему кухни и быта    комплект входят фартук и головной убор  выполненные из текстиля   омогает моделировать бытовые ситуации  развивает социальное взаимодействие и речь </v>
      </c>
      <c r="G349" s="4" t="str">
        <f ca="1">IFERROR(__xludf.DUMMYFUNCTION("TEXTJOIN(""|"",TRUE,UNIQUE(FILTER(SPLIT(F349,"" ""),LEN(SPLIT(F349,"" ""))&gt;2)))"),"остюм|овар|гровой|костюм|используется|сюжетно|ролевых|играх|тему|кухни|быта|комплект|входят|фартук|головной|убор|выполненные|текстиля|омогает|моделировать|бытовые|ситуации|развивает|социальное|взаимодействие|речь")</f>
        <v>остюм|овар|гровой|костюм|используется|сюжетно|ролевых|играх|тему|кухни|быта|комплект|входят|фартук|головной|убор|выполненные|текстиля|омогает|моделировать|бытовые|ситуации|развивает|социальное|взаимодействие|речь</v>
      </c>
      <c r="I349" s="1"/>
      <c r="J349" s="1"/>
    </row>
    <row r="350" spans="1:10" x14ac:dyDescent="0.2">
      <c r="A350" s="8" t="s">
        <v>2569</v>
      </c>
      <c r="B350" s="7" t="s">
        <v>2568</v>
      </c>
      <c r="C350" s="7"/>
      <c r="D350" s="6">
        <v>1700</v>
      </c>
      <c r="E350" s="5">
        <v>1</v>
      </c>
      <c r="F350" s="4" t="str">
        <f ca="1">IFERROR(__xludf.DUMMYFUNCTION("LOWER(REGEXREPLACE(B350&amp;"" ""&amp;C350,""[^а-яa-z0-9 ]"","" ""))")," шуды  алай же уге болады   ак подавить злость   ow to control anger  каз   рус   англ яз   ")</f>
        <v xml:space="preserve"> шуды  алай же уге болады   ак подавить злость   ow to control anger  каз   рус   англ яз   </v>
      </c>
      <c r="G350" s="4" t="str">
        <f ca="1">IFERROR(__xludf.DUMMYFUNCTION("TEXTJOIN(""|"",TRUE,UNIQUE(FILTER(SPLIT(F350,"" ""),LEN(SPLIT(F350,"" ""))&gt;2)))"),"шуды|алай|уге|болады|подавить|злость|control|anger|каз|рус|англ")</f>
        <v>шуды|алай|уге|болады|подавить|злость|control|anger|каз|рус|англ</v>
      </c>
      <c r="I350" s="1"/>
      <c r="J350" s="1"/>
    </row>
    <row r="351" spans="1:10" x14ac:dyDescent="0.2">
      <c r="A351" s="8" t="s">
        <v>2567</v>
      </c>
      <c r="B351" s="7" t="s">
        <v>2566</v>
      </c>
      <c r="C351" s="7" t="s">
        <v>2565</v>
      </c>
      <c r="D351" s="6">
        <v>17500</v>
      </c>
      <c r="E351" s="5">
        <v>14</v>
      </c>
      <c r="F351" s="4" t="str">
        <f ca="1">IFERROR(__xludf.DUMMYFUNCTION("LOWER(REGEXREPLACE(B351&amp;"" ""&amp;C351,""[^а-яa-z0-9 ]"","" ""))")," остюм   олицейский   остюм предназначен для ролевых игр и тематических мероприятий  связанных с правилами поведения и безопасностью    комплект входят элементы формы и игровые аксессуары   спользуется для формирования представлений о профессии и социальн"&amp;"ых ролях ")</f>
        <v xml:space="preserve"> остюм   олицейский   остюм предназначен для ролевых игр и тематических мероприятий  связанных с правилами поведения и безопасностью    комплект входят элементы формы и игровые аксессуары   спользуется для формирования представлений о профессии и социальных ролях </v>
      </c>
      <c r="G351" s="4" t="str">
        <f ca="1">IFERROR(__xludf.DUMMYFUNCTION("TEXTJOIN(""|"",TRUE,UNIQUE(FILTER(SPLIT(F351,"" ""),LEN(SPLIT(F351,"" ""))&gt;2)))"),"остюм|олицейский|остюм|предназначен|для|ролевых|игр|тематических|мероприятий|связанных|правилами|поведения|безопасностью|комплект|входят|элементы|формы|игровые|аксессуары|спользуется|для|формирования|представлений|профессии|социальных|ролях")</f>
        <v>остюм|олицейский|остюм|предназначен|для|ролевых|игр|тематических|мероприятий|связанных|правилами|поведения|безопасностью|комплект|входят|элементы|формы|игровые|аксессуары|спользуется|для|формирования|представлений|профессии|социальных|ролях</v>
      </c>
      <c r="I351" s="1"/>
      <c r="J351" s="1"/>
    </row>
    <row r="352" spans="1:10" x14ac:dyDescent="0.2">
      <c r="A352" s="8" t="s">
        <v>2564</v>
      </c>
      <c r="B352" s="7" t="s">
        <v>2563</v>
      </c>
      <c r="C352" s="7" t="s">
        <v>2562</v>
      </c>
      <c r="D352" s="6">
        <v>36100</v>
      </c>
      <c r="E352" s="5">
        <v>5</v>
      </c>
      <c r="F352" s="4" t="str">
        <f ca="1">IFERROR(__xludf.DUMMYFUNCTION("LOWER(REGEXREPLACE(B352&amp;"" ""&amp;C352,""[^а-яa-z0-9 ]"","" ""))")," остюм   ринцесса  олушка   еатральный костюм используется в инсценировках сказок  праздниках и утренниках   омплект включает платье и декоративные элементы образа   пособствует развитию художественно эстетического восприятия  эмоциональной выразительност"&amp;"и и ролевой игры ")</f>
        <v xml:space="preserve"> остюм   ринцесса  олушка   еатральный костюм используется в инсценировках сказок  праздниках и утренниках   омплект включает платье и декоративные элементы образа   пособствует развитию художественно эстетического восприятия  эмоциональной выразительности и ролевой игры </v>
      </c>
      <c r="G352" s="4" t="str">
        <f ca="1">IFERROR(__xludf.DUMMYFUNCTION("TEXTJOIN(""|"",TRUE,UNIQUE(FILTER(SPLIT(F352,"" ""),LEN(SPLIT(F352,"" ""))&gt;2)))"),"остюм|ринцесса|олушка|еатральный|костюм|используется|инсценировках|сказок|праздниках|утренниках|омплект|включает|платье|декоративные|элементы|образа|пособствует|развитию|художественно|эстетического|восприятия|эмоциональной|выразительности|ролевой|игры")</f>
        <v>остюм|ринцесса|олушка|еатральный|костюм|используется|инсценировках|сказок|праздниках|утренниках|омплект|включает|платье|декоративные|элементы|образа|пособствует|развитию|художественно|эстетического|восприятия|эмоциональной|выразительности|ролевой|игры</v>
      </c>
      <c r="I352" s="1"/>
      <c r="J352" s="1"/>
    </row>
    <row r="353" spans="1:10" x14ac:dyDescent="0.2">
      <c r="A353" s="8" t="s">
        <v>2561</v>
      </c>
      <c r="B353" s="7" t="s">
        <v>2560</v>
      </c>
      <c r="C353" s="7" t="s">
        <v>2559</v>
      </c>
      <c r="D353" s="6">
        <v>17800</v>
      </c>
      <c r="E353" s="5">
        <v>12</v>
      </c>
      <c r="F353" s="4" t="str">
        <f ca="1">IFERROR(__xludf.DUMMYFUNCTION("LOWER(REGEXREPLACE(B353&amp;"" ""&amp;C353,""[^а-яa-z0-9 ]"","" ""))")," остюм   нежинка   раздничный костюм применяется в новогодних и зимних утренниках    гкая текстильная конструкция не сковывает движений реб нка   спользуется в танцевальных номерах и театрализованных композициях  развивая чувство ритма и сценическую выраз"&amp;"ительность ")</f>
        <v xml:space="preserve"> остюм   нежинка   раздничный костюм применяется в новогодних и зимних утренниках    гкая текстильная конструкция не сковывает движений реб нка   спользуется в танцевальных номерах и театрализованных композициях  развивая чувство ритма и сценическую выразительность </v>
      </c>
      <c r="G353" s="4" t="str">
        <f ca="1">IFERROR(__xludf.DUMMYFUNCTION("TEXTJOIN(""|"",TRUE,UNIQUE(FILTER(SPLIT(F353,"" ""),LEN(SPLIT(F353,"" ""))&gt;2)))"),"остюм|нежинка|раздничный|костюм|применяется|новогодних|зимних|утренниках|гкая|текстильная|конструкция|сковывает|движений|реб|нка|спользуется|танцевальных|номерах|театрализованных|композициях|развивая|чувство|ритма|сценическую|выразительность")</f>
        <v>остюм|нежинка|раздничный|костюм|применяется|новогодних|зимних|утренниках|гкая|текстильная|конструкция|сковывает|движений|реб|нка|спользуется|танцевальных|номерах|театрализованных|композициях|развивая|чувство|ритма|сценическую|выразительность</v>
      </c>
      <c r="I353" s="1"/>
      <c r="J353" s="1"/>
    </row>
    <row r="354" spans="1:10" x14ac:dyDescent="0.2">
      <c r="A354" s="8" t="s">
        <v>2558</v>
      </c>
      <c r="B354" s="7" t="s">
        <v>2557</v>
      </c>
      <c r="C354" s="7" t="s">
        <v>2556</v>
      </c>
      <c r="D354" s="6">
        <v>25500</v>
      </c>
      <c r="E354" s="5">
        <v>5</v>
      </c>
      <c r="F354" s="4" t="str">
        <f ca="1">IFERROR(__xludf.DUMMYFUNCTION("LOWER(REGEXREPLACE(B354&amp;"" ""&amp;C354,""[^а-яa-z0-9 ]"","" ""))")," остюм   троитель   остюм предназначен для сюжетно ролевых игр  связанных с темой строительства и профессий    комплект входят элементы рабочей формы и защитные аксессуары   спользуется для разыгрывания строительных процессов  развития воображения и поним"&amp;"ания трудовой деятельности взрослых ")</f>
        <v xml:space="preserve"> остюм   троитель   остюм предназначен для сюжетно ролевых игр  связанных с темой строительства и профессий    комплект входят элементы рабочей формы и защитные аксессуары   спользуется для разыгрывания строительных процессов  развития воображения и понимания трудовой деятельности взрослых </v>
      </c>
      <c r="G354" s="4" t="str">
        <f ca="1">IFERROR(__xludf.DUMMYFUNCTION("TEXTJOIN(""|"",TRUE,UNIQUE(FILTER(SPLIT(F354,"" ""),LEN(SPLIT(F354,"" ""))&gt;2)))"),"остюм|троитель|остюм|предназначен|для|сюжетно|ролевых|игр|связанных|темой|строительства|профессий|комплект|входят|элементы|рабочей|формы|защитные|аксессуары|спользуется|для|разыгрывания|строительных|процессов|развития|воображения|понимания|трудовой|деятел"&amp;"ьности|взрослых")</f>
        <v>остюм|троитель|остюм|предназначен|для|сюжетно|ролевых|игр|связанных|темой|строительства|профессий|комплект|входят|элементы|рабочей|формы|защитные|аксессуары|спользуется|для|разыгрывания|строительных|процессов|развития|воображения|понимания|трудовой|деятельности|взрослых</v>
      </c>
      <c r="I354" s="1"/>
      <c r="J354" s="1"/>
    </row>
    <row r="355" spans="1:10" x14ac:dyDescent="0.2">
      <c r="A355" s="8" t="s">
        <v>2555</v>
      </c>
      <c r="B355" s="7" t="s">
        <v>2554</v>
      </c>
      <c r="C355" s="7" t="s">
        <v>2553</v>
      </c>
      <c r="D355" s="6">
        <v>10800</v>
      </c>
      <c r="E355" s="5">
        <v>14</v>
      </c>
      <c r="F355" s="4" t="str">
        <f ca="1">IFERROR(__xludf.DUMMYFUNCTION("LOWER(REGEXREPLACE(B355&amp;"" ""&amp;C355,""[^а-яa-z0-9 ]"","" ""))")," остюм врача  абор доктора детский           костюм врача для детей карнавальный для утренника  сада   3 предмета медика  халат  колпак  игрушка стетоскоп ")</f>
        <v xml:space="preserve"> остюм врача  абор доктора детский           костюм врача для детей карнавальный для утренника  сада   3 предмета медика  халат  колпак  игрушка стетоскоп </v>
      </c>
      <c r="G355" s="4" t="str">
        <f ca="1">IFERROR(__xludf.DUMMYFUNCTION("TEXTJOIN(""|"",TRUE,UNIQUE(FILTER(SPLIT(F355,"" ""),LEN(SPLIT(F355,"" ""))&gt;2)))"),"остюм|врача|абор|доктора|детский|костюм|врача|для|детей|карнавальный|для|утренника|сада|предмета|медика|халат|колпак|игрушка|стетоскоп")</f>
        <v>остюм|врача|абор|доктора|детский|костюм|врача|для|детей|карнавальный|для|утренника|сада|предмета|медика|халат|колпак|игрушка|стетоскоп</v>
      </c>
      <c r="I355" s="1"/>
      <c r="J355" s="1"/>
    </row>
    <row r="356" spans="1:10" x14ac:dyDescent="0.2">
      <c r="A356" s="8" t="s">
        <v>2552</v>
      </c>
      <c r="B356" s="7" t="s">
        <v>2551</v>
      </c>
      <c r="C356" s="7" t="s">
        <v>2550</v>
      </c>
      <c r="D356" s="6">
        <v>5200</v>
      </c>
      <c r="E356" s="5">
        <v>1</v>
      </c>
      <c r="F356" s="4" t="str">
        <f ca="1">IFERROR(__xludf.DUMMYFUNCTION("LOWER(REGEXREPLACE(B356&amp;"" ""&amp;C356,""[^а-яa-z0-9 ]"","" ""))"),"  ксерек   ерый лютый  каз рус яз      уезов")</f>
        <v xml:space="preserve">  ксерек   ерый лютый  каз рус яз      уезов</v>
      </c>
      <c r="G356" s="4" t="str">
        <f ca="1">IFERROR(__xludf.DUMMYFUNCTION("TEXTJOIN(""|"",TRUE,UNIQUE(FILTER(SPLIT(F356,"" ""),LEN(SPLIT(F356,"" ""))&gt;2)))"),"ксерек|ерый|лютый|каз|рус|уезов")</f>
        <v>ксерек|ерый|лютый|каз|рус|уезов</v>
      </c>
      <c r="I356" s="1"/>
      <c r="J356" s="1"/>
    </row>
    <row r="357" spans="1:10" x14ac:dyDescent="0.2">
      <c r="A357" s="8" t="s">
        <v>2549</v>
      </c>
      <c r="B357" s="7" t="s">
        <v>2548</v>
      </c>
      <c r="C357" s="7" t="s">
        <v>2547</v>
      </c>
      <c r="D357" s="6">
        <v>1700</v>
      </c>
      <c r="E357" s="5">
        <v>1</v>
      </c>
      <c r="F357" s="4" t="str">
        <f ca="1">IFERROR(__xludf.DUMMYFUNCTION("LOWER(REGEXREPLACE(B357&amp;"" ""&amp;C357,""[^а-яa-z0-9 ]"","" ""))"),"  ктем к н  к н лд     маков")</f>
        <v xml:space="preserve">  ктем к н  к н лд     маков</v>
      </c>
      <c r="G357" s="4" t="str">
        <f ca="1">IFERROR(__xludf.DUMMYFUNCTION("TEXTJOIN(""|"",TRUE,UNIQUE(FILTER(SPLIT(F357,"" ""),LEN(SPLIT(F357,"" ""))&gt;2)))"),"ктем|маков")</f>
        <v>ктем|маков</v>
      </c>
      <c r="I357" s="1"/>
      <c r="J357" s="1"/>
    </row>
    <row r="358" spans="1:10" x14ac:dyDescent="0.2">
      <c r="A358" s="8" t="s">
        <v>2546</v>
      </c>
      <c r="B358" s="7" t="s">
        <v>2545</v>
      </c>
      <c r="C358" s="7" t="s">
        <v>2544</v>
      </c>
      <c r="D358" s="6">
        <v>2800</v>
      </c>
      <c r="E358" s="5">
        <v>10</v>
      </c>
      <c r="F358" s="4" t="str">
        <f ca="1">IFERROR(__xludf.DUMMYFUNCTION("LOWER(REGEXREPLACE(B358&amp;"" ""&amp;C358,""[^а-яa-z0-9 ]"","" ""))")," раски акриловые  криловые краски на водной основе  предназначенные для детского творчества   езопасны  легко наносятся и быстро высыхают ")</f>
        <v xml:space="preserve"> раски акриловые  криловые краски на водной основе  предназначенные для детского творчества   езопасны  легко наносятся и быстро высыхают </v>
      </c>
      <c r="G358" s="4" t="str">
        <f ca="1">IFERROR(__xludf.DUMMYFUNCTION("TEXTJOIN(""|"",TRUE,UNIQUE(FILTER(SPLIT(F358,"" ""),LEN(SPLIT(F358,"" ""))&gt;2)))"),"раски|акриловые|криловые|краски|водной|основе|предназначенные|для|детского|творчества|езопасны|легко|наносятся|быстро|высыхают")</f>
        <v>раски|акриловые|криловые|краски|водной|основе|предназначенные|для|детского|творчества|езопасны|легко|наносятся|быстро|высыхают</v>
      </c>
      <c r="I358" s="1"/>
      <c r="J358" s="1"/>
    </row>
    <row r="359" spans="1:10" x14ac:dyDescent="0.2">
      <c r="A359" s="8" t="s">
        <v>2543</v>
      </c>
      <c r="B359" s="7" t="s">
        <v>2542</v>
      </c>
      <c r="C359" s="7" t="s">
        <v>2541</v>
      </c>
      <c r="D359" s="6">
        <v>7200</v>
      </c>
      <c r="E359" s="5">
        <v>1</v>
      </c>
      <c r="F359" s="4" t="str">
        <f ca="1">IFERROR(__xludf.DUMMYFUNCTION("LOWER(REGEXREPLACE(B359&amp;"" ""&amp;C359,""[^а-яa-z0-9 ]"","" ""))")," дебиет  лем не саяхат   рестоматия 2 4 сыныпка арнал ан   растыр ан     фтибекова")</f>
        <v xml:space="preserve"> дебиет  лем не саяхат   рестоматия 2 4 сыныпка арнал ан   растыр ан     фтибекова</v>
      </c>
      <c r="G359" s="4" t="str">
        <f ca="1">IFERROR(__xludf.DUMMYFUNCTION("TEXTJOIN(""|"",TRUE,UNIQUE(FILTER(SPLIT(F359,"" ""),LEN(SPLIT(F359,"" ""))&gt;2)))"),"дебиет|лем|саяхат|рестоматия|сыныпка|арнал|растыр|фтибекова")</f>
        <v>дебиет|лем|саяхат|рестоматия|сыныпка|арнал|растыр|фтибекова</v>
      </c>
      <c r="I359" s="1"/>
      <c r="J359" s="1"/>
    </row>
    <row r="360" spans="1:10" x14ac:dyDescent="0.2">
      <c r="A360" s="8" t="s">
        <v>2540</v>
      </c>
      <c r="B360" s="7" t="s">
        <v>2539</v>
      </c>
      <c r="C360" s="7" t="s">
        <v>2538</v>
      </c>
      <c r="D360" s="6">
        <v>22800</v>
      </c>
      <c r="E360" s="5">
        <v>5</v>
      </c>
      <c r="F360" s="4" t="str">
        <f ca="1">IFERROR(__xludf.DUMMYFUNCTION("LOWER(REGEXREPLACE(B360&amp;"" ""&amp;C360,""[^а-яa-z0-9 ]"","" ""))")," рупные напольные растения  задний план   рупные напольные растения используются для формирования визуального фона и зонирования пространства в интерьере   азмещаются вдоль стен  в углах помещений или за основными функциональными зонами  создавая ощущение"&amp;" уюта  заверш нности и природной гармонии   астения смягчают восприятие пространства  снижают визуальную перегруженность и способствуют формированию спокойной  комфортной атмосферы   огут применяться как элемент экологического воспитания  а также как част"&amp;"ь декоративного и сенсорного оформления среды   одбираются с уч том устойчивости  безопасности и удобства ухода в условиях постоянного пребывания детей ")</f>
        <v xml:space="preserve"> рупные напольные растения  задний план   рупные напольные растения используются для формирования визуального фона и зонирования пространства в интерьере   азмещаются вдоль стен  в углах помещений или за основными функциональными зонами  создавая ощущение уюта  заверш нности и природной гармонии   астения смягчают восприятие пространства  снижают визуальную перегруженность и способствуют формированию спокойной  комфортной атмосферы   огут применяться как элемент экологического воспитания  а также как часть декоративного и сенсорного оформления среды   одбираются с уч том устойчивости  безопасности и удобства ухода в условиях постоянного пребывания детей </v>
      </c>
      <c r="G360" s="4" t="str">
        <f ca="1">IFERROR(__xludf.DUMMYFUNCTION("TEXTJOIN(""|"",TRUE,UNIQUE(FILTER(SPLIT(F360,"" ""),LEN(SPLIT(F360,"" ""))&gt;2)))"),"рупные|напольные|растения|задний|план|рупные|напольные|растения|используются|для|формирования|визуального|фона|зонирования|пространства|интерьере|азмещаются|вдоль|стен|углах|помещений|или|основными|функциональными|зонами|создавая|ощущение|уюта|заверш|ннос"&amp;"ти|природной|гармонии|астения|смягчают|восприятие|пространства|снижают|визуальную|перегруженность|способствуют|формированию|спокойной|комфортной|атмосферы|огут|применяться|как|элемент|экологического|воспитания|также|как|часть|декоративного|сенсорного|офор"&amp;"мления|среды|одбираются|том|устойчивости|безопасности|удобства|ухода|условиях|постоянного|пребывания|детей")</f>
        <v>рупные|напольные|растения|задний|план|рупные|напольные|растения|используются|для|формирования|визуального|фона|зонирования|пространства|интерьере|азмещаются|вдоль|стен|углах|помещений|или|основными|функциональными|зонами|создавая|ощущение|уюта|заверш|нности|природной|гармонии|астения|смягчают|восприятие|пространства|снижают|визуальную|перегруженность|способствуют|формированию|спокойной|комфортной|атмосферы|огут|применяться|как|элемент|экологического|воспитания|также|как|часть|декоративного|сенсорного|оформления|среды|одбираются|том|устойчивости|безопасности|удобства|ухода|условиях|постоянного|пребывания|детей</v>
      </c>
      <c r="I360" s="1"/>
      <c r="J360" s="1"/>
    </row>
    <row r="361" spans="1:10" x14ac:dyDescent="0.2">
      <c r="A361" s="8" t="s">
        <v>2537</v>
      </c>
      <c r="B361" s="7" t="s">
        <v>2536</v>
      </c>
      <c r="C361" s="7" t="s">
        <v>2535</v>
      </c>
      <c r="D361" s="6">
        <v>11400</v>
      </c>
      <c r="E361" s="5">
        <v>1</v>
      </c>
      <c r="F361" s="4" t="str">
        <f ca="1">IFERROR(__xludf.DUMMYFUNCTION("LOWER(REGEXREPLACE(B361&amp;"" ""&amp;C361,""[^а-яa-z0-9 ]"","" ""))")," убики деревянные  еревянный кубик  размер не менее 70   70   70 мм  1 штука в комплекте  предназначен для строительных и развивающих игр в детском саду   спользуется в игровых и образовательных занятиях для формирования мелкой моторики  воображения  прос"&amp;"транственного мышления и навыков конструирования у детей дошкольного возраста  способствует развитию координации движений и командной работы")</f>
        <v xml:space="preserve"> убики деревянные  еревянный кубик  размер не менее 70   70   70 мм  1 штука в комплекте  предназначен для строительных и развивающих игр в детском саду   спользуется в игровых и образовательных занятиях для формирования мелкой моторики  воображения  пространственного мышления и навыков конструирования у детей дошкольного возраста  способствует развитию координации движений и командной работы</v>
      </c>
      <c r="G361" s="4" t="str">
        <f ca="1">IFERROR(__xludf.DUMMYFUNCTION("TEXTJOIN(""|"",TRUE,UNIQUE(FILTER(SPLIT(F361,"" ""),LEN(SPLIT(F361,"" ""))&gt;2)))"),"убики|деревянные|еревянный|кубик|размер|менее|штука|комплекте|предназначен|для|строительных|развивающих|игр|детском|саду|спользуется|игровых|образовательных|занятиях|для|формирования|мелкой|моторики|воображения|пространственного|мышления|навыков|конструир"&amp;"ования|детей|дошкольного|возраста|способствует|развитию|координации|движений|командной|работы")</f>
        <v>убики|деревянные|еревянный|кубик|размер|менее|штука|комплекте|предназначен|для|строительных|развивающих|игр|детском|саду|спользуется|игровых|образовательных|занятиях|для|формирования|мелкой|моторики|воображения|пространственного|мышления|навыков|конструирования|детей|дошкольного|возраста|способствует|развитию|координации|движений|командной|работы</v>
      </c>
      <c r="I361" s="1"/>
      <c r="J361" s="1"/>
    </row>
    <row r="362" spans="1:10" x14ac:dyDescent="0.2">
      <c r="A362" s="8" t="s">
        <v>2534</v>
      </c>
      <c r="B362" s="7" t="s">
        <v>2533</v>
      </c>
      <c r="C362" s="7" t="s">
        <v>2532</v>
      </c>
      <c r="D362" s="6">
        <v>9500</v>
      </c>
      <c r="E362" s="5">
        <v>5</v>
      </c>
      <c r="F362" s="4" t="str">
        <f ca="1">IFERROR(__xludf.DUMMYFUNCTION("LOWER(REGEXREPLACE(B362&amp;"" ""&amp;C362,""[^а-яa-z0-9 ]"","" ""))")," убики деревянные   лассика   абор разноцветных деревянных кубиков для свободного конструирования   спользуется в самостоятельной и совместной игре для построения простых и сложных форм   азвивает пространственное мышление  координацию движений и навыки к"&amp;"лассификации по цвету и форме ")</f>
        <v xml:space="preserve"> убики деревянные   лассика   абор разноцветных деревянных кубиков для свободного конструирования   спользуется в самостоятельной и совместной игре для построения простых и сложных форм   азвивает пространственное мышление  координацию движений и навыки классификации по цвету и форме </v>
      </c>
      <c r="G362" s="4" t="str">
        <f ca="1">IFERROR(__xludf.DUMMYFUNCTION("TEXTJOIN(""|"",TRUE,UNIQUE(FILTER(SPLIT(F362,"" ""),LEN(SPLIT(F362,"" ""))&gt;2)))"),"убики|деревянные|лассика|абор|разноцветных|деревянных|кубиков|для|свободного|конструирования|спользуется|самостоятельной|совместной|игре|для|построения|простых|сложных|форм|азвивает|пространственное|мышление|координацию|движений|навыки|классификации|цвету"&amp;"|форме")</f>
        <v>убики|деревянные|лассика|абор|разноцветных|деревянных|кубиков|для|свободного|конструирования|спользуется|самостоятельной|совместной|игре|для|построения|простых|сложных|форм|азвивает|пространственное|мышление|координацию|движений|навыки|классификации|цвету|форме</v>
      </c>
      <c r="I362" s="1"/>
      <c r="J362" s="1"/>
    </row>
    <row r="363" spans="1:10" x14ac:dyDescent="0.2">
      <c r="A363" s="8" t="s">
        <v>2531</v>
      </c>
      <c r="B363" s="7" t="s">
        <v>2530</v>
      </c>
      <c r="C363" s="7" t="s">
        <v>2529</v>
      </c>
      <c r="D363" s="6">
        <v>30400</v>
      </c>
      <c r="E363" s="5">
        <v>10</v>
      </c>
      <c r="F363" s="4" t="str">
        <f ca="1">IFERROR(__xludf.DUMMYFUNCTION("LOWER(REGEXREPLACE(B363&amp;"" ""&amp;C363,""[^а-яa-z0-9 ]"","" ""))")," убики для малышей  16 элементов  абор кубиков увеличенного размера  удобных для захвата детской рукой   рименяется в раннем возрасте для освоения базовых форм  цветов и простых конструкций   атериал л гкий  устойчивый к ударам  рассчитан на активное испо"&amp;"льзование ")</f>
        <v xml:space="preserve"> убики для малышей  16 элементов  абор кубиков увеличенного размера  удобных для захвата детской рукой   рименяется в раннем возрасте для освоения базовых форм  цветов и простых конструкций   атериал л гкий  устойчивый к ударам  рассчитан на активное использование </v>
      </c>
      <c r="G363" s="4" t="str">
        <f ca="1">IFERROR(__xludf.DUMMYFUNCTION("TEXTJOIN(""|"",TRUE,UNIQUE(FILTER(SPLIT(F363,"" ""),LEN(SPLIT(F363,"" ""))&gt;2)))"),"убики|для|малышей|элементов|абор|кубиков|увеличенного|размера|удобных|для|захвата|детской|рукой|рименяется|раннем|возрасте|для|освоения|базовых|форм|цветов|простых|конструкций|атериал|гкий|устойчивый|ударам|рассчитан|активное|использование")</f>
        <v>убики|для|малышей|элементов|абор|кубиков|увеличенного|размера|удобных|для|захвата|детской|рукой|рименяется|раннем|возрасте|для|освоения|базовых|форм|цветов|простых|конструкций|атериал|гкий|устойчивый|ударам|рассчитан|активное|использование</v>
      </c>
      <c r="I363" s="1"/>
      <c r="J363" s="1"/>
    </row>
    <row r="364" spans="1:10" x14ac:dyDescent="0.2">
      <c r="A364" s="8" t="s">
        <v>2528</v>
      </c>
      <c r="B364" s="7" t="s">
        <v>2527</v>
      </c>
      <c r="C364" s="7" t="s">
        <v>2526</v>
      </c>
      <c r="D364" s="6">
        <v>15200</v>
      </c>
      <c r="E364" s="5">
        <v>1</v>
      </c>
      <c r="F364" s="4" t="str">
        <f ca="1">IFERROR(__xludf.DUMMYFUNCTION("LOWER(REGEXREPLACE(B364&amp;"" ""&amp;C364,""[^а-яa-z0-9 ]"","" ""))")," убики развивающие для малышей  азноцветные кубики для свободной игры и первых конструктивных действий   спользуются для развития моторики рук  зрительного восприятия и координации   одходят для индивидуальной и групповой игровой деятельности ")</f>
        <v xml:space="preserve"> убики развивающие для малышей  азноцветные кубики для свободной игры и первых конструктивных действий   спользуются для развития моторики рук  зрительного восприятия и координации   одходят для индивидуальной и групповой игровой деятельности </v>
      </c>
      <c r="G364" s="4" t="str">
        <f ca="1">IFERROR(__xludf.DUMMYFUNCTION("TEXTJOIN(""|"",TRUE,UNIQUE(FILTER(SPLIT(F364,"" ""),LEN(SPLIT(F364,"" ""))&gt;2)))"),"убики|развивающие|для|малышей|азноцветные|кубики|для|свободной|игры|первых|конструктивных|действий|спользуются|для|развития|моторики|рук|зрительного|восприятия|координации|одходят|для|индивидуальной|групповой|игровой|деятельности")</f>
        <v>убики|развивающие|для|малышей|азноцветные|кубики|для|свободной|игры|первых|конструктивных|действий|спользуются|для|развития|моторики|рук|зрительного|восприятия|координации|одходят|для|индивидуальной|групповой|игровой|деятельности</v>
      </c>
      <c r="I364" s="1"/>
      <c r="J364" s="1"/>
    </row>
    <row r="365" spans="1:10" x14ac:dyDescent="0.2">
      <c r="A365" s="8" t="s">
        <v>2525</v>
      </c>
      <c r="B365" s="7" t="s">
        <v>2524</v>
      </c>
      <c r="C365" s="7" t="s">
        <v>2523</v>
      </c>
      <c r="D365" s="6">
        <v>61400</v>
      </c>
      <c r="E365" s="5">
        <v>7</v>
      </c>
      <c r="F365" s="4" t="str">
        <f ca="1">IFERROR(__xludf.DUMMYFUNCTION("LOWER(REGEXREPLACE(B365&amp;"" ""&amp;C365,""[^а-яa-z0-9 ]"","" ""))")," укла   улатка   укла для сюжетно ролевых игр  отражающая разнообразие внешности   спользуется для формирования толерантного восприятия и социальных навыков   одходит для повседневной игровой среды ")</f>
        <v xml:space="preserve"> укла   улатка   укла для сюжетно ролевых игр  отражающая разнообразие внешности   спользуется для формирования толерантного восприятия и социальных навыков   одходит для повседневной игровой среды </v>
      </c>
      <c r="G365" s="4" t="str">
        <f ca="1">IFERROR(__xludf.DUMMYFUNCTION("TEXTJOIN(""|"",TRUE,UNIQUE(FILTER(SPLIT(F365,"" ""),LEN(SPLIT(F365,"" ""))&gt;2)))"),"укла|улатка|укла|для|сюжетно|ролевых|игр|отражающая|разнообразие|внешности|спользуется|для|формирования|толерантного|восприятия|социальных|навыков|одходит|для|повседневной|игровой|среды")</f>
        <v>укла|улатка|укла|для|сюжетно|ролевых|игр|отражающая|разнообразие|внешности|спользуется|для|формирования|толерантного|восприятия|социальных|навыков|одходит|для|повседневной|игровой|среды</v>
      </c>
      <c r="I365" s="1"/>
      <c r="J365" s="1"/>
    </row>
    <row r="366" spans="1:10" x14ac:dyDescent="0.2">
      <c r="A366" s="8" t="s">
        <v>2522</v>
      </c>
      <c r="B366" s="7" t="s">
        <v>2521</v>
      </c>
      <c r="C366" s="7" t="s">
        <v>2520</v>
      </c>
      <c r="D366" s="6">
        <v>29100</v>
      </c>
      <c r="E366" s="5">
        <v>5</v>
      </c>
      <c r="F366" s="4" t="str">
        <f ca="1">IFERROR(__xludf.DUMMYFUNCTION("LOWER(REGEXREPLACE(B366&amp;"" ""&amp;C366,""[^а-яa-z0-9 ]"","" ""))")," укла в башкирском костюме  лассическая кукла в национальной одежде  предназначенная для тематических и сюжетных игр   ожет использоваться как часть образовательной среды при знакомстве с народными традициями   атериалы устойчивы к регулярному использован"&amp;"ию ")</f>
        <v xml:space="preserve"> укла в башкирском костюме  лассическая кукла в национальной одежде  предназначенная для тематических и сюжетных игр   ожет использоваться как часть образовательной среды при знакомстве с народными традициями   атериалы устойчивы к регулярному использованию </v>
      </c>
      <c r="G366" s="4" t="str">
        <f ca="1">IFERROR(__xludf.DUMMYFUNCTION("TEXTJOIN(""|"",TRUE,UNIQUE(FILTER(SPLIT(F366,"" ""),LEN(SPLIT(F366,"" ""))&gt;2)))"),"укла|башкирском|костюме|лассическая|кукла|национальной|одежде|предназначенная|для|тематических|сюжетных|игр|ожет|использоваться|как|часть|образовательной|среды|при|знакомстве|народными|традициями|атериалы|устойчивы|регулярному|использованию")</f>
        <v>укла|башкирском|костюме|лассическая|кукла|национальной|одежде|предназначенная|для|тематических|сюжетных|игр|ожет|использоваться|как|часть|образовательной|среды|при|знакомстве|народными|традициями|атериалы|устойчивы|регулярному|использованию</v>
      </c>
      <c r="I366" s="1"/>
      <c r="J366" s="1"/>
    </row>
    <row r="367" spans="1:10" x14ac:dyDescent="0.2">
      <c r="A367" s="8" t="s">
        <v>2519</v>
      </c>
      <c r="B367" s="7" t="s">
        <v>2518</v>
      </c>
      <c r="C367" s="7" t="s">
        <v>2517</v>
      </c>
      <c r="D367" s="6">
        <v>26800</v>
      </c>
      <c r="E367" s="5">
        <v>5</v>
      </c>
      <c r="F367" s="4" t="str">
        <f ca="1">IFERROR(__xludf.DUMMYFUNCTION("LOWER(REGEXREPLACE(B367&amp;"" ""&amp;C367,""[^а-яa-z0-9 ]"","" ""))")," укла в казахском национальном костюме  45 см   укла среднего размера в традиционной национальной одежде   рименяется в сюжетно ролевых играх  тематических занятиях и культурных уголках   онструкция позволяет переодевать куклу и менять игровые сценарии ")</f>
        <v xml:space="preserve"> укла в казахском национальном костюме  45 см   укла среднего размера в традиционной национальной одежде   рименяется в сюжетно ролевых играх  тематических занятиях и культурных уголках   онструкция позволяет переодевать куклу и менять игровые сценарии </v>
      </c>
      <c r="G367" s="4" t="str">
        <f ca="1">IFERROR(__xludf.DUMMYFUNCTION("TEXTJOIN(""|"",TRUE,UNIQUE(FILTER(SPLIT(F367,"" ""),LEN(SPLIT(F367,"" ""))&gt;2)))"),"укла|казахском|национальном|костюме|укла|среднего|размера|традиционной|национальной|одежде|рименяется|сюжетно|ролевых|играх|тематических|занятиях|культурных|уголках|онструкция|позволяет|переодевать|куклу|менять|игровые|сценарии")</f>
        <v>укла|казахском|национальном|костюме|укла|среднего|размера|традиционной|национальной|одежде|рименяется|сюжетно|ролевых|играх|тематических|занятиях|культурных|уголках|онструкция|позволяет|переодевать|куклу|менять|игровые|сценарии</v>
      </c>
      <c r="I367" s="1"/>
      <c r="J367" s="1"/>
    </row>
    <row r="368" spans="1:10" x14ac:dyDescent="0.2">
      <c r="A368" s="8" t="s">
        <v>2516</v>
      </c>
      <c r="B368" s="7" t="s">
        <v>2515</v>
      </c>
      <c r="C368" s="7" t="s">
        <v>2514</v>
      </c>
      <c r="D368" s="6">
        <v>39700</v>
      </c>
      <c r="E368" s="5">
        <v>7</v>
      </c>
      <c r="F368" s="4" t="str">
        <f ca="1">IFERROR(__xludf.DUMMYFUNCTION("LOWER(REGEXREPLACE(B368&amp;"" ""&amp;C368,""[^а-яa-z0-9 ]"","" ""))")," укла в национальном костюме  укла для сюжетных и театрализованных игр с акцентом на культурную тематику   спользуется для расширения кругозора и развития воображения   одходит для групповой и индивидуальной игровой деятельности ")</f>
        <v xml:space="preserve"> укла в национальном костюме  укла для сюжетных и театрализованных игр с акцентом на культурную тематику   спользуется для расширения кругозора и развития воображения   одходит для групповой и индивидуальной игровой деятельности </v>
      </c>
      <c r="G368" s="4" t="str">
        <f ca="1">IFERROR(__xludf.DUMMYFUNCTION("TEXTJOIN(""|"",TRUE,UNIQUE(FILTER(SPLIT(F368,"" ""),LEN(SPLIT(F368,"" ""))&gt;2)))"),"укла|национальном|костюме|укла|для|сюжетных|театрализованных|игр|акцентом|культурную|тематику|спользуется|для|расширения|кругозора|развития|воображения|одходит|для|групповой|индивидуальной|игровой|деятельности")</f>
        <v>укла|национальном|костюме|укла|для|сюжетных|театрализованных|игр|акцентом|культурную|тематику|спользуется|для|расширения|кругозора|развития|воображения|одходит|для|групповой|индивидуальной|игровой|деятельности</v>
      </c>
      <c r="I368" s="1"/>
      <c r="J368" s="1"/>
    </row>
    <row r="369" spans="1:10" x14ac:dyDescent="0.2">
      <c r="A369" s="8" t="s">
        <v>2513</v>
      </c>
      <c r="B369" s="7" t="s">
        <v>2512</v>
      </c>
      <c r="C369" s="7" t="s">
        <v>2189</v>
      </c>
      <c r="D369" s="6">
        <v>6800</v>
      </c>
      <c r="E369" s="5">
        <v>1</v>
      </c>
      <c r="F369" s="4" t="str">
        <f ca="1">IFERROR(__xludf.DUMMYFUNCTION("LOWER(REGEXREPLACE(B369&amp;"" ""&amp;C369,""[^а-яa-z0-9 ]"","" ""))")," депт л к  дем л к  тет леу лы   ")</f>
        <v xml:space="preserve"> депт л к  дем л к  тет леу лы   </v>
      </c>
      <c r="G369" s="4" t="str">
        <f ca="1">IFERROR(__xludf.DUMMYFUNCTION("TEXTJOIN(""|"",TRUE,UNIQUE(FILTER(SPLIT(F369,"" ""),LEN(SPLIT(F369,"" ""))&gt;2)))"),"депт|дем|тет|леу")</f>
        <v>депт|дем|тет|леу</v>
      </c>
      <c r="I369" s="1"/>
      <c r="J369" s="1"/>
    </row>
    <row r="370" spans="1:10" x14ac:dyDescent="0.2">
      <c r="A370" s="8" t="s">
        <v>2511</v>
      </c>
      <c r="B370" s="7" t="s">
        <v>2510</v>
      </c>
      <c r="C370" s="7" t="s">
        <v>2509</v>
      </c>
      <c r="D370" s="6">
        <v>24500</v>
      </c>
      <c r="E370" s="5">
        <v>5</v>
      </c>
      <c r="F370" s="4" t="str">
        <f ca="1">IFERROR(__xludf.DUMMYFUNCTION("LOWER(REGEXREPLACE(B370&amp;"" ""&amp;C370,""[^а-яa-z0-9 ]"","" ""))")," укла в национальном костюме  30 см   укла в традиционном национальном костюме  используемая в сюжетных играх и тематических занятиях   пособствует знакомству детей с культурным разнообразием и традициями   ожет применяться как игровая и демонстрационная "&amp;"единица ")</f>
        <v xml:space="preserve"> укла в национальном костюме  30 см   укла в традиционном национальном костюме  используемая в сюжетных играх и тематических занятиях   пособствует знакомству детей с культурным разнообразием и традициями   ожет применяться как игровая и демонстрационная единица </v>
      </c>
      <c r="G370" s="4" t="str">
        <f ca="1">IFERROR(__xludf.DUMMYFUNCTION("TEXTJOIN(""|"",TRUE,UNIQUE(FILTER(SPLIT(F370,"" ""),LEN(SPLIT(F370,"" ""))&gt;2)))"),"укла|национальном|костюме|укла|традиционном|национальном|костюме|используемая|сюжетных|играх|тематических|занятиях|пособствует|знакомству|детей|культурным|разнообразием|традициями|ожет|применяться|как|игровая|демонстрационная|единица")</f>
        <v>укла|национальном|костюме|укла|традиционном|национальном|костюме|используемая|сюжетных|играх|тематических|занятиях|пособствует|знакомству|детей|культурным|разнообразием|традициями|ожет|применяться|как|игровая|демонстрационная|единица</v>
      </c>
      <c r="I370" s="1"/>
      <c r="J370" s="1"/>
    </row>
    <row r="371" spans="1:10" x14ac:dyDescent="0.2">
      <c r="A371" s="8" t="s">
        <v>2508</v>
      </c>
      <c r="B371" s="7" t="s">
        <v>2507</v>
      </c>
      <c r="C371" s="7" t="s">
        <v>2506</v>
      </c>
      <c r="D371" s="6">
        <v>18100</v>
      </c>
      <c r="E371" s="5">
        <v>1</v>
      </c>
      <c r="F371" s="4" t="str">
        <f ca="1">IFERROR(__xludf.DUMMYFUNCTION("LOWER(REGEXREPLACE(B371&amp;"" ""&amp;C371,""[^а-яa-z0-9 ]"","" ""))")," укла говорящая  укла с функцией воспроизведения звуков и фраз   спользуется для стимулирования речевой активности и эмоционального отклика   одходит для индивидуальной и совместной игры ")</f>
        <v xml:space="preserve"> укла говорящая  укла с функцией воспроизведения звуков и фраз   спользуется для стимулирования речевой активности и эмоционального отклика   одходит для индивидуальной и совместной игры </v>
      </c>
      <c r="G371" s="4" t="str">
        <f ca="1">IFERROR(__xludf.DUMMYFUNCTION("TEXTJOIN(""|"",TRUE,UNIQUE(FILTER(SPLIT(F371,"" ""),LEN(SPLIT(F371,"" ""))&gt;2)))"),"укла|говорящая|укла|функцией|воспроизведения|звуков|фраз|спользуется|для|стимулирования|речевой|активности|эмоционального|отклика|одходит|для|индивидуальной|совместной|игры")</f>
        <v>укла|говорящая|укла|функцией|воспроизведения|звуков|фраз|спользуется|для|стимулирования|речевой|активности|эмоционального|отклика|одходит|для|индивидуальной|совместной|игры</v>
      </c>
      <c r="I371" s="1"/>
      <c r="J371" s="1"/>
    </row>
    <row r="372" spans="1:10" x14ac:dyDescent="0.2">
      <c r="A372" s="8" t="s">
        <v>2505</v>
      </c>
      <c r="B372" s="7" t="s">
        <v>2504</v>
      </c>
      <c r="C372" s="7" t="s">
        <v>2503</v>
      </c>
      <c r="D372" s="6">
        <v>26800</v>
      </c>
      <c r="E372" s="5">
        <v>5</v>
      </c>
      <c r="F372" s="4" t="str">
        <f ca="1">IFERROR(__xludf.DUMMYFUNCTION("LOWER(REGEXREPLACE(B372&amp;"" ""&amp;C372,""[^а-яa-z0-9 ]"","" ""))")," укла коллекционная в народном костюме  укла с детализированным костюмом  предназначенная для демонстрационных и игровых целей   рименяется в культурно образовательной среде   ожет использоваться как элемент экспозиции или спокойной сюжетной игры ")</f>
        <v xml:space="preserve"> укла коллекционная в народном костюме  укла с детализированным костюмом  предназначенная для демонстрационных и игровых целей   рименяется в культурно образовательной среде   ожет использоваться как элемент экспозиции или спокойной сюжетной игры </v>
      </c>
      <c r="G372" s="4" t="str">
        <f ca="1">IFERROR(__xludf.DUMMYFUNCTION("TEXTJOIN(""|"",TRUE,UNIQUE(FILTER(SPLIT(F372,"" ""),LEN(SPLIT(F372,"" ""))&gt;2)))"),"укла|коллекционная|народном|костюме|укла|детализированным|костюмом|предназначенная|для|демонстрационных|игровых|целей|рименяется|культурно|образовательной|среде|ожет|использоваться|как|элемент|экспозиции|или|спокойной|сюжетной|игры")</f>
        <v>укла|коллекционная|народном|костюме|укла|детализированным|костюмом|предназначенная|для|демонстрационных|игровых|целей|рименяется|культурно|образовательной|среде|ожет|использоваться|как|элемент|экспозиции|или|спокойной|сюжетной|игры</v>
      </c>
      <c r="I372" s="1"/>
      <c r="J372" s="1"/>
    </row>
    <row r="373" spans="1:10" x14ac:dyDescent="0.2">
      <c r="A373" s="8" t="s">
        <v>2502</v>
      </c>
      <c r="B373" s="7" t="s">
        <v>2501</v>
      </c>
      <c r="C373" s="7" t="s">
        <v>2500</v>
      </c>
      <c r="D373" s="6">
        <v>47500</v>
      </c>
      <c r="E373" s="5">
        <v>5</v>
      </c>
      <c r="F373" s="4" t="str">
        <f ca="1">IFERROR(__xludf.DUMMYFUNCTION("LOWER(REGEXREPLACE(B373&amp;"" ""&amp;C373,""[^а-яa-z0-9 ]"","" ""))")," укла коллекционная в праздничном костюме  екоративно игровая кукла небольшого размера  применяемая в оформлении тематических зон и аккуратных сюжетных играх   спользуется для визуального знакомства с национальными костюмами   ребует бережного обращения ")</f>
        <v xml:space="preserve"> укла коллекционная в праздничном костюме  екоративно игровая кукла небольшого размера  применяемая в оформлении тематических зон и аккуратных сюжетных играх   спользуется для визуального знакомства с национальными костюмами   ребует бережного обращения </v>
      </c>
      <c r="G373" s="4" t="str">
        <f ca="1">IFERROR(__xludf.DUMMYFUNCTION("TEXTJOIN(""|"",TRUE,UNIQUE(FILTER(SPLIT(F373,"" ""),LEN(SPLIT(F373,"" ""))&gt;2)))"),"укла|коллекционная|праздничном|костюме|екоративно|игровая|кукла|небольшого|размера|применяемая|оформлении|тематических|зон|аккуратных|сюжетных|играх|спользуется|для|визуального|знакомства|национальными|костюмами|ребует|бережного|обращения")</f>
        <v>укла|коллекционная|праздничном|костюме|екоративно|игровая|кукла|небольшого|размера|применяемая|оформлении|тематических|зон|аккуратных|сюжетных|играх|спользуется|для|визуального|знакомства|национальными|костюмами|ребует|бережного|обращения</v>
      </c>
      <c r="I373" s="1"/>
      <c r="J373" s="1"/>
    </row>
    <row r="374" spans="1:10" x14ac:dyDescent="0.2">
      <c r="A374" s="8" t="s">
        <v>2499</v>
      </c>
      <c r="B374" s="7" t="s">
        <v>2498</v>
      </c>
      <c r="C374" s="7" t="s">
        <v>2497</v>
      </c>
      <c r="D374" s="6">
        <v>25800</v>
      </c>
      <c r="E374" s="5">
        <v>5</v>
      </c>
      <c r="F374" s="4" t="str">
        <f ca="1">IFERROR(__xludf.DUMMYFUNCTION("LOWER(REGEXREPLACE(B374&amp;"" ""&amp;C374,""[^а-яa-z0-9 ]"","" ""))")," укла мальчик в национальном костюме  укла для сюжетных и ролевых игр  отражающая образ мальчика в традиционной одежде   спользуется для расширения представлений о культуре и социальных ролях   одходит для совместной игровой деятельности ")</f>
        <v xml:space="preserve"> укла мальчик в национальном костюме  укла для сюжетных и ролевых игр  отражающая образ мальчика в традиционной одежде   спользуется для расширения представлений о культуре и социальных ролях   одходит для совместной игровой деятельности </v>
      </c>
      <c r="G374" s="4" t="str">
        <f ca="1">IFERROR(__xludf.DUMMYFUNCTION("TEXTJOIN(""|"",TRUE,UNIQUE(FILTER(SPLIT(F374,"" ""),LEN(SPLIT(F374,"" ""))&gt;2)))"),"укла|мальчик|национальном|костюме|укла|для|сюжетных|ролевых|игр|отражающая|образ|мальчика|традиционной|одежде|спользуется|для|расширения|представлений|культуре|социальных|ролях|одходит|для|совместной|игровой|деятельности")</f>
        <v>укла|мальчик|национальном|костюме|укла|для|сюжетных|ролевых|игр|отражающая|образ|мальчика|традиционной|одежде|спользуется|для|расширения|представлений|культуре|социальных|ролях|одходит|для|совместной|игровой|деятельности</v>
      </c>
      <c r="I374" s="1"/>
      <c r="J374" s="1"/>
    </row>
    <row r="375" spans="1:10" x14ac:dyDescent="0.2">
      <c r="A375" s="8" t="s">
        <v>2496</v>
      </c>
      <c r="B375" s="7" t="s">
        <v>2495</v>
      </c>
      <c r="C375" s="7" t="s">
        <v>2494</v>
      </c>
      <c r="D375" s="6">
        <v>4900</v>
      </c>
      <c r="E375" s="5">
        <v>7</v>
      </c>
      <c r="F375" s="4" t="str">
        <f ca="1">IFERROR(__xludf.DUMMYFUNCTION("LOWER(REGEXREPLACE(B375&amp;"" ""&amp;C375,""[^а-яa-z0-9 ]"","" ""))")," укла мягкая тряпичная  ягкая кукла из текстильных материалов  удобная для обнимания и спокойных игр   спользуется в уголках уединения и сюжетных играх   езопасна для детей младшего возраста ")</f>
        <v xml:space="preserve"> укла мягкая тряпичная  ягкая кукла из текстильных материалов  удобная для обнимания и спокойных игр   спользуется в уголках уединения и сюжетных играх   езопасна для детей младшего возраста </v>
      </c>
      <c r="G375" s="4" t="str">
        <f ca="1">IFERROR(__xludf.DUMMYFUNCTION("TEXTJOIN(""|"",TRUE,UNIQUE(FILTER(SPLIT(F375,"" ""),LEN(SPLIT(F375,"" ""))&gt;2)))"),"укла|мягкая|тряпичная|ягкая|кукла|текстильных|материалов|удобная|для|обнимания|спокойных|игр|спользуется|уголках|уединения|сюжетных|играх|езопасна|для|детей|младшего|возраста")</f>
        <v>укла|мягкая|тряпичная|ягкая|кукла|текстильных|материалов|удобная|для|обнимания|спокойных|игр|спользуется|уголках|уединения|сюжетных|играх|езопасна|для|детей|младшего|возраста</v>
      </c>
      <c r="I375" s="1"/>
      <c r="J375" s="1"/>
    </row>
    <row r="376" spans="1:10" x14ac:dyDescent="0.2">
      <c r="A376" s="8" t="s">
        <v>2493</v>
      </c>
      <c r="B376" s="7" t="s">
        <v>2492</v>
      </c>
      <c r="C376" s="7" t="s">
        <v>2491</v>
      </c>
      <c r="D376" s="6">
        <v>31900</v>
      </c>
      <c r="E376" s="5">
        <v>10</v>
      </c>
      <c r="F376" s="4" t="str">
        <f ca="1">IFERROR(__xludf.DUMMYFUNCTION("LOWER(REGEXREPLACE(B376&amp;"" ""&amp;C376,""[^а-яa-z0-9 ]"","" ""))")," укла озвученная  52 см   укла увеличенного размера  предназначенная для сюжетно ролевых игр и игровых ситуаций  связанных с общением и заботой   спользуется в игровой среде для развития речи  эмоциональной отзывчивости и социальных навыков   онструкция п"&amp;"озволяет удерживать куклу в сидячем и стоячем положении ")</f>
        <v xml:space="preserve"> укла озвученная  52 см   укла увеличенного размера  предназначенная для сюжетно ролевых игр и игровых ситуаций  связанных с общением и заботой   спользуется в игровой среде для развития речи  эмоциональной отзывчивости и социальных навыков   онструкция позволяет удерживать куклу в сидячем и стоячем положении </v>
      </c>
      <c r="G376" s="4" t="str">
        <f ca="1">IFERROR(__xludf.DUMMYFUNCTION("TEXTJOIN(""|"",TRUE,UNIQUE(FILTER(SPLIT(F376,"" ""),LEN(SPLIT(F376,"" ""))&gt;2)))"),"укла|озвученная|укла|увеличенного|размера|предназначенная|для|сюжетно|ролевых|игр|игровых|ситуаций|связанных|общением|заботой|спользуется|игровой|среде|для|развития|речи|эмоциональной|отзывчивости|социальных|навыков|онструкция|позволяет|удерживать|куклу|с"&amp;"идячем|стоячем|положении")</f>
        <v>укла|озвученная|укла|увеличенного|размера|предназначенная|для|сюжетно|ролевых|игр|игровых|ситуаций|связанных|общением|заботой|спользуется|игровой|среде|для|развития|речи|эмоциональной|отзывчивости|социальных|навыков|онструкция|позволяет|удерживать|куклу|сидячем|стоячем|положении</v>
      </c>
      <c r="I376" s="1"/>
      <c r="J376" s="1"/>
    </row>
    <row r="377" spans="1:10" x14ac:dyDescent="0.2">
      <c r="A377" s="8" t="s">
        <v>2490</v>
      </c>
      <c r="B377" s="7" t="s">
        <v>2489</v>
      </c>
      <c r="C377" s="7" t="s">
        <v>2488</v>
      </c>
      <c r="D377" s="6">
        <v>9500</v>
      </c>
      <c r="E377" s="5">
        <v>3</v>
      </c>
      <c r="F377" s="4" t="str">
        <f ca="1">IFERROR(__xludf.DUMMYFUNCTION("LOWER(REGEXREPLACE(B377&amp;"" ""&amp;C377,""[^а-яa-z0-9 ]"","" ""))")," укла пластмассовая для сюжетных игр  укла среднего размера  предназначенная для активных ролевых игр   ожет использоваться в игровых ситуациях  связанных с семь й  профессиями и бытом   оддерживает развитие речи и воображения ")</f>
        <v xml:space="preserve"> укла пластмассовая для сюжетных игр  укла среднего размера  предназначенная для активных ролевых игр   ожет использоваться в игровых ситуациях  связанных с семь й  профессиями и бытом   оддерживает развитие речи и воображения </v>
      </c>
      <c r="G377" s="4" t="str">
        <f ca="1">IFERROR(__xludf.DUMMYFUNCTION("TEXTJOIN(""|"",TRUE,UNIQUE(FILTER(SPLIT(F377,"" ""),LEN(SPLIT(F377,"" ""))&gt;2)))"),"укла|пластмассовая|для|сюжетных|игр|укла|среднего|размера|предназначенная|для|активных|ролевых|игр|ожет|использоваться|игровых|ситуациях|связанных|семь|профессиями|бытом|оддерживает|развитие|речи|воображения")</f>
        <v>укла|пластмассовая|для|сюжетных|игр|укла|среднего|размера|предназначенная|для|активных|ролевых|игр|ожет|использоваться|игровых|ситуациях|связанных|семь|профессиями|бытом|оддерживает|развитие|речи|воображения</v>
      </c>
      <c r="I377" s="1"/>
      <c r="J377" s="1"/>
    </row>
    <row r="378" spans="1:10" x14ac:dyDescent="0.2">
      <c r="A378" s="8" t="s">
        <v>2487</v>
      </c>
      <c r="B378" s="7" t="s">
        <v>2486</v>
      </c>
      <c r="C378" s="7" t="s">
        <v>2485</v>
      </c>
      <c r="D378" s="6">
        <v>14200</v>
      </c>
      <c r="E378" s="5">
        <v>8</v>
      </c>
      <c r="F378" s="4" t="str">
        <f ca="1">IFERROR(__xludf.DUMMYFUNCTION("LOWER(REGEXREPLACE(B378&amp;"" ""&amp;C378,""[^а-яa-z0-9 ]"","" ""))")," укла пупс  еалистичная кукла пупс для игр  связанных с уходом и заботой   спользуется в сюжетах  семья    детский сад    дом    пособствует развитию эмоциональной сферы и навыков заботы ")</f>
        <v xml:space="preserve"> укла пупс  еалистичная кукла пупс для игр  связанных с уходом и заботой   спользуется в сюжетах  семья    детский сад    дом    пособствует развитию эмоциональной сферы и навыков заботы </v>
      </c>
      <c r="G378" s="4" t="str">
        <f ca="1">IFERROR(__xludf.DUMMYFUNCTION("TEXTJOIN(""|"",TRUE,UNIQUE(FILTER(SPLIT(F378,"" ""),LEN(SPLIT(F378,"" ""))&gt;2)))"),"укла|пупс|еалистичная|кукла|пупс|для|игр|связанных|уходом|заботой|спользуется|сюжетах|семья|детский|сад|дом|пособствует|развитию|эмоциональной|сферы|навыков|заботы")</f>
        <v>укла|пупс|еалистичная|кукла|пупс|для|игр|связанных|уходом|заботой|спользуется|сюжетах|семья|детский|сад|дом|пособствует|развитию|эмоциональной|сферы|навыков|заботы</v>
      </c>
      <c r="I378" s="1"/>
      <c r="J378" s="1"/>
    </row>
    <row r="379" spans="1:10" x14ac:dyDescent="0.2">
      <c r="A379" s="8" t="s">
        <v>2484</v>
      </c>
      <c r="B379" s="7" t="s">
        <v>2483</v>
      </c>
      <c r="C379" s="7" t="s">
        <v>2482</v>
      </c>
      <c r="D379" s="6">
        <v>7600</v>
      </c>
      <c r="E379" s="5">
        <v>1</v>
      </c>
      <c r="F379" s="4" t="str">
        <f ca="1">IFERROR(__xludf.DUMMYFUNCTION("LOWER(REGEXREPLACE(B379&amp;"" ""&amp;C379,""[^а-яa-z0-9 ]"","" ""))")," укла пупс с аксессуарами  гровой набор  включающий куклу пупса и предметы ухода   спользуется для разыгрывания бытовых ситуаций   азвивает последовательность действий и ролевое мышление ")</f>
        <v xml:space="preserve"> укла пупс с аксессуарами  гровой набор  включающий куклу пупса и предметы ухода   спользуется для разыгрывания бытовых ситуаций   азвивает последовательность действий и ролевое мышление </v>
      </c>
      <c r="G379" s="4" t="str">
        <f ca="1">IFERROR(__xludf.DUMMYFUNCTION("TEXTJOIN(""|"",TRUE,UNIQUE(FILTER(SPLIT(F379,"" ""),LEN(SPLIT(F379,"" ""))&gt;2)))"),"укла|пупс|аксессуарами|гровой|набор|включающий|куклу|пупса|предметы|ухода|спользуется|для|разыгрывания|бытовых|ситуаций|азвивает|последовательность|действий|ролевое|мышление")</f>
        <v>укла|пупс|аксессуарами|гровой|набор|включающий|куклу|пупса|предметы|ухода|спользуется|для|разыгрывания|бытовых|ситуаций|азвивает|последовательность|действий|ролевое|мышление</v>
      </c>
      <c r="I379" s="1"/>
      <c r="J379" s="1"/>
    </row>
    <row r="380" spans="1:10" x14ac:dyDescent="0.2">
      <c r="A380" s="8" t="s">
        <v>2481</v>
      </c>
      <c r="B380" s="7" t="s">
        <v>2480</v>
      </c>
      <c r="C380" s="7" t="s">
        <v>2479</v>
      </c>
      <c r="D380" s="6">
        <v>27900</v>
      </c>
      <c r="E380" s="5">
        <v>1</v>
      </c>
      <c r="F380" s="4" t="str">
        <f ca="1">IFERROR(__xludf.DUMMYFUNCTION("LOWER(REGEXREPLACE(B380&amp;"" ""&amp;C380,""[^а-яa-z0-9 ]"","" ""))")," лемн   м дени жау арлары под ред      анфорд  перевод  арипова    ")</f>
        <v xml:space="preserve"> лемн   м дени жау арлары под ред      анфорд  перевод  арипова    </v>
      </c>
      <c r="G380" s="4" t="str">
        <f ca="1">IFERROR(__xludf.DUMMYFUNCTION("TEXTJOIN(""|"",TRUE,UNIQUE(FILTER(SPLIT(F380,"" ""),LEN(SPLIT(F380,"" ""))&gt;2)))"),"лемн|дени|жау|арлары|под|ред|анфорд|перевод|арипова")</f>
        <v>лемн|дени|жау|арлары|под|ред|анфорд|перевод|арипова</v>
      </c>
      <c r="I380" s="1"/>
      <c r="J380" s="1"/>
    </row>
    <row r="381" spans="1:10" x14ac:dyDescent="0.2">
      <c r="A381" s="8" t="s">
        <v>2478</v>
      </c>
      <c r="B381" s="7" t="s">
        <v>2477</v>
      </c>
      <c r="C381" s="7" t="s">
        <v>2476</v>
      </c>
      <c r="D381" s="6">
        <v>21900</v>
      </c>
      <c r="E381" s="5">
        <v>1</v>
      </c>
      <c r="F381" s="4" t="str">
        <f ca="1">IFERROR(__xludf.DUMMYFUNCTION("LOWER(REGEXREPLACE(B381&amp;"" ""&amp;C381,""[^а-яa-z0-9 ]"","" ""))")," укла пупс с коляской  укла с элементом передвижения  применяемая в сюжетно ролевых играх   озволяет моделировать прогулки и бытовые ситуации   азвивает координацию движений и социальные навыки ")</f>
        <v xml:space="preserve"> укла пупс с коляской  укла с элементом передвижения  применяемая в сюжетно ролевых играх   озволяет моделировать прогулки и бытовые ситуации   азвивает координацию движений и социальные навыки </v>
      </c>
      <c r="G381" s="4" t="str">
        <f ca="1">IFERROR(__xludf.DUMMYFUNCTION("TEXTJOIN(""|"",TRUE,UNIQUE(FILTER(SPLIT(F381,"" ""),LEN(SPLIT(F381,"" ""))&gt;2)))"),"укла|пупс|коляской|укла|элементом|передвижения|применяемая|сюжетно|ролевых|играх|озволяет|моделировать|прогулки|бытовые|ситуации|азвивает|координацию|движений|социальные|навыки")</f>
        <v>укла|пупс|коляской|укла|элементом|передвижения|применяемая|сюжетно|ролевых|играх|озволяет|моделировать|прогулки|бытовые|ситуации|азвивает|координацию|движений|социальные|навыки</v>
      </c>
      <c r="I381" s="1"/>
      <c r="J381" s="1"/>
    </row>
    <row r="382" spans="1:10" x14ac:dyDescent="0.2">
      <c r="A382" s="8" t="s">
        <v>2475</v>
      </c>
      <c r="B382" s="7" t="s">
        <v>2474</v>
      </c>
      <c r="C382" s="7" t="s">
        <v>2473</v>
      </c>
      <c r="D382" s="6">
        <v>38800</v>
      </c>
      <c r="E382" s="5">
        <v>12</v>
      </c>
      <c r="F382" s="4" t="str">
        <f ca="1">IFERROR(__xludf.DUMMYFUNCTION("LOWER(REGEXREPLACE(B382&amp;"" ""&amp;C382,""[^а-яa-z0-9 ]"","" ""))")," укла с инвалидным креслом  гровой набор  включающий куклу и элемент среды для передвижения   спользуется в сюжетно ролевых играх для формирования представлений о разнообразии жизненных ситуаций и социальной поддержке   оддерживает развитие эмпатии и соци"&amp;"альных навыков ")</f>
        <v xml:space="preserve"> укла с инвалидным креслом  гровой набор  включающий куклу и элемент среды для передвижения   спользуется в сюжетно ролевых играх для формирования представлений о разнообразии жизненных ситуаций и социальной поддержке   оддерживает развитие эмпатии и социальных навыков </v>
      </c>
      <c r="G382" s="4" t="str">
        <f ca="1">IFERROR(__xludf.DUMMYFUNCTION("TEXTJOIN(""|"",TRUE,UNIQUE(FILTER(SPLIT(F382,"" ""),LEN(SPLIT(F382,"" ""))&gt;2)))"),"укла|инвалидным|креслом|гровой|набор|включающий|куклу|элемент|среды|для|передвижения|спользуется|сюжетно|ролевых|играх|для|формирования|представлений|разнообразии|жизненных|ситуаций|социальной|поддержке|оддерживает|развитие|эмпатии|социальных|навыков")</f>
        <v>укла|инвалидным|креслом|гровой|набор|включающий|куклу|элемент|среды|для|передвижения|спользуется|сюжетно|ролевых|играх|для|формирования|представлений|разнообразии|жизненных|ситуаций|социальной|поддержке|оддерживает|развитие|эмпатии|социальных|навыков</v>
      </c>
      <c r="I382" s="1"/>
      <c r="J382" s="1"/>
    </row>
    <row r="383" spans="1:10" x14ac:dyDescent="0.2">
      <c r="A383" s="8" t="s">
        <v>2472</v>
      </c>
      <c r="B383" s="7" t="s">
        <v>2471</v>
      </c>
      <c r="C383" s="7" t="s">
        <v>2470</v>
      </c>
      <c r="D383" s="6">
        <v>11400</v>
      </c>
      <c r="E383" s="5">
        <v>1</v>
      </c>
      <c r="F383" s="4" t="str">
        <f ca="1">IFERROR(__xludf.DUMMYFUNCTION("LOWER(REGEXREPLACE(B383&amp;"" ""&amp;C383,""[^а-яa-z0-9 ]"","" ""))")," укла с набором одежды  укла с комплектом сменной одежды и аксессуаров   спользуется для игр с переодеванием и сменой образов   азвивает мелкую моторику  воображение и навыки самостоятельности ")</f>
        <v xml:space="preserve"> укла с набором одежды  укла с комплектом сменной одежды и аксессуаров   спользуется для игр с переодеванием и сменой образов   азвивает мелкую моторику  воображение и навыки самостоятельности </v>
      </c>
      <c r="G383" s="4" t="str">
        <f ca="1">IFERROR(__xludf.DUMMYFUNCTION("TEXTJOIN(""|"",TRUE,UNIQUE(FILTER(SPLIT(F383,"" ""),LEN(SPLIT(F383,"" ""))&gt;2)))"),"укла|набором|одежды|укла|комплектом|сменной|одежды|аксессуаров|спользуется|для|игр|переодеванием|сменой|образов|азвивает|мелкую|моторику|воображение|навыки|самостоятельности")</f>
        <v>укла|набором|одежды|укла|комплектом|сменной|одежды|аксессуаров|спользуется|для|игр|переодеванием|сменой|образов|азвивает|мелкую|моторику|воображение|навыки|самостоятельности</v>
      </c>
      <c r="I383" s="1"/>
      <c r="J383" s="1"/>
    </row>
    <row r="384" spans="1:10" x14ac:dyDescent="0.2">
      <c r="A384" s="8" t="s">
        <v>2469</v>
      </c>
      <c r="B384" s="7" t="s">
        <v>2468</v>
      </c>
      <c r="C384" s="7" t="s">
        <v>2467</v>
      </c>
      <c r="D384" s="6">
        <v>44400</v>
      </c>
      <c r="E384" s="5">
        <v>7</v>
      </c>
      <c r="F384" s="4" t="str">
        <f ca="1">IFERROR(__xludf.DUMMYFUNCTION("LOWER(REGEXREPLACE(B384&amp;"" ""&amp;C384,""[^а-яa-z0-9 ]"","" ""))")," укла малышка шарнирная  ебольшая шарнирная кукла с аксессуарами для сюжетных игр   спользуется в игровых сценариях  связанных с хобби и повседневной деятельностью   оддерживает развитие фантазии и мелкой моторики ")</f>
        <v xml:space="preserve"> укла малышка шарнирная  ебольшая шарнирная кукла с аксессуарами для сюжетных игр   спользуется в игровых сценариях  связанных с хобби и повседневной деятельностью   оддерживает развитие фантазии и мелкой моторики </v>
      </c>
      <c r="G384" s="4" t="str">
        <f ca="1">IFERROR(__xludf.DUMMYFUNCTION("TEXTJOIN(""|"",TRUE,UNIQUE(FILTER(SPLIT(F384,"" ""),LEN(SPLIT(F384,"" ""))&gt;2)))"),"укла|малышка|шарнирная|ебольшая|шарнирная|кукла|аксессуарами|для|сюжетных|игр|спользуется|игровых|сценариях|связанных|хобби|повседневной|деятельностью|оддерживает|развитие|фантазии|мелкой|моторики")</f>
        <v>укла|малышка|шарнирная|ебольшая|шарнирная|кукла|аксессуарами|для|сюжетных|игр|спользуется|игровых|сценариях|связанных|хобби|повседневной|деятельностью|оддерживает|развитие|фантазии|мелкой|моторики</v>
      </c>
      <c r="I384" s="1"/>
      <c r="J384" s="1"/>
    </row>
    <row r="385" spans="1:10" x14ac:dyDescent="0.2">
      <c r="A385" s="8" t="s">
        <v>2466</v>
      </c>
      <c r="B385" s="7" t="s">
        <v>2465</v>
      </c>
      <c r="C385" s="7" t="s">
        <v>2464</v>
      </c>
      <c r="D385" s="6">
        <v>5700</v>
      </c>
      <c r="E385" s="5">
        <v>7</v>
      </c>
      <c r="F385" s="4" t="str">
        <f ca="1">IFERROR(__xludf.DUMMYFUNCTION("LOWER(REGEXREPLACE(B385&amp;"" ""&amp;C385,""[^а-яa-z0-9 ]"","" ""))")," укла малышка шарнирная бьюти блогер  арнирная кукла небольшого размера с аксессуарами  предназначенная для сюжетно ролевых игр   спользуется для разыгрывания современных социальных ролей  развития воображения  речи и коммуникативных навыков   арнирное ст"&amp;"роение позволяет менять позы и расширяет игровые сценарии ")</f>
        <v xml:space="preserve"> укла малышка шарнирная бьюти блогер  арнирная кукла небольшого размера с аксессуарами  предназначенная для сюжетно ролевых игр   спользуется для разыгрывания современных социальных ролей  развития воображения  речи и коммуникативных навыков   арнирное строение позволяет менять позы и расширяет игровые сценарии </v>
      </c>
      <c r="G385" s="4" t="str">
        <f ca="1">IFERROR(__xludf.DUMMYFUNCTION("TEXTJOIN(""|"",TRUE,UNIQUE(FILTER(SPLIT(F385,"" ""),LEN(SPLIT(F385,"" ""))&gt;2)))"),"укла|малышка|шарнирная|бьюти|блогер|арнирная|кукла|небольшого|размера|аксессуарами|предназначенная|для|сюжетно|ролевых|игр|спользуется|для|разыгрывания|современных|социальных|ролей|развития|воображения|речи|коммуникативных|навыков|арнирное|строение|позвол"&amp;"яет|менять|позы|расширяет|игровые|сценарии")</f>
        <v>укла|малышка|шарнирная|бьюти|блогер|арнирная|кукла|небольшого|размера|аксессуарами|предназначенная|для|сюжетно|ролевых|игр|спользуется|для|разыгрывания|современных|социальных|ролей|развития|воображения|речи|коммуникативных|навыков|арнирное|строение|позволяет|менять|позы|расширяет|игровые|сценарии</v>
      </c>
      <c r="I385" s="1"/>
      <c r="J385" s="1"/>
    </row>
    <row r="386" spans="1:10" x14ac:dyDescent="0.2">
      <c r="A386" s="8" t="s">
        <v>2463</v>
      </c>
      <c r="B386" s="7" t="s">
        <v>2462</v>
      </c>
      <c r="C386" s="7" t="s">
        <v>2461</v>
      </c>
      <c r="D386" s="6">
        <v>22800</v>
      </c>
      <c r="E386" s="5">
        <v>35</v>
      </c>
      <c r="F386" s="4" t="str">
        <f ca="1">IFERROR(__xludf.DUMMYFUNCTION("LOWER(REGEXREPLACE(B386&amp;"" ""&amp;C386,""[^а-яa-z0-9 ]"","" ""))")," уклы  абор кукол для организации сюжетно ролевых игр в группах дошкольного возраста   спользуются для моделирования социальных ситуаций  развития эмоционального интеллекта  речи и навыков взаимодействия   одходят для индивидуальной и групповой игровой де"&amp;"ятельности ")</f>
        <v xml:space="preserve"> уклы  абор кукол для организации сюжетно ролевых игр в группах дошкольного возраста   спользуются для моделирования социальных ситуаций  развития эмоционального интеллекта  речи и навыков взаимодействия   одходят для индивидуальной и групповой игровой деятельности </v>
      </c>
      <c r="G386" s="4" t="str">
        <f ca="1">IFERROR(__xludf.DUMMYFUNCTION("TEXTJOIN(""|"",TRUE,UNIQUE(FILTER(SPLIT(F386,"" ""),LEN(SPLIT(F386,"" ""))&gt;2)))"),"уклы|абор|кукол|для|организации|сюжетно|ролевых|игр|группах|дошкольного|возраста|спользуются|для|моделирования|социальных|ситуаций|развития|эмоционального|интеллекта|речи|навыков|взаимодействия|одходят|для|индивидуальной|групповой|игровой|деятельности")</f>
        <v>уклы|абор|кукол|для|организации|сюжетно|ролевых|игр|группах|дошкольного|возраста|спользуются|для|моделирования|социальных|ситуаций|развития|эмоционального|интеллекта|речи|навыков|взаимодействия|одходят|для|индивидуальной|групповой|игровой|деятельности</v>
      </c>
      <c r="I386" s="1"/>
      <c r="J386" s="1"/>
    </row>
    <row r="387" spans="1:10" x14ac:dyDescent="0.2">
      <c r="A387" s="8" t="s">
        <v>2460</v>
      </c>
      <c r="B387" s="7" t="s">
        <v>2459</v>
      </c>
      <c r="C387" s="7" t="s">
        <v>2458</v>
      </c>
      <c r="D387" s="6">
        <v>10800</v>
      </c>
      <c r="E387" s="5">
        <v>5</v>
      </c>
      <c r="F387" s="4" t="str">
        <f ca="1">IFERROR(__xludf.DUMMYFUNCTION("LOWER(REGEXREPLACE(B387&amp;"" ""&amp;C387,""[^а-яa-z0-9 ]"","" ""))")," укольная марионетка  клоун   еревянная кукла марионетка для театрализованных и игровых занятий   спользуется для развития координации движений  внимания и выразительности   одходит для совместной деятельности с педагогом ")</f>
        <v xml:space="preserve"> укольная марионетка  клоун   еревянная кукла марионетка для театрализованных и игровых занятий   спользуется для развития координации движений  внимания и выразительности   одходит для совместной деятельности с педагогом </v>
      </c>
      <c r="G387" s="4" t="str">
        <f ca="1">IFERROR(__xludf.DUMMYFUNCTION("TEXTJOIN(""|"",TRUE,UNIQUE(FILTER(SPLIT(F387,"" ""),LEN(SPLIT(F387,"" ""))&gt;2)))"),"укольная|марионетка|клоун|еревянная|кукла|марионетка|для|театрализованных|игровых|занятий|спользуется|для|развития|координации|движений|внимания|выразительности|одходит|для|совместной|деятельности|педагогом")</f>
        <v>укольная|марионетка|клоун|еревянная|кукла|марионетка|для|театрализованных|игровых|занятий|спользуется|для|развития|координации|движений|внимания|выразительности|одходит|для|совместной|деятельности|педагогом</v>
      </c>
      <c r="I387" s="1"/>
      <c r="J387" s="1"/>
    </row>
    <row r="388" spans="1:10" x14ac:dyDescent="0.2">
      <c r="A388" s="8" t="s">
        <v>2457</v>
      </c>
      <c r="B388" s="7" t="s">
        <v>2456</v>
      </c>
      <c r="C388" s="7" t="s">
        <v>2455</v>
      </c>
      <c r="D388" s="6">
        <v>47500</v>
      </c>
      <c r="E388" s="5">
        <v>12</v>
      </c>
      <c r="F388" s="4" t="str">
        <f ca="1">IFERROR(__xludf.DUMMYFUNCTION("LOWER(REGEXREPLACE(B388&amp;"" ""&amp;C388,""[^а-яa-z0-9 ]"","" ""))")," укольный дом  гровой кукольный дом с мебелью и аксессуарами  предназначенный для разыгрывания бытовых и семейных сюжетов   спользуется для развития воображения  социальных навыков и понимания последовательности действий   одходит для совместных игр неско"&amp;"льких детей ")</f>
        <v xml:space="preserve"> укольный дом  гровой кукольный дом с мебелью и аксессуарами  предназначенный для разыгрывания бытовых и семейных сюжетов   спользуется для развития воображения  социальных навыков и понимания последовательности действий   одходит для совместных игр нескольких детей </v>
      </c>
      <c r="G388" s="4" t="str">
        <f ca="1">IFERROR(__xludf.DUMMYFUNCTION("TEXTJOIN(""|"",TRUE,UNIQUE(FILTER(SPLIT(F388,"" ""),LEN(SPLIT(F388,"" ""))&gt;2)))"),"укольный|дом|гровой|кукольный|дом|мебелью|аксессуарами|предназначенный|для|разыгрывания|бытовых|семейных|сюжетов|спользуется|для|развития|воображения|социальных|навыков|понимания|последовательности|действий|одходит|для|совместных|игр|нескольких|детей")</f>
        <v>укольный|дом|гровой|кукольный|дом|мебелью|аксессуарами|предназначенный|для|разыгрывания|бытовых|семейных|сюжетов|спользуется|для|развития|воображения|социальных|навыков|понимания|последовательности|действий|одходит|для|совместных|игр|нескольких|детей</v>
      </c>
      <c r="I388" s="1"/>
      <c r="J388" s="1"/>
    </row>
    <row r="389" spans="1:10" x14ac:dyDescent="0.2">
      <c r="A389" s="8" t="s">
        <v>2454</v>
      </c>
      <c r="B389" s="7" t="s">
        <v>2453</v>
      </c>
      <c r="C389" s="7" t="s">
        <v>2452</v>
      </c>
      <c r="D389" s="6">
        <v>57000</v>
      </c>
      <c r="E389" s="5">
        <v>7</v>
      </c>
      <c r="F389" s="4" t="str">
        <f ca="1">IFERROR(__xludf.DUMMYFUNCTION("LOWER(REGEXREPLACE(B389&amp;"" ""&amp;C389,""[^а-яa-z0-9 ]"","" ""))")," укольный дом загородного типа  укольный дом используется для сюжетно ролевых игр с куклами    процессе игры выполняется обустройство помещений и разыгрывание бытовых ситуаций   онструкция включает несколько комнат и комплект мебели   ысота домика составл"&amp;"яет не менее 70 см   атериал изготовления   дерево ")</f>
        <v xml:space="preserve"> укольный дом загородного типа  укольный дом используется для сюжетно ролевых игр с куклами    процессе игры выполняется обустройство помещений и разыгрывание бытовых ситуаций   онструкция включает несколько комнат и комплект мебели   ысота домика составляет не менее 70 см   атериал изготовления   дерево </v>
      </c>
      <c r="G389" s="4" t="str">
        <f ca="1">IFERROR(__xludf.DUMMYFUNCTION("TEXTJOIN(""|"",TRUE,UNIQUE(FILTER(SPLIT(F389,"" ""),LEN(SPLIT(F389,"" ""))&gt;2)))"),"укольный|дом|загородного|типа|укольный|дом|используется|для|сюжетно|ролевых|игр|куклами|процессе|игры|выполняется|обустройство|помещений|разыгрывание|бытовых|ситуаций|онструкция|включает|несколько|комнат|комплект|мебели|ысота|домика|составляет|менее|атери"&amp;"ал|изготовления|дерево")</f>
        <v>укольный|дом|загородного|типа|укольный|дом|используется|для|сюжетно|ролевых|игр|куклами|процессе|игры|выполняется|обустройство|помещений|разыгрывание|бытовых|ситуаций|онструкция|включает|несколько|комнат|комплект|мебели|ысота|домика|составляет|менее|атериал|изготовления|дерево</v>
      </c>
      <c r="I389" s="1"/>
      <c r="J389" s="1"/>
    </row>
    <row r="390" spans="1:10" x14ac:dyDescent="0.2">
      <c r="A390" s="8" t="s">
        <v>2451</v>
      </c>
      <c r="B390" s="7" t="s">
        <v>2450</v>
      </c>
      <c r="C390" s="7" t="s">
        <v>2449</v>
      </c>
      <c r="D390" s="6">
        <v>5700</v>
      </c>
      <c r="E390" s="5">
        <v>5</v>
      </c>
      <c r="F390" s="4" t="str">
        <f ca="1">IFERROR(__xludf.DUMMYFUNCTION("LOWER(REGEXREPLACE(B390&amp;"" ""&amp;C390,""[^а-яa-z0-9 ]"","" ""))")," укольный клоун на вер вке  марионетка   еревянная марионетка для театрализованных и игровых занятий   спользуется для развития координации движений  внимания и выразительности  а также для знакомства с основами кукольного театра   рименяется под контроле"&amp;"м педагога ")</f>
        <v xml:space="preserve"> укольный клоун на вер вке  марионетка   еревянная марионетка для театрализованных и игровых занятий   спользуется для развития координации движений  внимания и выразительности  а также для знакомства с основами кукольного театра   рименяется под контролем педагога </v>
      </c>
      <c r="G390" s="4" t="str">
        <f ca="1">IFERROR(__xludf.DUMMYFUNCTION("TEXTJOIN(""|"",TRUE,UNIQUE(FILTER(SPLIT(F390,"" ""),LEN(SPLIT(F390,"" ""))&gt;2)))"),"укольный|клоун|вер|вке|марионетка|еревянная|марионетка|для|театрализованных|игровых|занятий|спользуется|для|развития|координации|движений|внимания|выразительности|также|для|знакомства|основами|кукольного|театра|рименяется|под|контролем|педагога")</f>
        <v>укольный|клоун|вер|вке|марионетка|еревянная|марионетка|для|театрализованных|игровых|занятий|спользуется|для|развития|координации|движений|внимания|выразительности|также|для|знакомства|основами|кукольного|театра|рименяется|под|контролем|педагога</v>
      </c>
      <c r="I390" s="1"/>
      <c r="J390" s="1"/>
    </row>
    <row r="391" spans="1:10" x14ac:dyDescent="0.2">
      <c r="A391" s="8" t="s">
        <v>2448</v>
      </c>
      <c r="B391" s="7" t="s">
        <v>2447</v>
      </c>
      <c r="C391" s="7" t="s">
        <v>1692</v>
      </c>
      <c r="D391" s="6">
        <v>8400</v>
      </c>
      <c r="E391" s="5">
        <v>1</v>
      </c>
      <c r="F391" s="4" t="str">
        <f ca="1">IFERROR(__xludf.DUMMYFUNCTION("LOWER(REGEXREPLACE(B391&amp;"" ""&amp;C391,""[^а-яa-z0-9 ]"","" ""))")," лемн    лы кереметтер   ш   ")</f>
        <v xml:space="preserve"> лемн    лы кереметтер   ш   </v>
      </c>
      <c r="G391" s="4" t="str">
        <f ca="1">IFERROR(__xludf.DUMMYFUNCTION("TEXTJOIN(""|"",TRUE,UNIQUE(FILTER(SPLIT(F391,"" ""),LEN(SPLIT(F391,"" ""))&gt;2)))"),"лемн|кереметтер")</f>
        <v>лемн|кереметтер</v>
      </c>
      <c r="I391" s="1"/>
      <c r="J391" s="1"/>
    </row>
    <row r="392" spans="1:10" x14ac:dyDescent="0.2">
      <c r="A392" s="8" t="s">
        <v>2446</v>
      </c>
      <c r="B392" s="7" t="s">
        <v>2445</v>
      </c>
      <c r="C392" s="7" t="s">
        <v>2444</v>
      </c>
      <c r="D392" s="6">
        <v>16800</v>
      </c>
      <c r="E392" s="5">
        <v>5</v>
      </c>
      <c r="F392" s="4" t="str">
        <f ca="1">IFERROR(__xludf.DUMMYFUNCTION("LOWER(REGEXREPLACE(B392&amp;"" ""&amp;C392,""[^а-яa-z0-9 ]"","" ""))")," укольный театр на руку   озлята и волк   укольный театр включает набор перчаточных кукол для разыгрывания сказочного сюжета    процессе игры выполняется управление куклами с помощью рук и воспроизведение диалогов   спользуется для театрализованных заняти"&amp;"й и игровых постановок    комплект входит не менее 5 кукол ")</f>
        <v xml:space="preserve"> укольный театр на руку   озлята и волк   укольный театр включает набор перчаточных кукол для разыгрывания сказочного сюжета    процессе игры выполняется управление куклами с помощью рук и воспроизведение диалогов   спользуется для театрализованных занятий и игровых постановок    комплект входит не менее 5 кукол </v>
      </c>
      <c r="G392" s="4" t="str">
        <f ca="1">IFERROR(__xludf.DUMMYFUNCTION("TEXTJOIN(""|"",TRUE,UNIQUE(FILTER(SPLIT(F392,"" ""),LEN(SPLIT(F392,"" ""))&gt;2)))"),"укольный|театр|руку|озлята|волк|укольный|театр|включает|набор|перчаточных|кукол|для|разыгрывания|сказочного|сюжета|процессе|игры|выполняется|управление|куклами|помощью|рук|воспроизведение|диалогов|спользуется|для|театрализованных|занятий|игровых|постаново"&amp;"к|комплект|входит|менее|кукол")</f>
        <v>укольный|театр|руку|озлята|волк|укольный|театр|включает|набор|перчаточных|кукол|для|разыгрывания|сказочного|сюжета|процессе|игры|выполняется|управление|куклами|помощью|рук|воспроизведение|диалогов|спользуется|для|театрализованных|занятий|игровых|постановок|комплект|входит|менее|кукол</v>
      </c>
      <c r="I392" s="1"/>
      <c r="J392" s="1"/>
    </row>
    <row r="393" spans="1:10" x14ac:dyDescent="0.2">
      <c r="A393" s="8" t="s">
        <v>2443</v>
      </c>
      <c r="B393" s="7" t="s">
        <v>2442</v>
      </c>
      <c r="C393" s="7" t="s">
        <v>2441</v>
      </c>
      <c r="D393" s="6">
        <v>14900</v>
      </c>
      <c r="E393" s="5">
        <v>5</v>
      </c>
      <c r="F393" s="4" t="str">
        <f ca="1">IFERROR(__xludf.DUMMYFUNCTION("LOWER(REGEXREPLACE(B393&amp;"" ""&amp;C393,""[^а-яa-z0-9 ]"","" ""))")," укольный театр на руку   епка   укольный театр предназначен для инсценировки сказки   епка    спользуется для разыгрывания последовательности событий и ролей персонажей   правление куклами осуществляется с помощью рук    комплект входит не менее 7 перчат"&amp;"очных кукол ")</f>
        <v xml:space="preserve"> укольный театр на руку   епка   укольный театр предназначен для инсценировки сказки   епка    спользуется для разыгрывания последовательности событий и ролей персонажей   правление куклами осуществляется с помощью рук    комплект входит не менее 7 перчаточных кукол </v>
      </c>
      <c r="G393" s="4" t="str">
        <f ca="1">IFERROR(__xludf.DUMMYFUNCTION("TEXTJOIN(""|"",TRUE,UNIQUE(FILTER(SPLIT(F393,"" ""),LEN(SPLIT(F393,"" ""))&gt;2)))"),"укольный|театр|руку|епка|укольный|театр|предназначен|для|инсценировки|сказки|епка|спользуется|для|разыгрывания|последовательности|событий|ролей|персонажей|правление|куклами|осуществляется|помощью|рук|комплект|входит|менее|перчаточных|кукол")</f>
        <v>укольный|театр|руку|епка|укольный|театр|предназначен|для|инсценировки|сказки|епка|спользуется|для|разыгрывания|последовательности|событий|ролей|персонажей|правление|куклами|осуществляется|помощью|рук|комплект|входит|менее|перчаточных|кукол</v>
      </c>
      <c r="I393" s="1"/>
      <c r="J393" s="1"/>
    </row>
    <row r="394" spans="1:10" x14ac:dyDescent="0.2">
      <c r="A394" s="8" t="s">
        <v>2440</v>
      </c>
      <c r="B394" s="7" t="s">
        <v>2439</v>
      </c>
      <c r="C394" s="7" t="s">
        <v>2438</v>
      </c>
      <c r="D394" s="6">
        <v>76500</v>
      </c>
      <c r="E394" s="5">
        <v>2</v>
      </c>
      <c r="F394" s="4" t="str">
        <f ca="1">IFERROR(__xludf.DUMMYFUNCTION("LOWER(REGEXREPLACE(B394&amp;"" ""&amp;C394,""[^а-яa-z0-9 ]"","" ""))")," улер для воды  апольный кулер с функциями нагрева и охлаждения воды   спользуется для поддержания питьевого режима в помещениях       онструкция обеспечивает удобство эксплуатации и безопасность при использовании взрослыми ")</f>
        <v xml:space="preserve"> улер для воды  апольный кулер с функциями нагрева и охлаждения воды   спользуется для поддержания питьевого режима в помещениях       онструкция обеспечивает удобство эксплуатации и безопасность при использовании взрослыми </v>
      </c>
      <c r="G394" s="4" t="str">
        <f ca="1">IFERROR(__xludf.DUMMYFUNCTION("TEXTJOIN(""|"",TRUE,UNIQUE(FILTER(SPLIT(F394,"" ""),LEN(SPLIT(F394,"" ""))&gt;2)))"),"улер|для|воды|апольный|кулер|функциями|нагрева|охлаждения|воды|спользуется|для|поддержания|питьевого|режима|помещениях|онструкция|обеспечивает|удобство|эксплуатации|безопасность|при|использовании|взрослыми")</f>
        <v>улер|для|воды|апольный|кулер|функциями|нагрева|охлаждения|воды|спользуется|для|поддержания|питьевого|режима|помещениях|онструкция|обеспечивает|удобство|эксплуатации|безопасность|при|использовании|взрослыми</v>
      </c>
      <c r="I394" s="1"/>
      <c r="J394" s="1"/>
    </row>
    <row r="395" spans="1:10" x14ac:dyDescent="0.2">
      <c r="A395" s="8" t="s">
        <v>2437</v>
      </c>
      <c r="B395" s="7" t="s">
        <v>2436</v>
      </c>
      <c r="C395" s="7" t="s">
        <v>2435</v>
      </c>
      <c r="D395" s="6">
        <v>27900</v>
      </c>
      <c r="E395" s="5">
        <v>1</v>
      </c>
      <c r="F395" s="4" t="str">
        <f ca="1">IFERROR(__xludf.DUMMYFUNCTION("LOWER(REGEXREPLACE(B395&amp;"" ""&amp;C395,""[^а-яa-z0-9 ]"","" ""))")," ультурные сокровища мира под ред      анфорд  перевод  санова    ")</f>
        <v xml:space="preserve"> ультурные сокровища мира под ред      анфорд  перевод  санова    </v>
      </c>
      <c r="G395" s="4" t="str">
        <f ca="1">IFERROR(__xludf.DUMMYFUNCTION("TEXTJOIN(""|"",TRUE,UNIQUE(FILTER(SPLIT(F395,"" ""),LEN(SPLIT(F395,"" ""))&gt;2)))"),"ультурные|сокровища|мира|под|ред|анфорд|перевод|санова")</f>
        <v>ультурные|сокровища|мира|под|ред|анфорд|перевод|санова</v>
      </c>
      <c r="I395" s="1"/>
      <c r="J395" s="1"/>
    </row>
    <row r="396" spans="1:10" x14ac:dyDescent="0.2">
      <c r="A396" s="8" t="s">
        <v>2434</v>
      </c>
      <c r="B396" s="7" t="s">
        <v>2433</v>
      </c>
      <c r="C396" s="7" t="s">
        <v>2432</v>
      </c>
      <c r="D396" s="6">
        <v>8000</v>
      </c>
      <c r="E396" s="5">
        <v>1</v>
      </c>
      <c r="F396" s="4" t="str">
        <f ca="1">IFERROR(__xludf.DUMMYFUNCTION("LOWER(REGEXREPLACE(B396&amp;"" ""&amp;C396,""[^а-яa-z0-9 ]"","" ""))"),"  н н рындай   н кей    йымбетов")</f>
        <v xml:space="preserve">  н н рындай   н кей    йымбетов</v>
      </c>
      <c r="G396" s="4" t="str">
        <f ca="1">IFERROR(__xludf.DUMMYFUNCTION("TEXTJOIN(""|"",TRUE,UNIQUE(FILTER(SPLIT(F396,"" ""),LEN(SPLIT(F396,"" ""))&gt;2)))"),"рындай|кей|йымбетов")</f>
        <v>рындай|кей|йымбетов</v>
      </c>
      <c r="I396" s="1"/>
      <c r="J396" s="1"/>
    </row>
    <row r="397" spans="1:10" x14ac:dyDescent="0.2">
      <c r="A397" s="8" t="s">
        <v>2431</v>
      </c>
      <c r="B397" s="7" t="s">
        <v>2430</v>
      </c>
      <c r="C397" s="7" t="s">
        <v>2429</v>
      </c>
      <c r="D397" s="6">
        <v>8000</v>
      </c>
      <c r="E397" s="5">
        <v>1</v>
      </c>
      <c r="F397" s="4" t="str">
        <f ca="1">IFERROR(__xludf.DUMMYFUNCTION("LOWER(REGEXREPLACE(B397&amp;"" ""&amp;C397,""[^а-яa-z0-9 ]"","" ""))"),"  шт н сыры неде   ызы ты физика  аммонд   ")</f>
        <v xml:space="preserve">  шт н сыры неде   ызы ты физика  аммонд   </v>
      </c>
      <c r="G397" s="4" t="str">
        <f ca="1">IFERROR(__xludf.DUMMYFUNCTION("TEXTJOIN(""|"",TRUE,UNIQUE(FILTER(SPLIT(F397,"" ""),LEN(SPLIT(F397,"" ""))&gt;2)))"),"сыры|неде|ызы|физика|аммонд")</f>
        <v>сыры|неде|ызы|физика|аммонд</v>
      </c>
      <c r="I397" s="1"/>
      <c r="J397" s="1"/>
    </row>
    <row r="398" spans="1:10" x14ac:dyDescent="0.2">
      <c r="A398" s="8" t="s">
        <v>2428</v>
      </c>
      <c r="B398" s="7" t="s">
        <v>2427</v>
      </c>
      <c r="C398" s="7" t="s">
        <v>2426</v>
      </c>
      <c r="D398" s="6">
        <v>15900</v>
      </c>
      <c r="E398" s="5">
        <v>1</v>
      </c>
      <c r="F398" s="4" t="str">
        <f ca="1">IFERROR(__xludf.DUMMYFUNCTION("LOWER(REGEXREPLACE(B398&amp;"" ""&amp;C398,""[^а-яa-z0-9 ]"","" ""))")," аза  афоризмдер   аймерденов   ")</f>
        <v xml:space="preserve"> аза  афоризмдер   аймерденов   </v>
      </c>
      <c r="G398" s="4" t="str">
        <f ca="1">IFERROR(__xludf.DUMMYFUNCTION("TEXTJOIN(""|"",TRUE,UNIQUE(FILTER(SPLIT(F398,"" ""),LEN(SPLIT(F398,"" ""))&gt;2)))"),"аза|афоризмдер|аймерденов")</f>
        <v>аза|афоризмдер|аймерденов</v>
      </c>
      <c r="I398" s="1"/>
      <c r="J398" s="1"/>
    </row>
    <row r="399" spans="1:10" x14ac:dyDescent="0.2">
      <c r="A399" s="8" t="s">
        <v>2425</v>
      </c>
      <c r="B399" s="7" t="s">
        <v>2424</v>
      </c>
      <c r="C399" s="7" t="s">
        <v>2423</v>
      </c>
      <c r="D399" s="6">
        <v>12000</v>
      </c>
      <c r="E399" s="5">
        <v>7</v>
      </c>
      <c r="F399" s="4" t="str">
        <f ca="1">IFERROR(__xludf.DUMMYFUNCTION("LOWER(REGEXREPLACE(B399&amp;"" ""&amp;C399,""[^а-яa-z0-9 ]"","" ""))")," аза  ертег лер   борник казахских народных сказок  предназначенный для чтения и обсуждения с детьми   спользуется для развития речи  воображения и приобщения к национальной культуре   одходит для образовательной и воспитательной работы ")</f>
        <v xml:space="preserve"> аза  ертег лер   борник казахских народных сказок  предназначенный для чтения и обсуждения с детьми   спользуется для развития речи  воображения и приобщения к национальной культуре   одходит для образовательной и воспитательной работы </v>
      </c>
      <c r="G399" s="4" t="str">
        <f ca="1">IFERROR(__xludf.DUMMYFUNCTION("TEXTJOIN(""|"",TRUE,UNIQUE(FILTER(SPLIT(F399,"" ""),LEN(SPLIT(F399,"" ""))&gt;2)))"),"аза|ертег|лер|борник|казахских|народных|сказок|предназначенный|для|чтения|обсуждения|детьми|спользуется|для|развития|речи|воображения|приобщения|национальной|культуре|одходит|для|образовательной|воспитательной|работы")</f>
        <v>аза|ертег|лер|борник|казахских|народных|сказок|предназначенный|для|чтения|обсуждения|детьми|спользуется|для|развития|речи|воображения|приобщения|национальной|культуре|одходит|для|образовательной|воспитательной|работы</v>
      </c>
      <c r="I399" s="1"/>
      <c r="J399" s="1"/>
    </row>
    <row r="400" spans="1:10" x14ac:dyDescent="0.2">
      <c r="A400" s="8" t="s">
        <v>2422</v>
      </c>
      <c r="B400" s="7" t="s">
        <v>2421</v>
      </c>
      <c r="C400" s="7" t="s">
        <v>2420</v>
      </c>
      <c r="D400" s="6">
        <v>12400</v>
      </c>
      <c r="E400" s="5">
        <v>125</v>
      </c>
      <c r="F400" s="4" t="str">
        <f ca="1">IFERROR(__xludf.DUMMYFUNCTION("LOWER(REGEXREPLACE(B400&amp;"" ""&amp;C400,""[^а-яa-z0-9 ]"","" ""))")," аза  ертег лер     азахские сказки  вуязычный сборник сказок  используемый в образовательном процессе для знакомства детей с фольклором и культурным наследием   пособствует развитию речи  слухового восприятия и интереса к литературе ")</f>
        <v xml:space="preserve"> аза  ертег лер     азахские сказки  вуязычный сборник сказок  используемый в образовательном процессе для знакомства детей с фольклором и культурным наследием   пособствует развитию речи  слухового восприятия и интереса к литературе </v>
      </c>
      <c r="G400" s="4" t="str">
        <f ca="1">IFERROR(__xludf.DUMMYFUNCTION("TEXTJOIN(""|"",TRUE,UNIQUE(FILTER(SPLIT(F400,"" ""),LEN(SPLIT(F400,"" ""))&gt;2)))"),"аза|ертег|лер|азахские|сказки|вуязычный|сборник|сказок|используемый|образовательном|процессе|для|знакомства|детей|фольклором|культурным|наследием|пособствует|развитию|речи|слухового|восприятия|интереса|литературе")</f>
        <v>аза|ертег|лер|азахские|сказки|вуязычный|сборник|сказок|используемый|образовательном|процессе|для|знакомства|детей|фольклором|культурным|наследием|пособствует|развитию|речи|слухового|восприятия|интереса|литературе</v>
      </c>
      <c r="I400" s="1"/>
      <c r="J400" s="1"/>
    </row>
    <row r="401" spans="1:10" x14ac:dyDescent="0.2">
      <c r="A401" s="8" t="s">
        <v>2419</v>
      </c>
      <c r="B401" s="7" t="s">
        <v>2418</v>
      </c>
      <c r="C401" s="7" t="s">
        <v>2417</v>
      </c>
      <c r="D401" s="6">
        <v>12000</v>
      </c>
      <c r="E401" s="5">
        <v>1</v>
      </c>
      <c r="F401" s="4" t="str">
        <f ca="1">IFERROR(__xludf.DUMMYFUNCTION("LOWER(REGEXREPLACE(B401&amp;"" ""&amp;C401,""[^а-яa-z0-9 ]"","" ""))")," аза  ертег лер     растар ан   аева    ")</f>
        <v xml:space="preserve"> аза  ертег лер     растар ан   аева    </v>
      </c>
      <c r="G401" s="4" t="str">
        <f ca="1">IFERROR(__xludf.DUMMYFUNCTION("TEXTJOIN(""|"",TRUE,UNIQUE(FILTER(SPLIT(F401,"" ""),LEN(SPLIT(F401,"" ""))&gt;2)))"),"аза|ертег|лер|растар|аева")</f>
        <v>аза|ертег|лер|растар|аева</v>
      </c>
      <c r="I401" s="1"/>
      <c r="J401" s="1"/>
    </row>
    <row r="402" spans="1:10" x14ac:dyDescent="0.2">
      <c r="A402" s="8" t="s">
        <v>2416</v>
      </c>
      <c r="B402" s="7" t="s">
        <v>2415</v>
      </c>
      <c r="C402" s="7" t="s">
        <v>2414</v>
      </c>
      <c r="D402" s="6">
        <v>1400</v>
      </c>
      <c r="E402" s="5">
        <v>1</v>
      </c>
      <c r="F402" s="4" t="str">
        <f ca="1">IFERROR(__xludf.DUMMYFUNCTION("LOWER(REGEXREPLACE(B402&amp;"" ""&amp;C402,""[^а-яa-z0-9 ]"","" ""))"),"   ылды  бояма    ермада    мная  раскраска   аскрась по коду   а ферме  енаги   ")</f>
        <v xml:space="preserve">   ылды  бояма    ермада    мная  раскраска   аскрась по коду   а ферме  енаги   </v>
      </c>
      <c r="G402" s="4" t="str">
        <f ca="1">IFERROR(__xludf.DUMMYFUNCTION("TEXTJOIN(""|"",TRUE,UNIQUE(FILTER(SPLIT(F402,"" ""),LEN(SPLIT(F402,"" ""))&gt;2)))"),"ылды|бояма|ермада|мная|раскраска|аскрась|коду|ферме|енаги")</f>
        <v>ылды|бояма|ермада|мная|раскраска|аскрась|коду|ферме|енаги</v>
      </c>
      <c r="I402" s="1"/>
      <c r="J402" s="1"/>
    </row>
    <row r="403" spans="1:10" x14ac:dyDescent="0.2">
      <c r="A403" s="8" t="s">
        <v>2413</v>
      </c>
      <c r="B403" s="7" t="s">
        <v>2412</v>
      </c>
      <c r="C403" s="7" t="s">
        <v>2411</v>
      </c>
      <c r="D403" s="6">
        <v>10000</v>
      </c>
      <c r="E403" s="5">
        <v>1</v>
      </c>
      <c r="F403" s="4" t="str">
        <f ca="1">IFERROR(__xludf.DUMMYFUNCTION("LOWER(REGEXREPLACE(B403&amp;"" ""&amp;C403,""[^а-яa-z0-9 ]"","" ""))")," алалар а аманат     олда алиев")</f>
        <v xml:space="preserve"> алалар а аманат     олда алиев</v>
      </c>
      <c r="G403" s="4" t="str">
        <f ca="1">IFERROR(__xludf.DUMMYFUNCTION("TEXTJOIN(""|"",TRUE,UNIQUE(FILTER(SPLIT(F403,"" ""),LEN(SPLIT(F403,"" ""))&gt;2)))"),"алалар|аманат|олда|алиев")</f>
        <v>алалар|аманат|олда|алиев</v>
      </c>
      <c r="I403" s="1"/>
      <c r="J403" s="1"/>
    </row>
    <row r="404" spans="1:10" x14ac:dyDescent="0.2">
      <c r="A404" s="8" t="s">
        <v>2410</v>
      </c>
      <c r="B404" s="7" t="s">
        <v>2409</v>
      </c>
      <c r="C404" s="7" t="s">
        <v>2408</v>
      </c>
      <c r="D404" s="6">
        <v>14000</v>
      </c>
      <c r="E404" s="5">
        <v>1</v>
      </c>
      <c r="F404" s="4" t="str">
        <f ca="1">IFERROR(__xludf.DUMMYFUNCTION("LOWER(REGEXREPLACE(B404&amp;"" ""&amp;C404,""[^а-яa-z0-9 ]"","" ""))")," аза  ма ал мателдерi   азахские пословицы и поговорки  каз   рус яз   сост    ужикова   ")</f>
        <v xml:space="preserve"> аза  ма ал мателдерi   азахские пословицы и поговорки  каз   рус яз   сост    ужикова   </v>
      </c>
      <c r="G404" s="4" t="str">
        <f ca="1">IFERROR(__xludf.DUMMYFUNCTION("TEXTJOIN(""|"",TRUE,UNIQUE(FILTER(SPLIT(F404,"" ""),LEN(SPLIT(F404,"" ""))&gt;2)))"),"аза|мателдерi|азахские|пословицы|поговорки|каз|рус|сост|ужикова")</f>
        <v>аза|мателдерi|азахские|пословицы|поговорки|каз|рус|сост|ужикова</v>
      </c>
      <c r="I404" s="1"/>
      <c r="J404" s="1"/>
    </row>
    <row r="405" spans="1:10" x14ac:dyDescent="0.2">
      <c r="A405" s="8" t="s">
        <v>2407</v>
      </c>
      <c r="B405" s="7" t="s">
        <v>2406</v>
      </c>
      <c r="C405" s="7" t="s">
        <v>2189</v>
      </c>
      <c r="D405" s="6">
        <v>700</v>
      </c>
      <c r="E405" s="5">
        <v>1</v>
      </c>
      <c r="F405" s="4" t="str">
        <f ca="1">IFERROR(__xludf.DUMMYFUNCTION("LOWER(REGEXREPLACE(B405&amp;"" ""&amp;C405,""[^а-яa-z0-9 ]"","" ""))")," аза  оркестр    азахский оркестр  каз   рус   англ яз    тет леу лы   ")</f>
        <v xml:space="preserve"> аза  оркестр    азахский оркестр  каз   рус   англ яз    тет леу лы   </v>
      </c>
      <c r="G405" s="4" t="str">
        <f ca="1">IFERROR(__xludf.DUMMYFUNCTION("TEXTJOIN(""|"",TRUE,UNIQUE(FILTER(SPLIT(F405,"" ""),LEN(SPLIT(F405,"" ""))&gt;2)))"),"аза|оркестр|азахский|оркестр|каз|рус|англ|тет|леу")</f>
        <v>аза|оркестр|азахский|оркестр|каз|рус|англ|тет|леу</v>
      </c>
      <c r="I405" s="1"/>
      <c r="J405" s="1"/>
    </row>
    <row r="406" spans="1:10" x14ac:dyDescent="0.2">
      <c r="A406" s="8" t="s">
        <v>2405</v>
      </c>
      <c r="B406" s="7" t="s">
        <v>2404</v>
      </c>
      <c r="C406" s="7" t="s">
        <v>2403</v>
      </c>
      <c r="D406" s="6">
        <v>10600</v>
      </c>
      <c r="E406" s="5">
        <v>1</v>
      </c>
      <c r="F406" s="4" t="str">
        <f ca="1">IFERROR(__xludf.DUMMYFUNCTION("LOWER(REGEXREPLACE(B406&amp;"" ""&amp;C406,""[^а-яa-z0-9 ]"","" ""))")," аза  портреттер н   тарихы    пш л к   танымды  басылым  скенд р  бдешев   ")</f>
        <v xml:space="preserve"> аза  портреттер н   тарихы    пш л к   танымды  басылым  скенд р  бдешев   </v>
      </c>
      <c r="G406" s="4" t="str">
        <f ca="1">IFERROR(__xludf.DUMMYFUNCTION("TEXTJOIN(""|"",TRUE,UNIQUE(FILTER(SPLIT(F406,"" ""),LEN(SPLIT(F406,"" ""))&gt;2)))"),"аза|портреттер|тарихы|танымды|басылым|скенд|бдешев")</f>
        <v>аза|портреттер|тарихы|танымды|басылым|скенд|бдешев</v>
      </c>
      <c r="I406" s="1"/>
      <c r="J406" s="1"/>
    </row>
    <row r="407" spans="1:10" x14ac:dyDescent="0.2">
      <c r="A407" s="8" t="s">
        <v>2402</v>
      </c>
      <c r="B407" s="7" t="s">
        <v>2401</v>
      </c>
      <c r="C407" s="7" t="s">
        <v>2400</v>
      </c>
      <c r="D407" s="6">
        <v>5900</v>
      </c>
      <c r="E407" s="5">
        <v>1</v>
      </c>
      <c r="F407" s="4" t="str">
        <f ca="1">IFERROR(__xludf.DUMMYFUNCTION("LOWER(REGEXREPLACE(B407&amp;"" ""&amp;C407,""[^а-яa-z0-9 ]"","" ""))")," аза  хал ыны  салт д стурлерi   радиции и обряды казахского народа   azakh traditions and customs  каз   рус   англ яз      енжеахметулы")</f>
        <v xml:space="preserve"> аза  хал ыны  салт д стурлерi   радиции и обряды казахского народа   azakh traditions and customs  каз   рус   англ яз      енжеахметулы</v>
      </c>
      <c r="G407" s="4" t="str">
        <f ca="1">IFERROR(__xludf.DUMMYFUNCTION("TEXTJOIN(""|"",TRUE,UNIQUE(FILTER(SPLIT(F407,"" ""),LEN(SPLIT(F407,"" ""))&gt;2)))"),"аза|хал|ыны|салт|стурлерi|радиции|обряды|казахского|народа|azakh|traditions|and|customs|каз|рус|англ|енжеахметулы")</f>
        <v>аза|хал|ыны|салт|стурлерi|радиции|обряды|казахского|народа|azakh|traditions|and|customs|каз|рус|англ|енжеахметулы</v>
      </c>
      <c r="I407" s="1"/>
      <c r="J407" s="1"/>
    </row>
    <row r="408" spans="1:10" x14ac:dyDescent="0.2">
      <c r="A408" s="8" t="s">
        <v>2399</v>
      </c>
      <c r="B408" s="7" t="s">
        <v>2398</v>
      </c>
      <c r="C408" s="7" t="s">
        <v>2397</v>
      </c>
      <c r="D408" s="6">
        <v>24900</v>
      </c>
      <c r="E408" s="5">
        <v>1</v>
      </c>
      <c r="F408" s="4" t="str">
        <f ca="1">IFERROR(__xludf.DUMMYFUNCTION("LOWER(REGEXREPLACE(B408&amp;"" ""&amp;C408,""[^а-яa-z0-9 ]"","" ""))")," аза  хал ыны  т рмысы мен м дениет    ыт и культура казахского народа   ife and culture of the  azakh people  каз   рус   англ яз      енжеахмет лы")</f>
        <v xml:space="preserve"> аза  хал ыны  т рмысы мен м дениет    ыт и культура казахского народа   ife and culture of the  azakh people  каз   рус   англ яз      енжеахмет лы</v>
      </c>
      <c r="G408" s="4" t="str">
        <f ca="1">IFERROR(__xludf.DUMMYFUNCTION("TEXTJOIN(""|"",TRUE,UNIQUE(FILTER(SPLIT(F408,"" ""),LEN(SPLIT(F408,"" ""))&gt;2)))"),"аза|хал|ыны|рмысы|мен|дениет|культура|казахского|народа|ife|and|culture|the|azakh|people|каз|рус|англ|енжеахмет")</f>
        <v>аза|хал|ыны|рмысы|мен|дениет|культура|казахского|народа|ife|and|culture|the|azakh|people|каз|рус|англ|енжеахмет</v>
      </c>
      <c r="I408" s="1"/>
      <c r="J408" s="1"/>
    </row>
    <row r="409" spans="1:10" x14ac:dyDescent="0.2">
      <c r="A409" s="8" t="s">
        <v>2396</v>
      </c>
      <c r="B409" s="7" t="s">
        <v>2395</v>
      </c>
      <c r="C409" s="7" t="s">
        <v>1239</v>
      </c>
      <c r="D409" s="6">
        <v>24900</v>
      </c>
      <c r="E409" s="5">
        <v>1</v>
      </c>
      <c r="F409" s="4" t="str">
        <f ca="1">IFERROR(__xludf.DUMMYFUNCTION("LOWER(REGEXREPLACE(B409&amp;"" ""&amp;C409,""[^а-яa-z0-9 ]"","" ""))")," аза  хал ыны   лтты  ки мдер    ациональная одежда казахского народа   ational clofhes of  azakh people  каз   рус   англ яз    инаят   ")</f>
        <v xml:space="preserve"> аза  хал ыны   лтты  ки мдер    ациональная одежда казахского народа   ational clofhes of  azakh people  каз   рус   англ яз    инаят   </v>
      </c>
      <c r="G409" s="4" t="str">
        <f ca="1">IFERROR(__xludf.DUMMYFUNCTION("TEXTJOIN(""|"",TRUE,UNIQUE(FILTER(SPLIT(F409,"" ""),LEN(SPLIT(F409,"" ""))&gt;2)))"),"аза|хал|ыны|лтты|мдер|ациональная|одежда|казахского|народа|ational|clofhes|azakh|people|каз|рус|англ|инаят")</f>
        <v>аза|хал|ыны|лтты|мдер|ациональная|одежда|казахского|народа|ational|clofhes|azakh|people|каз|рус|англ|инаят</v>
      </c>
      <c r="I409" s="1"/>
      <c r="J409" s="1"/>
    </row>
    <row r="410" spans="1:10" x14ac:dyDescent="0.2">
      <c r="A410" s="8" t="s">
        <v>2394</v>
      </c>
      <c r="B410" s="7" t="s">
        <v>2393</v>
      </c>
      <c r="C410" s="7" t="s">
        <v>2385</v>
      </c>
      <c r="D410" s="6">
        <v>25100</v>
      </c>
      <c r="E410" s="5">
        <v>1</v>
      </c>
      <c r="F410" s="4" t="str">
        <f ca="1">IFERROR(__xludf.DUMMYFUNCTION("LOWER(REGEXREPLACE(B410&amp;"" ""&amp;C410,""[^а-яa-z0-9 ]"","" ""))")," аза стан  оры тары   аповедный  азахстан  azakhstan protected wilderness  каз рус англ   кушкин   ")</f>
        <v xml:space="preserve"> аза стан  оры тары   аповедный  азахстан  azakhstan protected wilderness  каз рус англ   кушкин   </v>
      </c>
      <c r="G410" s="4" t="str">
        <f ca="1">IFERROR(__xludf.DUMMYFUNCTION("TEXTJOIN(""|"",TRUE,UNIQUE(FILTER(SPLIT(F410,"" ""),LEN(SPLIT(F410,"" ""))&gt;2)))"),"аза|стан|оры|тары|аповедный|азахстан|azakhstan|protected|wilderness|каз|рус|англ|кушкин")</f>
        <v>аза|стан|оры|тары|аповедный|азахстан|azakhstan|protected|wilderness|каз|рус|англ|кушкин</v>
      </c>
      <c r="I410" s="1"/>
      <c r="J410" s="1"/>
    </row>
    <row r="411" spans="1:10" x14ac:dyDescent="0.2">
      <c r="A411" s="8" t="s">
        <v>2392</v>
      </c>
      <c r="B411" s="7" t="s">
        <v>2391</v>
      </c>
      <c r="C411" s="7" t="s">
        <v>2388</v>
      </c>
      <c r="D411" s="6">
        <v>11000</v>
      </c>
      <c r="E411" s="5">
        <v>1</v>
      </c>
      <c r="F411" s="4" t="str">
        <f ca="1">IFERROR(__xludf.DUMMYFUNCTION("LOWER(REGEXREPLACE(B411&amp;"" ""&amp;C411,""[^а-яa-z0-9 ]"","" ""))")," аза стан хал ы ертег лер   4 7 жас аралы ында ы балалар а арнал ан   растар ан     лпей сова")</f>
        <v xml:space="preserve"> аза стан хал ы ертег лер   4 7 жас аралы ында ы балалар а арнал ан   растар ан     лпей сова</v>
      </c>
      <c r="G411" s="4" t="str">
        <f ca="1">IFERROR(__xludf.DUMMYFUNCTION("TEXTJOIN(""|"",TRUE,UNIQUE(FILTER(SPLIT(F411,"" ""),LEN(SPLIT(F411,"" ""))&gt;2)))"),"аза|стан|хал|ертег|лер|жас|аралы|ында|балалар|арнал|растар|лпей|сова")</f>
        <v>аза|стан|хал|ертег|лер|жас|аралы|ында|балалар|арнал|растар|лпей|сова</v>
      </c>
      <c r="I411" s="1"/>
      <c r="J411" s="1"/>
    </row>
    <row r="412" spans="1:10" x14ac:dyDescent="0.2">
      <c r="A412" s="8" t="s">
        <v>2390</v>
      </c>
      <c r="B412" s="7" t="s">
        <v>2389</v>
      </c>
      <c r="C412" s="7" t="s">
        <v>2388</v>
      </c>
      <c r="D412" s="6">
        <v>11000</v>
      </c>
      <c r="E412" s="5">
        <v>1</v>
      </c>
      <c r="F412" s="4" t="str">
        <f ca="1">IFERROR(__xludf.DUMMYFUNCTION("LOWER(REGEXREPLACE(B412&amp;"" ""&amp;C412,""[^а-яa-z0-9 ]"","" ""))")," аза стан хал ы ертег лер   8 11 жас аралы ында ы балалар а арнал ан   растар ан     лпей сова")</f>
        <v xml:space="preserve"> аза стан хал ы ертег лер   8 11 жас аралы ында ы балалар а арнал ан   растар ан     лпей сова</v>
      </c>
      <c r="G412" s="4" t="str">
        <f ca="1">IFERROR(__xludf.DUMMYFUNCTION("TEXTJOIN(""|"",TRUE,UNIQUE(FILTER(SPLIT(F412,"" ""),LEN(SPLIT(F412,"" ""))&gt;2)))"),"аза|стан|хал|ертег|лер|жас|аралы|ында|балалар|арнал|растар|лпей|сова")</f>
        <v>аза|стан|хал|ертег|лер|жас|аралы|ында|балалар|арнал|растар|лпей|сова</v>
      </c>
      <c r="I412" s="1"/>
      <c r="J412" s="1"/>
    </row>
    <row r="413" spans="1:10" x14ac:dyDescent="0.2">
      <c r="A413" s="8" t="s">
        <v>2387</v>
      </c>
      <c r="B413" s="7" t="s">
        <v>2386</v>
      </c>
      <c r="C413" s="7" t="s">
        <v>2385</v>
      </c>
      <c r="D413" s="6">
        <v>31900</v>
      </c>
      <c r="E413" s="5">
        <v>1</v>
      </c>
      <c r="F413" s="4" t="str">
        <f ca="1">IFERROR(__xludf.DUMMYFUNCTION("LOWER(REGEXREPLACE(B413&amp;"" ""&amp;C413,""[^а-яa-z0-9 ]"","" ""))")," аза станны   ажайып таби аты  дивительная природа  азахстана  he wondering nature of  azakhstan  каз   рус   англ яз    кушкин   ")</f>
        <v xml:space="preserve"> аза станны   ажайып таби аты  дивительная природа  азахстана  he wondering nature of  azakhstan  каз   рус   англ яз    кушкин   </v>
      </c>
      <c r="G413" s="4" t="str">
        <f ca="1">IFERROR(__xludf.DUMMYFUNCTION("TEXTJOIN(""|"",TRUE,UNIQUE(FILTER(SPLIT(F413,"" ""),LEN(SPLIT(F413,"" ""))&gt;2)))"),"аза|станны|ажайып|таби|аты|дивительная|природа|азахстана|wondering|nature|azakhstan|каз|рус|англ|кушкин")</f>
        <v>аза|станны|ажайып|таби|аты|дивительная|природа|азахстана|wondering|nature|azakhstan|каз|рус|англ|кушкин</v>
      </c>
      <c r="I413" s="1"/>
      <c r="J413" s="1"/>
    </row>
    <row r="414" spans="1:10" x14ac:dyDescent="0.2">
      <c r="A414" s="8" t="s">
        <v>2384</v>
      </c>
      <c r="B414" s="7" t="s">
        <v>2383</v>
      </c>
      <c r="C414" s="7" t="s">
        <v>2382</v>
      </c>
      <c r="D414" s="6">
        <v>19900</v>
      </c>
      <c r="E414" s="5">
        <v>1</v>
      </c>
      <c r="F414" s="4" t="str">
        <f ca="1">IFERROR(__xludf.DUMMYFUNCTION("LOWER(REGEXREPLACE(B414&amp;"" ""&amp;C414,""[^а-яa-z0-9 ]"","" ""))")," алалар а  аза стан  еспубликасыны   онституциясы туралы  спанова   ")</f>
        <v xml:space="preserve"> алалар а  аза стан  еспубликасыны   онституциясы туралы  спанова   </v>
      </c>
      <c r="G414" s="4" t="str">
        <f ca="1">IFERROR(__xludf.DUMMYFUNCTION("TEXTJOIN(""|"",TRUE,UNIQUE(FILTER(SPLIT(F414,"" ""),LEN(SPLIT(F414,"" ""))&gt;2)))"),"алалар|аза|стан|еспубликасыны|онституциясы|туралы|спанова")</f>
        <v>алалар|аза|стан|еспубликасыны|онституциясы|туралы|спанова</v>
      </c>
      <c r="I414" s="1"/>
      <c r="J414" s="1"/>
    </row>
    <row r="415" spans="1:10" x14ac:dyDescent="0.2">
      <c r="A415" s="8" t="s">
        <v>2381</v>
      </c>
      <c r="B415" s="7" t="s">
        <v>2380</v>
      </c>
      <c r="C415" s="7" t="s">
        <v>2379</v>
      </c>
      <c r="D415" s="6">
        <v>23900</v>
      </c>
      <c r="E415" s="5">
        <v>1</v>
      </c>
      <c r="F415" s="4" t="str">
        <f ca="1">IFERROR(__xludf.DUMMYFUNCTION("LOWER(REGEXREPLACE(B415&amp;"" ""&amp;C415,""[^а-яa-z0-9 ]"","" ""))")," аза ты  дар ан дастар аны   ациональная кухня казахов  енжеахмет лы   ")</f>
        <v xml:space="preserve"> аза ты  дар ан дастар аны   ациональная кухня казахов  енжеахмет лы   </v>
      </c>
      <c r="G415" s="4" t="str">
        <f ca="1">IFERROR(__xludf.DUMMYFUNCTION("TEXTJOIN(""|"",TRUE,UNIQUE(FILTER(SPLIT(F415,"" ""),LEN(SPLIT(F415,"" ""))&gt;2)))"),"аза|дар|дастар|аны|ациональная|кухня|казахов|енжеахмет")</f>
        <v>аза|дар|дастар|аны|ациональная|кухня|казахов|енжеахмет</v>
      </c>
      <c r="I415" s="1"/>
      <c r="J415" s="1"/>
    </row>
    <row r="416" spans="1:10" x14ac:dyDescent="0.2">
      <c r="A416" s="8" t="s">
        <v>2378</v>
      </c>
      <c r="B416" s="7" t="s">
        <v>2377</v>
      </c>
      <c r="C416" s="7" t="s">
        <v>2376</v>
      </c>
      <c r="D416" s="6">
        <v>21000</v>
      </c>
      <c r="E416" s="5">
        <v>1</v>
      </c>
      <c r="F416" s="4" t="str">
        <f ca="1">IFERROR(__xludf.DUMMYFUNCTION("LOWER(REGEXREPLACE(B416&amp;"" ""&amp;C416,""[^а-яa-z0-9 ]"","" ""))")," аза ты  д стурл  кару жара ыны  этнографиясы     хметжан")</f>
        <v xml:space="preserve"> аза ты  д стурл  кару жара ыны  этнографиясы     хметжан</v>
      </c>
      <c r="G416" s="4" t="str">
        <f ca="1">IFERROR(__xludf.DUMMYFUNCTION("TEXTJOIN(""|"",TRUE,UNIQUE(FILTER(SPLIT(F416,"" ""),LEN(SPLIT(F416,"" ""))&gt;2)))"),"аза|стурл|кару|жара|ыны|этнографиясы|хметжан")</f>
        <v>аза|стурл|кару|жара|ыны|этнографиясы|хметжан</v>
      </c>
      <c r="I416" s="1"/>
      <c r="J416" s="1"/>
    </row>
    <row r="417" spans="1:10" x14ac:dyDescent="0.2">
      <c r="A417" s="8" t="s">
        <v>2375</v>
      </c>
      <c r="B417" s="7" t="s">
        <v>2374</v>
      </c>
      <c r="C417" s="7" t="s">
        <v>2373</v>
      </c>
      <c r="D417" s="6">
        <v>21900</v>
      </c>
      <c r="E417" s="5">
        <v>1</v>
      </c>
      <c r="F417" s="4" t="str">
        <f ca="1">IFERROR(__xludf.DUMMYFUNCTION("LOWER(REGEXREPLACE(B417&amp;"" ""&amp;C417,""[^а-яa-z0-9 ]"","" ""))")," аза ты  д стурл  музыкалы  аспаптары  акишева   ")</f>
        <v xml:space="preserve"> аза ты  д стурл  музыкалы  аспаптары  акишева   </v>
      </c>
      <c r="G417" s="4" t="str">
        <f ca="1">IFERROR(__xludf.DUMMYFUNCTION("TEXTJOIN(""|"",TRUE,UNIQUE(FILTER(SPLIT(F417,"" ""),LEN(SPLIT(F417,"" ""))&gt;2)))"),"аза|стурл|музыкалы|аспаптары|акишева")</f>
        <v>аза|стурл|музыкалы|аспаптары|акишева</v>
      </c>
      <c r="I417" s="1"/>
      <c r="J417" s="1"/>
    </row>
    <row r="418" spans="1:10" x14ac:dyDescent="0.2">
      <c r="A418" s="8" t="s">
        <v>2372</v>
      </c>
      <c r="B418" s="7" t="s">
        <v>2371</v>
      </c>
      <c r="C418" s="7" t="s">
        <v>2370</v>
      </c>
      <c r="D418" s="6">
        <v>23900</v>
      </c>
      <c r="E418" s="5">
        <v>1</v>
      </c>
      <c r="F418" s="4" t="str">
        <f ca="1">IFERROR(__xludf.DUMMYFUNCTION("LOWER(REGEXREPLACE(B418&amp;"" ""&amp;C418,""[^а-яa-z0-9 ]"","" ""))")," аза ты  д ст рл    ра  б йымдары   радиционные лоскутные изделия казахов   azakh traditional patchwork  каз   рус   англ яз    екеева     ")</f>
        <v xml:space="preserve"> аза ты  д ст рл    ра  б йымдары   радиционные лоскутные изделия казахов   azakh traditional patchwork  каз   рус   англ яз    екеева     </v>
      </c>
      <c r="G418" s="4" t="str">
        <f ca="1">IFERROR(__xludf.DUMMYFUNCTION("TEXTJOIN(""|"",TRUE,UNIQUE(FILTER(SPLIT(F418,"" ""),LEN(SPLIT(F418,"" ""))&gt;2)))"),"аза|йымдары|радиционные|лоскутные|изделия|казахов|azakh|traditional|patchwork|каз|рус|англ|екеева")</f>
        <v>аза|йымдары|радиционные|лоскутные|изделия|казахов|azakh|traditional|patchwork|каз|рус|англ|екеева</v>
      </c>
      <c r="I418" s="1"/>
      <c r="J418" s="1"/>
    </row>
    <row r="419" spans="1:10" x14ac:dyDescent="0.2">
      <c r="A419" s="8" t="s">
        <v>2369</v>
      </c>
      <c r="B419" s="7" t="s">
        <v>2368</v>
      </c>
      <c r="C419" s="7" t="s">
        <v>2367</v>
      </c>
      <c r="D419" s="6">
        <v>23900</v>
      </c>
      <c r="E419" s="5">
        <v>1</v>
      </c>
      <c r="F419" s="4" t="str">
        <f ca="1">IFERROR(__xludf.DUMMYFUNCTION("LOWER(REGEXREPLACE(B419&amp;"" ""&amp;C419,""[^а-яa-z0-9 ]"","" ""))")," аза ты  зергел к  нер   велирное искусство казахов   eweler s art of  azakhs  каз   рус   англ яз      охтабаева")</f>
        <v xml:space="preserve"> аза ты  зергел к  нер   велирное искусство казахов   eweler s art of  azakhs  каз   рус   англ яз      охтабаева</v>
      </c>
      <c r="G419" s="4" t="str">
        <f ca="1">IFERROR(__xludf.DUMMYFUNCTION("TEXTJOIN(""|"",TRUE,UNIQUE(FILTER(SPLIT(F419,"" ""),LEN(SPLIT(F419,"" ""))&gt;2)))"),"аза|зергел|нер|велирное|искусство|казахов|eweler|art|azakhs|каз|рус|англ|охтабаева")</f>
        <v>аза|зергел|нер|велирное|искусство|казахов|eweler|art|azakhs|каз|рус|англ|охтабаева</v>
      </c>
      <c r="I419" s="1"/>
      <c r="J419" s="1"/>
    </row>
    <row r="420" spans="1:10" x14ac:dyDescent="0.2">
      <c r="A420" s="8" t="s">
        <v>2366</v>
      </c>
      <c r="B420" s="7" t="s">
        <v>2365</v>
      </c>
      <c r="C420" s="7" t="s">
        <v>2364</v>
      </c>
      <c r="D420" s="6">
        <v>27900</v>
      </c>
      <c r="E420" s="5">
        <v>1</v>
      </c>
      <c r="F420" s="4" t="str">
        <f ca="1">IFERROR(__xludf.DUMMYFUNCTION("LOWER(REGEXREPLACE(B420&amp;"" ""&amp;C420,""[^а-яa-z0-9 ]"","" ""))")," аза ты  кесте т гу  нер    ышивальное искусство казахов   mbroidery art of  azakhs  охтабаева   ")</f>
        <v xml:space="preserve"> аза ты  кесте т гу  нер    ышивальное искусство казахов   mbroidery art of  azakhs  охтабаева   </v>
      </c>
      <c r="G420" s="4" t="str">
        <f ca="1">IFERROR(__xludf.DUMMYFUNCTION("TEXTJOIN(""|"",TRUE,UNIQUE(FILTER(SPLIT(F420,"" ""),LEN(SPLIT(F420,"" ""))&gt;2)))"),"аза|кесте|нер|ышивальное|искусство|казахов|mbroidery|art|azakhs|охтабаева")</f>
        <v>аза|кесте|нер|ышивальное|искусство|казахов|mbroidery|art|azakhs|охтабаева</v>
      </c>
      <c r="I420" s="1"/>
      <c r="J420" s="1"/>
    </row>
    <row r="421" spans="1:10" x14ac:dyDescent="0.2">
      <c r="A421" s="8" t="s">
        <v>2363</v>
      </c>
      <c r="B421" s="7" t="s">
        <v>2362</v>
      </c>
      <c r="C421" s="7"/>
      <c r="D421" s="6">
        <v>1700</v>
      </c>
      <c r="E421" s="5">
        <v>1</v>
      </c>
      <c r="F421" s="4" t="str">
        <f ca="1">IFERROR(__xludf.DUMMYFUNCTION("LOWER(REGEXREPLACE(B421&amp;"" ""&amp;C421,""[^а-яa-z0-9 ]"","" ""))")," алай сыпайы с йлесуге болады   ак вести себя вежливо   ow to speak well ")</f>
        <v xml:space="preserve"> алай сыпайы с йлесуге болады   ак вести себя вежливо   ow to speak well </v>
      </c>
      <c r="G421" s="4" t="str">
        <f ca="1">IFERROR(__xludf.DUMMYFUNCTION("TEXTJOIN(""|"",TRUE,UNIQUE(FILTER(SPLIT(F421,"" ""),LEN(SPLIT(F421,"" ""))&gt;2)))"),"алай|сыпайы|йлесуге|болады|вести|себя|вежливо|speak|well")</f>
        <v>алай|сыпайы|йлесуге|болады|вести|себя|вежливо|speak|well</v>
      </c>
      <c r="I421" s="1"/>
      <c r="J421" s="1"/>
    </row>
    <row r="422" spans="1:10" x14ac:dyDescent="0.2">
      <c r="A422" s="8" t="s">
        <v>2361</v>
      </c>
      <c r="B422" s="7" t="s">
        <v>2360</v>
      </c>
      <c r="C422" s="7" t="s">
        <v>833</v>
      </c>
      <c r="D422" s="6">
        <v>4800</v>
      </c>
      <c r="E422" s="5">
        <v>1</v>
      </c>
      <c r="F422" s="4" t="str">
        <f ca="1">IFERROR(__xludf.DUMMYFUNCTION("LOWER(REGEXREPLACE(B422&amp;"" ""&amp;C422,""[^а-яa-z0-9 ]"","" ""))")," ара шылар туралы 10 о и а  ертолет   ")</f>
        <v xml:space="preserve"> ара шылар туралы 10 о и а  ертолет   </v>
      </c>
      <c r="G422" s="4" t="str">
        <f ca="1">IFERROR(__xludf.DUMMYFUNCTION("TEXTJOIN(""|"",TRUE,UNIQUE(FILTER(SPLIT(F422,"" ""),LEN(SPLIT(F422,"" ""))&gt;2)))"),"ара|шылар|туралы|ертолет")</f>
        <v>ара|шылар|туралы|ертолет</v>
      </c>
      <c r="I422" s="1"/>
      <c r="J422" s="1"/>
    </row>
    <row r="423" spans="1:10" x14ac:dyDescent="0.2">
      <c r="A423" s="8" t="s">
        <v>2359</v>
      </c>
      <c r="B423" s="7" t="s">
        <v>2358</v>
      </c>
      <c r="C423" s="7" t="s">
        <v>2349</v>
      </c>
      <c r="D423" s="6">
        <v>7900</v>
      </c>
      <c r="E423" s="5">
        <v>1</v>
      </c>
      <c r="F423" s="4" t="str">
        <f ca="1">IFERROR(__xludf.DUMMYFUNCTION("LOWER(REGEXREPLACE(B423&amp;"" ""&amp;C423,""[^а-яa-z0-9 ]"","" ""))")," обыланды батыр  каз   а ылш    ей мдеген    ум сбаев")</f>
        <v xml:space="preserve"> обыланды батыр  каз   а ылш    ей мдеген    ум сбаев</v>
      </c>
      <c r="G423" s="4" t="str">
        <f ca="1">IFERROR(__xludf.DUMMYFUNCTION("TEXTJOIN(""|"",TRUE,UNIQUE(FILTER(SPLIT(F423,"" ""),LEN(SPLIT(F423,"" ""))&gt;2)))"),"обыланды|батыр|каз|ылш|мдеген|сбаев")</f>
        <v>обыланды|батыр|каз|ылш|мдеген|сбаев</v>
      </c>
      <c r="I423" s="1"/>
      <c r="J423" s="1"/>
    </row>
    <row r="424" spans="1:10" x14ac:dyDescent="0.2">
      <c r="A424" s="8" t="s">
        <v>2357</v>
      </c>
      <c r="B424" s="7" t="s">
        <v>2356</v>
      </c>
      <c r="C424" s="7" t="s">
        <v>2355</v>
      </c>
      <c r="D424" s="6">
        <v>6400</v>
      </c>
      <c r="E424" s="5">
        <v>1</v>
      </c>
      <c r="F424" s="4" t="str">
        <f ca="1">IFERROR(__xludf.DUMMYFUNCTION("LOWER(REGEXREPLACE(B424&amp;"" ""&amp;C424,""[^а-яa-z0-9 ]"","" ""))")," обыланды батыр  рус   англ    дапт   умисбаев   ")</f>
        <v xml:space="preserve"> обыланды батыр  рус   англ    дапт   умисбаев   </v>
      </c>
      <c r="G424" s="4" t="str">
        <f ca="1">IFERROR(__xludf.DUMMYFUNCTION("TEXTJOIN(""|"",TRUE,UNIQUE(FILTER(SPLIT(F424,"" ""),LEN(SPLIT(F424,"" ""))&gt;2)))"),"обыланды|батыр|рус|англ|дапт|умисбаев")</f>
        <v>обыланды|батыр|рус|англ|дапт|умисбаев</v>
      </c>
      <c r="I424" s="1"/>
      <c r="J424" s="1"/>
    </row>
    <row r="425" spans="1:10" x14ac:dyDescent="0.2">
      <c r="A425" s="8" t="s">
        <v>2354</v>
      </c>
      <c r="B425" s="7" t="s">
        <v>2353</v>
      </c>
      <c r="C425" s="7" t="s">
        <v>2352</v>
      </c>
      <c r="D425" s="6">
        <v>39900</v>
      </c>
      <c r="E425" s="5">
        <v>21</v>
      </c>
      <c r="F425" s="4" t="str">
        <f ca="1">IFERROR(__xludf.DUMMYFUNCTION("LOWER(REGEXREPLACE(B425&amp;"" ""&amp;C425,""[^а-яa-z0-9 ]"","" ""))")," алансировочная доска   литка   алансировочная доска используется для упражнений на удержание равновесия    процессе выполнения заданий осуществляется контроль положения тела и координация движений   онструкция выполнена с декоративными элементами в виде "&amp;"улитки и камней   редназначена для сенсорных и двигательных упражнений ")</f>
        <v xml:space="preserve"> алансировочная доска   литка   алансировочная доска используется для упражнений на удержание равновесия    процессе выполнения заданий осуществляется контроль положения тела и координация движений   онструкция выполнена с декоративными элементами в виде улитки и камней   редназначена для сенсорных и двигательных упражнений </v>
      </c>
      <c r="G425" s="4" t="str">
        <f ca="1">IFERROR(__xludf.DUMMYFUNCTION("TEXTJOIN(""|"",TRUE,UNIQUE(FILTER(SPLIT(F425,"" ""),LEN(SPLIT(F425,"" ""))&gt;2)))"),"алансировочная|доска|литка|алансировочная|доска|используется|для|упражнений|удержание|равновесия|процессе|выполнения|заданий|осуществляется|контроль|положения|тела|координация|движений|онструкция|выполнена|декоративными|элементами|виде|улитки|камней|редна"&amp;"значена|для|сенсорных|двигательных|упражнений")</f>
        <v>алансировочная|доска|литка|алансировочная|доска|используется|для|упражнений|удержание|равновесия|процессе|выполнения|заданий|осуществляется|контроль|положения|тела|координация|движений|онструкция|выполнена|декоративными|элементами|виде|улитки|камней|редназначена|для|сенсорных|двигательных|упражнений</v>
      </c>
      <c r="I425" s="1"/>
      <c r="J425" s="1"/>
    </row>
    <row r="426" spans="1:10" x14ac:dyDescent="0.2">
      <c r="A426" s="8" t="s">
        <v>2351</v>
      </c>
      <c r="B426" s="7" t="s">
        <v>2350</v>
      </c>
      <c r="C426" s="7" t="s">
        <v>2349</v>
      </c>
      <c r="D426" s="6">
        <v>7900</v>
      </c>
      <c r="E426" s="5">
        <v>1</v>
      </c>
      <c r="F426" s="4" t="str">
        <f ca="1">IFERROR(__xludf.DUMMYFUNCTION("LOWER(REGEXREPLACE(B426&amp;"" ""&amp;C426,""[^а-яa-z0-9 ]"","" ""))")," озы  орпеш    аян сулу  каз   агылш    ей мдеген    ум сбаев")</f>
        <v xml:space="preserve"> озы  орпеш    аян сулу  каз   агылш    ей мдеген    ум сбаев</v>
      </c>
      <c r="G426" s="4" t="str">
        <f ca="1">IFERROR(__xludf.DUMMYFUNCTION("TEXTJOIN(""|"",TRUE,UNIQUE(FILTER(SPLIT(F426,"" ""),LEN(SPLIT(F426,"" ""))&gt;2)))"),"озы|орпеш|аян|сулу|каз|агылш|мдеген|сбаев")</f>
        <v>озы|орпеш|аян|сулу|каз|агылш|мдеген|сбаев</v>
      </c>
      <c r="I426" s="1"/>
      <c r="J426" s="1"/>
    </row>
    <row r="427" spans="1:10" x14ac:dyDescent="0.2">
      <c r="A427" s="8" t="s">
        <v>2348</v>
      </c>
      <c r="B427" s="7" t="s">
        <v>2347</v>
      </c>
      <c r="C427" s="7" t="s">
        <v>695</v>
      </c>
      <c r="D427" s="6">
        <v>21900</v>
      </c>
      <c r="E427" s="5">
        <v>1</v>
      </c>
      <c r="F427" s="4" t="str">
        <f ca="1">IFERROR(__xludf.DUMMYFUNCTION("LOWER(REGEXREPLACE(B427&amp;"" ""&amp;C427,""[^а-яa-z0-9 ]"","" ""))")," ош келд     з  аурыз   санды   к тап      спанова")</f>
        <v xml:space="preserve"> ош келд     з  аурыз   санды   к тап      спанова</v>
      </c>
      <c r="G427" s="4" t="str">
        <f ca="1">IFERROR(__xludf.DUMMYFUNCTION("TEXTJOIN(""|"",TRUE,UNIQUE(FILTER(SPLIT(F427,"" ""),LEN(SPLIT(F427,"" ""))&gt;2)))"),"келд|аурыз|санды|тап|спанова")</f>
        <v>келд|аурыз|санды|тап|спанова</v>
      </c>
      <c r="I427" s="1"/>
      <c r="J427" s="1"/>
    </row>
    <row r="428" spans="1:10" x14ac:dyDescent="0.2">
      <c r="A428" s="8" t="s">
        <v>2346</v>
      </c>
      <c r="B428" s="7" t="s">
        <v>2345</v>
      </c>
      <c r="C428" s="7" t="s">
        <v>2344</v>
      </c>
      <c r="D428" s="6">
        <v>4000</v>
      </c>
      <c r="E428" s="5">
        <v>1</v>
      </c>
      <c r="F428" s="4" t="str">
        <f ca="1">IFERROR(__xludf.DUMMYFUNCTION("LOWER(REGEXREPLACE(B428&amp;"" ""&amp;C428,""[^а-яa-z0-9 ]"","" ""))")," уырмаш  та па тар  жа ылтпаштар  ж мбактар мен ма ал м телдер     аева")</f>
        <v xml:space="preserve"> уырмаш  та па тар  жа ылтпаштар  ж мбактар мен ма ал м телдер     аева</v>
      </c>
      <c r="G428" s="4" t="str">
        <f ca="1">IFERROR(__xludf.DUMMYFUNCTION("TEXTJOIN(""|"",TRUE,UNIQUE(FILTER(SPLIT(F428,"" ""),LEN(SPLIT(F428,"" ""))&gt;2)))"),"уырмаш|тар|ылтпаштар|мбактар|мен|телдер|аева")</f>
        <v>уырмаш|тар|ылтпаштар|мбактар|мен|телдер|аева</v>
      </c>
      <c r="I428" s="1"/>
      <c r="J428" s="1"/>
    </row>
    <row r="429" spans="1:10" x14ac:dyDescent="0.2">
      <c r="A429" s="8" t="s">
        <v>2343</v>
      </c>
      <c r="B429" s="7" t="s">
        <v>2342</v>
      </c>
      <c r="C429" s="7" t="s">
        <v>2341</v>
      </c>
      <c r="D429" s="6">
        <v>6100</v>
      </c>
      <c r="E429" s="5">
        <v>5</v>
      </c>
      <c r="F429" s="4" t="str">
        <f ca="1">IFERROR(__xludf.DUMMYFUNCTION("LOWER(REGEXREPLACE(B429&amp;"" ""&amp;C429,""[^а-яa-z0-9 ]"","" ""))")," уырмаш  та па тар  жа ылтпаштар  ж мба тар мен ма ал м телдер   борник детского фольклора  включающий потешки  скороговорки  загадки и пословицы   спользуется для развития речи  дикции  памяти и знакомства с устным народным творчеством ")</f>
        <v xml:space="preserve"> уырмаш  та па тар  жа ылтпаштар  ж мба тар мен ма ал м телдер   борник детского фольклора  включающий потешки  скороговорки  загадки и пословицы   спользуется для развития речи  дикции  памяти и знакомства с устным народным творчеством </v>
      </c>
      <c r="G429" s="4" t="str">
        <f ca="1">IFERROR(__xludf.DUMMYFUNCTION("TEXTJOIN(""|"",TRUE,UNIQUE(FILTER(SPLIT(F429,"" ""),LEN(SPLIT(F429,"" ""))&gt;2)))"),"уырмаш|тар|ылтпаштар|мба|тар|мен|телдер|борник|детского|фольклора|включающий|потешки|скороговорки|загадки|пословицы|спользуется|для|развития|речи|дикции|памяти|знакомства|устным|народным|творчеством")</f>
        <v>уырмаш|тар|ылтпаштар|мба|тар|мен|телдер|борник|детского|фольклора|включающий|потешки|скороговорки|загадки|пословицы|спользуется|для|развития|речи|дикции|памяти|знакомства|устным|народным|творчеством</v>
      </c>
      <c r="I429" s="1"/>
      <c r="J429" s="1"/>
    </row>
    <row r="430" spans="1:10" x14ac:dyDescent="0.2">
      <c r="A430" s="8" t="s">
        <v>2340</v>
      </c>
      <c r="B430" s="7" t="s">
        <v>2339</v>
      </c>
      <c r="C430" s="7" t="s">
        <v>2338</v>
      </c>
      <c r="D430" s="6">
        <v>7000</v>
      </c>
      <c r="E430" s="5">
        <v>1</v>
      </c>
      <c r="F430" s="4" t="str">
        <f ca="1">IFERROR(__xludf.DUMMYFUNCTION("LOWER(REGEXREPLACE(B430&amp;"" ""&amp;C430,""[^а-яa-z0-9 ]"","" ""))")," ыз  iбек  каз    ей мдеген    айзулла лы")</f>
        <v xml:space="preserve"> ыз  iбек  каз    ей мдеген    айзулла лы</v>
      </c>
      <c r="G430" s="4" t="str">
        <f ca="1">IFERROR(__xludf.DUMMYFUNCTION("TEXTJOIN(""|"",TRUE,UNIQUE(FILTER(SPLIT(F430,"" ""),LEN(SPLIT(F430,"" ""))&gt;2)))"),"iбек|каз|мдеген|айзулла")</f>
        <v>iбек|каз|мдеген|айзулла</v>
      </c>
      <c r="I430" s="1"/>
      <c r="J430" s="1"/>
    </row>
    <row r="431" spans="1:10" x14ac:dyDescent="0.2">
      <c r="A431" s="8" t="s">
        <v>2337</v>
      </c>
      <c r="B431" s="7" t="s">
        <v>2336</v>
      </c>
      <c r="C431" s="7" t="s">
        <v>2335</v>
      </c>
      <c r="D431" s="6">
        <v>5800</v>
      </c>
      <c r="E431" s="5">
        <v>1</v>
      </c>
      <c r="F431" s="4" t="str">
        <f ca="1">IFERROR(__xludf.DUMMYFUNCTION("LOWER(REGEXREPLACE(B431&amp;"" ""&amp;C431,""[^а-яa-z0-9 ]"","" ""))")," ыз  iбек  рус    дапт      айзулла лы")</f>
        <v xml:space="preserve"> ыз  iбек  рус    дапт      айзулла лы</v>
      </c>
      <c r="G431" s="4" t="str">
        <f ca="1">IFERROR(__xludf.DUMMYFUNCTION("TEXTJOIN(""|"",TRUE,UNIQUE(FILTER(SPLIT(F431,"" ""),LEN(SPLIT(F431,"" ""))&gt;2)))"),"iбек|рус|дапт|айзулла")</f>
        <v>iбек|рус|дапт|айзулла</v>
      </c>
      <c r="I431" s="1"/>
      <c r="J431" s="1"/>
    </row>
    <row r="432" spans="1:10" x14ac:dyDescent="0.2">
      <c r="A432" s="8" t="s">
        <v>2334</v>
      </c>
      <c r="B432" s="7" t="s">
        <v>2333</v>
      </c>
      <c r="C432" s="7"/>
      <c r="D432" s="6">
        <v>1700</v>
      </c>
      <c r="E432" s="5">
        <v>1</v>
      </c>
      <c r="F432" s="4" t="str">
        <f ca="1">IFERROR(__xludf.DUMMYFUNCTION("LOWER(REGEXREPLACE(B432&amp;"" ""&amp;C432,""[^а-яa-z0-9 ]"","" ""))")," ыз аныштан  алай   тыламын   ак побороть в себе зависть   ow to remove jealousy ")</f>
        <v xml:space="preserve"> ыз аныштан  алай   тыламын   ак побороть в себе зависть   ow to remove jealousy </v>
      </c>
      <c r="G432" s="4" t="str">
        <f ca="1">IFERROR(__xludf.DUMMYFUNCTION("TEXTJOIN(""|"",TRUE,UNIQUE(FILTER(SPLIT(F432,"" ""),LEN(SPLIT(F432,"" ""))&gt;2)))"),"аныштан|алай|тыламын|побороть|себе|зависть|remove|jealousy")</f>
        <v>аныштан|алай|тыламын|побороть|себе|зависть|remove|jealousy</v>
      </c>
      <c r="I432" s="1"/>
      <c r="J432" s="1"/>
    </row>
    <row r="433" spans="1:10" x14ac:dyDescent="0.2">
      <c r="A433" s="8" t="s">
        <v>2332</v>
      </c>
      <c r="B433" s="7" t="s">
        <v>2331</v>
      </c>
      <c r="C433" s="7" t="s">
        <v>2330</v>
      </c>
      <c r="D433" s="6">
        <v>10500</v>
      </c>
      <c r="E433" s="5">
        <v>2</v>
      </c>
      <c r="F433" s="4" t="str">
        <f ca="1">IFERROR(__xludf.DUMMYFUNCTION("LOWER(REGEXREPLACE(B433&amp;"" ""&amp;C433,""[^а-яa-z0-9 ]"","" ""))")," ак защитный  криловый лак на водной основе  предназначенный для защиты детских изделий и поделок   спользуется в творческой деятельности для повышения износостойкости  защиты от влаги и придания аккуратного внешнего вида   езопасен при использовании в де"&amp;"тской среде ")</f>
        <v xml:space="preserve"> ак защитный  криловый лак на водной основе  предназначенный для защиты детских изделий и поделок   спользуется в творческой деятельности для повышения износостойкости  защиты от влаги и придания аккуратного внешнего вида   езопасен при использовании в детской среде </v>
      </c>
      <c r="G433" s="4" t="str">
        <f ca="1">IFERROR(__xludf.DUMMYFUNCTION("TEXTJOIN(""|"",TRUE,UNIQUE(FILTER(SPLIT(F433,"" ""),LEN(SPLIT(F433,"" ""))&gt;2)))"),"защитный|криловый|лак|водной|основе|предназначенный|для|защиты|детских|изделий|поделок|спользуется|творческой|деятельности|для|повышения|износостойкости|защиты|влаги|придания|аккуратного|внешнего|вида|езопасен|при|использовании|детской|среде")</f>
        <v>защитный|криловый|лак|водной|основе|предназначенный|для|защиты|детских|изделий|поделок|спользуется|творческой|деятельности|для|повышения|износостойкости|защиты|влаги|придания|аккуратного|внешнего|вида|езопасен|при|использовании|детской|среде</v>
      </c>
      <c r="I433" s="1"/>
      <c r="J433" s="1"/>
    </row>
    <row r="434" spans="1:10" x14ac:dyDescent="0.2">
      <c r="A434" s="8" t="s">
        <v>2329</v>
      </c>
      <c r="B434" s="7" t="s">
        <v>2328</v>
      </c>
      <c r="C434" s="7" t="s">
        <v>2327</v>
      </c>
      <c r="D434" s="6">
        <v>3600</v>
      </c>
      <c r="E434" s="5">
        <v>1</v>
      </c>
      <c r="F434" s="4" t="str">
        <f ca="1">IFERROR(__xludf.DUMMYFUNCTION("LOWER(REGEXREPLACE(B434&amp;"" ""&amp;C434,""[^а-яa-z0-9 ]"","" ""))")," еонардо да  инчи   eonardo da  inci  каз   рус   англ яз    арен  ол  перевод  ужикова      санова    ")</f>
        <v xml:space="preserve"> еонардо да  инчи   eonardo da  inci  каз   рус   англ яз    арен  ол  перевод  ужикова      санова    </v>
      </c>
      <c r="G434" s="4" t="str">
        <f ca="1">IFERROR(__xludf.DUMMYFUNCTION("TEXTJOIN(""|"",TRUE,UNIQUE(FILTER(SPLIT(F434,"" ""),LEN(SPLIT(F434,"" ""))&gt;2)))"),"еонардо|инчи|eonardo|inci|каз|рус|англ|арен|перевод|ужикова|санова")</f>
        <v>еонардо|инчи|eonardo|inci|каз|рус|англ|арен|перевод|ужикова|санова</v>
      </c>
      <c r="I434" s="1"/>
      <c r="J434" s="1"/>
    </row>
    <row r="435" spans="1:10" x14ac:dyDescent="0.2">
      <c r="A435" s="8" t="s">
        <v>2326</v>
      </c>
      <c r="B435" s="7" t="s">
        <v>2325</v>
      </c>
      <c r="C435" s="7" t="s">
        <v>2324</v>
      </c>
      <c r="D435" s="6">
        <v>5400</v>
      </c>
      <c r="E435" s="5">
        <v>2</v>
      </c>
      <c r="F435" s="4" t="str">
        <f ca="1">IFERROR(__xludf.DUMMYFUNCTION("LOWER(REGEXREPLACE(B435&amp;"" ""&amp;C435,""[^а-яa-z0-9 ]"","" ""))")," епка  методическое руководство   лектронное методическое пособие по организации занятий по лепке для детей младшего возраста   спользуется педагогами для планирования и проведения развивающих занятий  направленных на развитие моторики и творчества ")</f>
        <v xml:space="preserve"> епка  методическое руководство   лектронное методическое пособие по организации занятий по лепке для детей младшего возраста   спользуется педагогами для планирования и проведения развивающих занятий  направленных на развитие моторики и творчества </v>
      </c>
      <c r="G435" s="4" t="str">
        <f ca="1">IFERROR(__xludf.DUMMYFUNCTION("TEXTJOIN(""|"",TRUE,UNIQUE(FILTER(SPLIT(F435,"" ""),LEN(SPLIT(F435,"" ""))&gt;2)))"),"епка|методическое|руководство|лектронное|методическое|пособие|организации|занятий|лепке|для|детей|младшего|возраста|спользуется|педагогами|для|планирования|проведения|развивающих|занятий|направленных|развитие|моторики|творчества")</f>
        <v>епка|методическое|руководство|лектронное|методическое|пособие|организации|занятий|лепке|для|детей|младшего|возраста|спользуется|педагогами|для|планирования|проведения|развивающих|занятий|направленных|развитие|моторики|творчества</v>
      </c>
      <c r="I435" s="1"/>
      <c r="J435" s="1"/>
    </row>
    <row r="436" spans="1:10" x14ac:dyDescent="0.2">
      <c r="A436" s="8" t="s">
        <v>2323</v>
      </c>
      <c r="B436" s="7" t="s">
        <v>2322</v>
      </c>
      <c r="C436" s="7" t="s">
        <v>2321</v>
      </c>
      <c r="D436" s="6">
        <v>7600</v>
      </c>
      <c r="E436" s="5">
        <v>2</v>
      </c>
      <c r="F436" s="4" t="str">
        <f ca="1">IFERROR(__xludf.DUMMYFUNCTION("LOWER(REGEXREPLACE(B436&amp;"" ""&amp;C436,""[^а-яa-z0-9 ]"","" ""))")," алансировочная подушка  алансировочная подушка применяется при выполнении упражнений на равновесие и устойчивость   спользуется как опора при стоянии  сидении и выполнении движений   оверхность изделия обеспечивает нестабильную опору  стимулируя удержани"&amp;"е баланса   азмер подушки составляет не менее 16 16 см   атериал водонепроницаемый и рассчитан на многократное использование ")</f>
        <v xml:space="preserve"> алансировочная подушка  алансировочная подушка применяется при выполнении упражнений на равновесие и устойчивость   спользуется как опора при стоянии  сидении и выполнении движений   оверхность изделия обеспечивает нестабильную опору  стимулируя удержание баланса   азмер подушки составляет не менее 16 16 см   атериал водонепроницаемый и рассчитан на многократное использование </v>
      </c>
      <c r="G436" s="4" t="str">
        <f ca="1">IFERROR(__xludf.DUMMYFUNCTION("TEXTJOIN(""|"",TRUE,UNIQUE(FILTER(SPLIT(F436,"" ""),LEN(SPLIT(F436,"" ""))&gt;2)))"),"алансировочная|подушка|алансировочная|подушка|применяется|при|выполнении|упражнений|равновесие|устойчивость|спользуется|как|опора|при|стоянии|сидении|выполнении|движений|оверхность|изделия|обеспечивает|нестабильную|опору|стимулируя|удержание|баланса|азмер"&amp;"|подушки|составляет|менее|атериал|водонепроницаемый|рассчитан|многократное|использование")</f>
        <v>алансировочная|подушка|алансировочная|подушка|применяется|при|выполнении|упражнений|равновесие|устойчивость|спользуется|как|опора|при|стоянии|сидении|выполнении|движений|оверхность|изделия|обеспечивает|нестабильную|опору|стимулируя|удержание|баланса|азмер|подушки|составляет|менее|атериал|водонепроницаемый|рассчитан|многократное|использование</v>
      </c>
      <c r="I436" s="1"/>
      <c r="J436" s="1"/>
    </row>
    <row r="437" spans="1:10" x14ac:dyDescent="0.2">
      <c r="A437" s="8" t="s">
        <v>2320</v>
      </c>
      <c r="B437" s="7" t="s">
        <v>2319</v>
      </c>
      <c r="C437" s="7" t="s">
        <v>2318</v>
      </c>
      <c r="D437" s="6">
        <v>45000</v>
      </c>
      <c r="E437" s="5">
        <v>1</v>
      </c>
      <c r="F437" s="4" t="str">
        <f ca="1">IFERROR(__xludf.DUMMYFUNCTION("LOWER(REGEXREPLACE(B437&amp;"" ""&amp;C437,""[^а-яa-z0-9 ]"","" ""))")," естница стремянка  естница стремянка с 3 5 ступенями  предназначена для хозяйственных и обслуживающих работ в помещениях   онструкция устойчивая  металлическая  с противоскользящими ступенями  обеспечивает безопасное использование ")</f>
        <v xml:space="preserve"> естница стремянка  естница стремянка с 3 5 ступенями  предназначена для хозяйственных и обслуживающих работ в помещениях   онструкция устойчивая  металлическая  с противоскользящими ступенями  обеспечивает безопасное использование </v>
      </c>
      <c r="G437" s="4" t="str">
        <f ca="1">IFERROR(__xludf.DUMMYFUNCTION("TEXTJOIN(""|"",TRUE,UNIQUE(FILTER(SPLIT(F437,"" ""),LEN(SPLIT(F437,"" ""))&gt;2)))"),"естница|стремянка|естница|стремянка|ступенями|предназначена|для|хозяйственных|обслуживающих|работ|помещениях|онструкция|устойчивая|металлическая|противоскользящими|ступенями|обеспечивает|безопасное|использование")</f>
        <v>естница|стремянка|естница|стремянка|ступенями|предназначена|для|хозяйственных|обслуживающих|работ|помещениях|онструкция|устойчивая|металлическая|противоскользящими|ступенями|обеспечивает|безопасное|использование</v>
      </c>
      <c r="I437" s="1"/>
      <c r="J437" s="1"/>
    </row>
    <row r="438" spans="1:10" x14ac:dyDescent="0.2">
      <c r="A438" s="8" t="s">
        <v>2317</v>
      </c>
      <c r="B438" s="7" t="s">
        <v>2316</v>
      </c>
      <c r="C438" s="7" t="s">
        <v>2315</v>
      </c>
      <c r="D438" s="6">
        <v>4700</v>
      </c>
      <c r="E438" s="5">
        <v>2</v>
      </c>
      <c r="F438" s="4" t="str">
        <f ca="1">IFERROR(__xludf.DUMMYFUNCTION("LOWER(REGEXREPLACE(B438&amp;"" ""&amp;C438,""[^а-яa-z0-9 ]"","" ""))")," огические деревянные игры  аборы развивающих игр из дерева  направленные на развитие мышления  памяти и внимания   спользуются в индивидуальной и групповой работе с детьми   пособствуют формированию навыков анализа и решения задач ")</f>
        <v xml:space="preserve"> огические деревянные игры  аборы развивающих игр из дерева  направленные на развитие мышления  памяти и внимания   спользуются в индивидуальной и групповой работе с детьми   пособствуют формированию навыков анализа и решения задач </v>
      </c>
      <c r="G438" s="4" t="str">
        <f ca="1">IFERROR(__xludf.DUMMYFUNCTION("TEXTJOIN(""|"",TRUE,UNIQUE(FILTER(SPLIT(F438,"" ""),LEN(SPLIT(F438,"" ""))&gt;2)))"),"огические|деревянные|игры|аборы|развивающих|игр|дерева|направленные|развитие|мышления|памяти|внимания|спользуются|индивидуальной|групповой|работе|детьми|пособствуют|формированию|навыков|анализа|решения|задач")</f>
        <v>огические|деревянные|игры|аборы|развивающих|игр|дерева|направленные|развитие|мышления|памяти|внимания|спользуются|индивидуальной|групповой|работе|детьми|пособствуют|формированию|навыков|анализа|решения|задач</v>
      </c>
      <c r="I438" s="1"/>
      <c r="J438" s="1"/>
    </row>
    <row r="439" spans="1:10" x14ac:dyDescent="0.2">
      <c r="A439" s="8" t="s">
        <v>2314</v>
      </c>
      <c r="B439" s="7" t="s">
        <v>2313</v>
      </c>
      <c r="C439" s="7" t="s">
        <v>2312</v>
      </c>
      <c r="D439" s="6">
        <v>8600</v>
      </c>
      <c r="E439" s="5">
        <v>2</v>
      </c>
      <c r="F439" s="4" t="str">
        <f ca="1">IFERROR(__xludf.DUMMYFUNCTION("LOWER(REGEXREPLACE(B439&amp;"" ""&amp;C439,""[^а-яa-z0-9 ]"","" ""))")," огопедическая игра   ишки со звуком     идактическое пособие для автоматизации звука и развития связной речи   спользуется логопедом в коррекционных занятиях   пособствует развитию фонематического слуха и речевых навыков ")</f>
        <v xml:space="preserve"> огопедическая игра   ишки со звуком     идактическое пособие для автоматизации звука и развития связной речи   спользуется логопедом в коррекционных занятиях   пособствует развитию фонематического слуха и речевых навыков </v>
      </c>
      <c r="G439" s="4" t="str">
        <f ca="1">IFERROR(__xludf.DUMMYFUNCTION("TEXTJOIN(""|"",TRUE,UNIQUE(FILTER(SPLIT(F439,"" ""),LEN(SPLIT(F439,"" ""))&gt;2)))"),"огопедическая|игра|ишки|звуком|идактическое|пособие|для|автоматизации|звука|развития|связной|речи|спользуется|логопедом|коррекционных|занятиях|пособствует|развитию|фонематического|слуха|речевых|навыков")</f>
        <v>огопедическая|игра|ишки|звуком|идактическое|пособие|для|автоматизации|звука|развития|связной|речи|спользуется|логопедом|коррекционных|занятиях|пособствует|развитию|фонематического|слуха|речевых|навыков</v>
      </c>
      <c r="I439" s="1"/>
      <c r="J439" s="1"/>
    </row>
    <row r="440" spans="1:10" x14ac:dyDescent="0.2">
      <c r="A440" s="8" t="s">
        <v>2311</v>
      </c>
      <c r="B440" s="7" t="s">
        <v>2310</v>
      </c>
      <c r="C440" s="7" t="s">
        <v>2309</v>
      </c>
      <c r="D440" s="6">
        <v>7600</v>
      </c>
      <c r="E440" s="5">
        <v>1</v>
      </c>
      <c r="F440" s="4" t="str">
        <f ca="1">IFERROR(__xludf.DUMMYFUNCTION("LOWER(REGEXREPLACE(B440&amp;"" ""&amp;C440,""[^а-яa-z0-9 ]"","" ""))")," огопедические игры  абор игр и пособий для развития речи и коррекции звукопроизношения   спользуются в индивидуальной и подгрупповой работе   пособствуют развитию фонематического слуха и речевого дыхания ")</f>
        <v xml:space="preserve"> огопедические игры  абор игр и пособий для развития речи и коррекции звукопроизношения   спользуются в индивидуальной и подгрупповой работе   пособствуют развитию фонематического слуха и речевого дыхания </v>
      </c>
      <c r="G440" s="4" t="str">
        <f ca="1">IFERROR(__xludf.DUMMYFUNCTION("TEXTJOIN(""|"",TRUE,UNIQUE(FILTER(SPLIT(F440,"" ""),LEN(SPLIT(F440,"" ""))&gt;2)))"),"огопедические|игры|абор|игр|пособий|для|развития|речи|коррекции|звукопроизношения|спользуются|индивидуальной|подгрупповой|работе|пособствуют|развитию|фонематического|слуха|речевого|дыхания")</f>
        <v>огопедические|игры|абор|игр|пособий|для|развития|речи|коррекции|звукопроизношения|спользуются|индивидуальной|подгрупповой|работе|пособствуют|развитию|фонематического|слуха|речевого|дыхания</v>
      </c>
      <c r="I440" s="1"/>
      <c r="J440" s="1"/>
    </row>
    <row r="441" spans="1:10" x14ac:dyDescent="0.2">
      <c r="A441" s="8" t="s">
        <v>2308</v>
      </c>
      <c r="B441" s="7" t="s">
        <v>2307</v>
      </c>
      <c r="C441" s="7" t="s">
        <v>2306</v>
      </c>
      <c r="D441" s="6">
        <v>6500</v>
      </c>
      <c r="E441" s="5">
        <v>5</v>
      </c>
      <c r="F441" s="4" t="str">
        <f ca="1">IFERROR(__xludf.DUMMYFUNCTION("LOWER(REGEXREPLACE(B441&amp;"" ""&amp;C441,""[^а-яa-z0-9 ]"","" ""))")," огопедический тренаж р   эробол   ыхательный логопедический тренаж р предназначен для развития силы и плавности воздушной струи  дыхания и голоса   спользуется в логопедических  психологических и развивающих занятиях   атериал   дерево    комплекте 2 шар"&amp;"ика ")</f>
        <v xml:space="preserve"> огопедический тренаж р   эробол   ыхательный логопедический тренаж р предназначен для развития силы и плавности воздушной струи  дыхания и голоса   спользуется в логопедических  психологических и развивающих занятиях   атериал   дерево    комплекте 2 шарика </v>
      </c>
      <c r="G441" s="4" t="str">
        <f ca="1">IFERROR(__xludf.DUMMYFUNCTION("TEXTJOIN(""|"",TRUE,UNIQUE(FILTER(SPLIT(F441,"" ""),LEN(SPLIT(F441,"" ""))&gt;2)))"),"огопедический|тренаж|эробол|ыхательный|логопедический|тренаж|предназначен|для|развития|силы|плавности|воздушной|струи|дыхания|голоса|спользуется|логопедических|психологических|развивающих|занятиях|атериал|дерево|комплекте|шарика")</f>
        <v>огопедический|тренаж|эробол|ыхательный|логопедический|тренаж|предназначен|для|развития|силы|плавности|воздушной|струи|дыхания|голоса|спользуется|логопедических|психологических|развивающих|занятиях|атериал|дерево|комплекте|шарика</v>
      </c>
      <c r="I441" s="1"/>
      <c r="J441" s="1"/>
    </row>
    <row r="442" spans="1:10" x14ac:dyDescent="0.2">
      <c r="A442" s="8" t="s">
        <v>2305</v>
      </c>
      <c r="B442" s="7" t="s">
        <v>2304</v>
      </c>
      <c r="C442" s="7" t="s">
        <v>2303</v>
      </c>
      <c r="D442" s="6">
        <v>35900</v>
      </c>
      <c r="E442" s="5">
        <v>7</v>
      </c>
      <c r="F442" s="4" t="str">
        <f ca="1">IFERROR(__xludf.DUMMYFUNCTION("LOWER(REGEXREPLACE(B442&amp;"" ""&amp;C442,""[^а-яa-z0-9 ]"","" ""))")," огопедический тренаж р перекидной  огопедический тренаж р предназначен для формирования и автоматизации звуков  развития фонематического слуха и речи   спользуется в индивидуальной и подгрупповой работе с детьми   арточки соединены перекидным механизмом "&amp;" материал износостойкий и удобный в использовании ")</f>
        <v xml:space="preserve"> огопедический тренаж р перекидной  огопедический тренаж р предназначен для формирования и автоматизации звуков  развития фонематического слуха и речи   спользуется в индивидуальной и подгрупповой работе с детьми   арточки соединены перекидным механизмом  материал износостойкий и удобный в использовании </v>
      </c>
      <c r="G442" s="4" t="str">
        <f ca="1">IFERROR(__xludf.DUMMYFUNCTION("TEXTJOIN(""|"",TRUE,UNIQUE(FILTER(SPLIT(F442,"" ""),LEN(SPLIT(F442,"" ""))&gt;2)))"),"огопедический|тренаж|перекидной|огопедический|тренаж|предназначен|для|формирования|автоматизации|звуков|развития|фонематического|слуха|речи|спользуется|индивидуальной|подгрупповой|работе|детьми|арточки|соединены|перекидным|механизмом|материал|износостойки"&amp;"й|удобный|использовании")</f>
        <v>огопедический|тренаж|перекидной|огопедический|тренаж|предназначен|для|формирования|автоматизации|звуков|развития|фонематического|слуха|речи|спользуется|индивидуальной|подгрупповой|работе|детьми|арточки|соединены|перекидным|механизмом|материал|износостойкий|удобный|использовании</v>
      </c>
      <c r="I442" s="1"/>
      <c r="J442" s="1"/>
    </row>
    <row r="443" spans="1:10" x14ac:dyDescent="0.2">
      <c r="A443" s="8" t="s">
        <v>2302</v>
      </c>
      <c r="B443" s="7" t="s">
        <v>2301</v>
      </c>
      <c r="C443" s="7" t="s">
        <v>2300</v>
      </c>
      <c r="D443" s="6">
        <v>4000</v>
      </c>
      <c r="E443" s="5">
        <v>50</v>
      </c>
      <c r="F443" s="4" t="str">
        <f ca="1">IFERROR(__xludf.DUMMYFUNCTION("LOWER(REGEXREPLACE(B443&amp;"" ""&amp;C443,""[^а-яa-z0-9 ]"","" ""))")," отки пластиковые  астольные пластиковые лотки для хранения документов и дидактических материалов   спользуются для организации рабочего пространства педагога и поддержания порядка ")</f>
        <v xml:space="preserve"> отки пластиковые  астольные пластиковые лотки для хранения документов и дидактических материалов   спользуются для организации рабочего пространства педагога и поддержания порядка </v>
      </c>
      <c r="G443" s="4" t="str">
        <f ca="1">IFERROR(__xludf.DUMMYFUNCTION("TEXTJOIN(""|"",TRUE,UNIQUE(FILTER(SPLIT(F443,"" ""),LEN(SPLIT(F443,"" ""))&gt;2)))"),"отки|пластиковые|астольные|пластиковые|лотки|для|хранения|документов|дидактических|материалов|спользуются|для|организации|рабочего|пространства|педагога|поддержания|порядка")</f>
        <v>отки|пластиковые|астольные|пластиковые|лотки|для|хранения|документов|дидактических|материалов|спользуются|для|организации|рабочего|пространства|педагога|поддержания|порядка</v>
      </c>
      <c r="I443" s="1"/>
      <c r="J443" s="1"/>
    </row>
    <row r="444" spans="1:10" x14ac:dyDescent="0.2">
      <c r="A444" s="8" t="s">
        <v>2299</v>
      </c>
      <c r="B444" s="7" t="s">
        <v>2298</v>
      </c>
      <c r="C444" s="7" t="s">
        <v>2297</v>
      </c>
      <c r="D444" s="6">
        <v>8000</v>
      </c>
      <c r="E444" s="5">
        <v>2</v>
      </c>
      <c r="F444" s="4" t="str">
        <f ca="1">IFERROR(__xludf.DUMMYFUNCTION("LOWER(REGEXREPLACE(B444&amp;"" ""&amp;C444,""[^а-яa-z0-9 ]"","" ""))")," оток медицинский почкообразный  редназначен для размещения инструментов и расходных материалов во время процедур ")</f>
        <v xml:space="preserve"> оток медицинский почкообразный  редназначен для размещения инструментов и расходных материалов во время процедур </v>
      </c>
      <c r="G444" s="4" t="str">
        <f ca="1">IFERROR(__xludf.DUMMYFUNCTION("TEXTJOIN(""|"",TRUE,UNIQUE(FILTER(SPLIT(F444,"" ""),LEN(SPLIT(F444,"" ""))&gt;2)))"),"оток|медицинский|почкообразный|редназначен|для|размещения|инструментов|расходных|материалов|время|процедур")</f>
        <v>оток|медицинский|почкообразный|редназначен|для|размещения|инструментов|расходных|материалов|время|процедур</v>
      </c>
      <c r="I444" s="1"/>
      <c r="J444" s="1"/>
    </row>
    <row r="445" spans="1:10" x14ac:dyDescent="0.2">
      <c r="A445" s="8" t="s">
        <v>2296</v>
      </c>
      <c r="B445" s="7" t="s">
        <v>2295</v>
      </c>
      <c r="C445" s="7" t="s">
        <v>2294</v>
      </c>
      <c r="D445" s="6">
        <v>1000</v>
      </c>
      <c r="E445" s="5">
        <v>40</v>
      </c>
      <c r="F445" s="4" t="str">
        <f ca="1">IFERROR(__xludf.DUMMYFUNCTION("LOWER(REGEXREPLACE(B445&amp;"" ""&amp;C445,""[^а-яa-z0-9 ]"","" ""))")," упа  птический прибор для увеличения мелких объектов и изображений   спользуется на занятиях по ознакомлению с окружающим миром и в исследовательской деятельности   азвивает наблюдательность и интерес к познанию ")</f>
        <v xml:space="preserve"> упа  птический прибор для увеличения мелких объектов и изображений   спользуется на занятиях по ознакомлению с окружающим миром и в исследовательской деятельности   азвивает наблюдательность и интерес к познанию </v>
      </c>
      <c r="G445" s="4" t="str">
        <f ca="1">IFERROR(__xludf.DUMMYFUNCTION("TEXTJOIN(""|"",TRUE,UNIQUE(FILTER(SPLIT(F445,"" ""),LEN(SPLIT(F445,"" ""))&gt;2)))"),"упа|птический|прибор|для|увеличения|мелких|объектов|изображений|спользуется|занятиях|ознакомлению|окружающим|миром|исследовательской|деятельности|азвивает|наблюдательность|интерес|познанию")</f>
        <v>упа|птический|прибор|для|увеличения|мелких|объектов|изображений|спользуется|занятиях|ознакомлению|окружающим|миром|исследовательской|деятельности|азвивает|наблюдательность|интерес|познанию</v>
      </c>
      <c r="I445" s="1"/>
      <c r="J445" s="1"/>
    </row>
    <row r="446" spans="1:10" x14ac:dyDescent="0.2">
      <c r="A446" s="8" t="s">
        <v>2293</v>
      </c>
      <c r="B446" s="7" t="s">
        <v>2292</v>
      </c>
      <c r="C446" s="7" t="s">
        <v>2291</v>
      </c>
      <c r="D446" s="6">
        <v>1400</v>
      </c>
      <c r="E446" s="5">
        <v>5</v>
      </c>
      <c r="F446" s="4" t="str">
        <f ca="1">IFERROR(__xludf.DUMMYFUNCTION("LOWER(REGEXREPLACE(B446&amp;"" ""&amp;C446,""[^а-яa-z0-9 ]"","" ""))")," упа детская увеличительная  етская увеличительная лупа  предназначенная для обучающих и исследовательских игр   спользуется для рассматривания мелких деталей и природных объектов   пособствует развитию познавательного интереса ")</f>
        <v xml:space="preserve"> упа детская увеличительная  етская увеличительная лупа  предназначенная для обучающих и исследовательских игр   спользуется для рассматривания мелких деталей и природных объектов   пособствует развитию познавательного интереса </v>
      </c>
      <c r="G446" s="4" t="str">
        <f ca="1">IFERROR(__xludf.DUMMYFUNCTION("TEXTJOIN(""|"",TRUE,UNIQUE(FILTER(SPLIT(F446,"" ""),LEN(SPLIT(F446,"" ""))&gt;2)))"),"упа|детская|увеличительная|етская|увеличительная|лупа|предназначенная|для|обучающих|исследовательских|игр|спользуется|для|рассматривания|мелких|деталей|природных|объектов|пособствует|развитию|познавательного|интереса")</f>
        <v>упа|детская|увеличительная|етская|увеличительная|лупа|предназначенная|для|обучающих|исследовательских|игр|спользуется|для|рассматривания|мелких|деталей|природных|объектов|пособствует|развитию|познавательного|интереса</v>
      </c>
      <c r="I446" s="1"/>
      <c r="J446" s="1"/>
    </row>
    <row r="447" spans="1:10" x14ac:dyDescent="0.2">
      <c r="A447" s="8" t="s">
        <v>2290</v>
      </c>
      <c r="B447" s="7" t="s">
        <v>2289</v>
      </c>
      <c r="C447" s="7" t="s">
        <v>2288</v>
      </c>
      <c r="D447" s="6">
        <v>285000</v>
      </c>
      <c r="E447" s="5">
        <v>3</v>
      </c>
      <c r="F447" s="4" t="str">
        <f ca="1">IFERROR(__xludf.DUMMYFUNCTION("LOWER(REGEXREPLACE(B447&amp;"" ""&amp;C447,""[^а-яa-z0-9 ]"","" ""))")," алансировочные дорожки  алансировочные дорожки используются для организации двигательной активности с элементами ходьбы и равновесия   редставляют собой последовательность элементов  по которым выполняется передвижение   рименяются для упражнений на коор"&amp;"динацию и устойчивость   онструкция рассчитана на напольное размещение и использование в помещениях ")</f>
        <v xml:space="preserve"> алансировочные дорожки  алансировочные дорожки используются для организации двигательной активности с элементами ходьбы и равновесия   редставляют собой последовательность элементов  по которым выполняется передвижение   рименяются для упражнений на координацию и устойчивость   онструкция рассчитана на напольное размещение и использование в помещениях </v>
      </c>
      <c r="G447" s="4" t="str">
        <f ca="1">IFERROR(__xludf.DUMMYFUNCTION("TEXTJOIN(""|"",TRUE,UNIQUE(FILTER(SPLIT(F447,"" ""),LEN(SPLIT(F447,"" ""))&gt;2)))"),"алансировочные|дорожки|алансировочные|дорожки|используются|для|организации|двигательной|активности|элементами|ходьбы|равновесия|редставляют|собой|последовательность|элементов|которым|выполняется|передвижение|рименяются|для|упражнений|координацию|устойчиво"&amp;"сть|онструкция|рассчитана|напольное|размещение|использование|помещениях")</f>
        <v>алансировочные|дорожки|алансировочные|дорожки|используются|для|организации|двигательной|активности|элементами|ходьбы|равновесия|редставляют|собой|последовательность|элементов|которым|выполняется|передвижение|рименяются|для|упражнений|координацию|устойчивость|онструкция|рассчитана|напольное|размещение|использование|помещениях</v>
      </c>
      <c r="I447" s="1"/>
      <c r="J447" s="1"/>
    </row>
    <row r="448" spans="1:10" x14ac:dyDescent="0.2">
      <c r="A448" s="8" t="s">
        <v>2287</v>
      </c>
      <c r="B448" s="7" t="s">
        <v>2286</v>
      </c>
      <c r="C448" s="7" t="s">
        <v>2285</v>
      </c>
      <c r="D448" s="6">
        <v>6800</v>
      </c>
      <c r="E448" s="5">
        <v>5</v>
      </c>
      <c r="F448" s="4" t="str">
        <f ca="1">IFERROR(__xludf.DUMMYFUNCTION("LOWER(REGEXREPLACE(B448&amp;"" ""&amp;C448,""[^а-яa-z0-9 ]"","" ""))")," агнитная рыбалка  азвивающая игра с магнитными элементами  направленная на развитие координации движений и внимания   спользуется в индивидуальной и подгрупповой игровой деятельности ")</f>
        <v xml:space="preserve"> агнитная рыбалка  азвивающая игра с магнитными элементами  направленная на развитие координации движений и внимания   спользуется в индивидуальной и подгрупповой игровой деятельности </v>
      </c>
      <c r="G448" s="4" t="str">
        <f ca="1">IFERROR(__xludf.DUMMYFUNCTION("TEXTJOIN(""|"",TRUE,UNIQUE(FILTER(SPLIT(F448,"" ""),LEN(SPLIT(F448,"" ""))&gt;2)))"),"агнитная|рыбалка|азвивающая|игра|магнитными|элементами|направленная|развитие|координации|движений|внимания|спользуется|индивидуальной|подгрупповой|игровой|деятельности")</f>
        <v>агнитная|рыбалка|азвивающая|игра|магнитными|элементами|направленная|развитие|координации|движений|внимания|спользуется|индивидуальной|подгрупповой|игровой|деятельности</v>
      </c>
      <c r="I448" s="1"/>
      <c r="J448" s="1"/>
    </row>
    <row r="449" spans="1:10" x14ac:dyDescent="0.2">
      <c r="A449" s="8" t="s">
        <v>2284</v>
      </c>
      <c r="B449" s="7" t="s">
        <v>2283</v>
      </c>
      <c r="C449" s="7" t="s">
        <v>2282</v>
      </c>
      <c r="D449" s="6">
        <v>32300</v>
      </c>
      <c r="E449" s="5">
        <v>5</v>
      </c>
      <c r="F449" s="4" t="str">
        <f ca="1">IFERROR(__xludf.DUMMYFUNCTION("LOWER(REGEXREPLACE(B449&amp;"" ""&amp;C449,""[^а-яa-z0-9 ]"","" ""))")," агнитные блоки  49 шт    абор магнитных элементов для конструирования различных форм и моделей   спользуется для развития пространственного мышления  логики и творческих способностей ")</f>
        <v xml:space="preserve"> агнитные блоки  49 шт    абор магнитных элементов для конструирования различных форм и моделей   спользуется для развития пространственного мышления  логики и творческих способностей </v>
      </c>
      <c r="G449" s="4" t="str">
        <f ca="1">IFERROR(__xludf.DUMMYFUNCTION("TEXTJOIN(""|"",TRUE,UNIQUE(FILTER(SPLIT(F449,"" ""),LEN(SPLIT(F449,"" ""))&gt;2)))"),"агнитные|блоки|абор|магнитных|элементов|для|конструирования|различных|форм|моделей|спользуется|для|развития|пространственного|мышления|логики|творческих|способностей")</f>
        <v>агнитные|блоки|абор|магнитных|элементов|для|конструирования|различных|форм|моделей|спользуется|для|развития|пространственного|мышления|логики|творческих|способностей</v>
      </c>
      <c r="I449" s="1"/>
      <c r="J449" s="1"/>
    </row>
    <row r="450" spans="1:10" x14ac:dyDescent="0.2">
      <c r="A450" s="8" t="s">
        <v>2281</v>
      </c>
      <c r="B450" s="7" t="s">
        <v>2280</v>
      </c>
      <c r="C450" s="7" t="s">
        <v>2279</v>
      </c>
      <c r="D450" s="6">
        <v>4600</v>
      </c>
      <c r="E450" s="5">
        <v>5</v>
      </c>
      <c r="F450" s="4" t="str">
        <f ca="1">IFERROR(__xludf.DUMMYFUNCTION("LOWER(REGEXREPLACE(B450&amp;"" ""&amp;C450,""[^а-яa-z0-9 ]"","" ""))")," агнитные палочки  азвивающее пособие с магнитными элементами для соединения и построения конструкций   спользуется для развития моторики  координации и логического мышления ")</f>
        <v xml:space="preserve"> агнитные палочки  азвивающее пособие с магнитными элементами для соединения и построения конструкций   спользуется для развития моторики  координации и логического мышления </v>
      </c>
      <c r="G450" s="4" t="str">
        <f ca="1">IFERROR(__xludf.DUMMYFUNCTION("TEXTJOIN(""|"",TRUE,UNIQUE(FILTER(SPLIT(F450,"" ""),LEN(SPLIT(F450,"" ""))&gt;2)))"),"агнитные|палочки|азвивающее|пособие|магнитными|элементами|для|соединения|построения|конструкций|спользуется|для|развития|моторики|координации|логического|мышления")</f>
        <v>агнитные|палочки|азвивающее|пособие|магнитными|элементами|для|соединения|построения|конструкций|спользуется|для|развития|моторики|координации|логического|мышления</v>
      </c>
      <c r="I450" s="1"/>
      <c r="J450" s="1"/>
    </row>
    <row r="451" spans="1:10" x14ac:dyDescent="0.2">
      <c r="A451" s="8" t="s">
        <v>2278</v>
      </c>
      <c r="B451" s="7" t="s">
        <v>2277</v>
      </c>
      <c r="C451" s="7" t="s">
        <v>2276</v>
      </c>
      <c r="D451" s="6">
        <v>22500</v>
      </c>
      <c r="E451" s="5">
        <v>7</v>
      </c>
      <c r="F451" s="4" t="str">
        <f ca="1">IFERROR(__xludf.DUMMYFUNCTION("LOWER(REGEXREPLACE(B451&amp;"" ""&amp;C451,""[^а-яa-z0-9 ]"","" ""))")," агнитный набор  абор магнитных строительных элементов для образовательных и игровых занятий   спользуется для развития      навыков  воображения и пространственного мышления ")</f>
        <v xml:space="preserve"> агнитный набор  абор магнитных строительных элементов для образовательных и игровых занятий   спользуется для развития      навыков  воображения и пространственного мышления </v>
      </c>
      <c r="G451" s="4" t="str">
        <f ca="1">IFERROR(__xludf.DUMMYFUNCTION("TEXTJOIN(""|"",TRUE,UNIQUE(FILTER(SPLIT(F451,"" ""),LEN(SPLIT(F451,"" ""))&gt;2)))"),"агнитный|набор|абор|магнитных|строительных|элементов|для|образовательных|игровых|занятий|спользуется|для|развития|навыков|воображения|пространственного|мышления")</f>
        <v>агнитный|набор|абор|магнитных|строительных|элементов|для|образовательных|игровых|занятий|спользуется|для|развития|навыков|воображения|пространственного|мышления</v>
      </c>
      <c r="I451" s="1"/>
      <c r="J451" s="1"/>
    </row>
    <row r="452" spans="1:10" x14ac:dyDescent="0.2">
      <c r="A452" s="8" t="s">
        <v>2275</v>
      </c>
      <c r="B452" s="7" t="s">
        <v>2274</v>
      </c>
      <c r="C452" s="7" t="s">
        <v>2273</v>
      </c>
      <c r="D452" s="6">
        <v>60600</v>
      </c>
      <c r="E452" s="5">
        <v>10</v>
      </c>
      <c r="F452" s="4" t="str">
        <f ca="1">IFERROR(__xludf.DUMMYFUNCTION("LOWER(REGEXREPLACE(B452&amp;"" ""&amp;C452,""[^а-яa-z0-9 ]"","" ""))")," агнитный строительный конструктор  набор   агнитный конструктор включает набор элементов для сборки различных конструкций    процессе игры выполняется соединение деталей с помощью магнитных креплений и построение моделей   акая деятельность способствует "&amp;"развитию пространственного мышления и координации движений   оличество элементов в наборе   не менее 40  возможны варианты комплектации до 100 деталей ")</f>
        <v xml:space="preserve"> агнитный строительный конструктор  набор   агнитный конструктор включает набор элементов для сборки различных конструкций    процессе игры выполняется соединение деталей с помощью магнитных креплений и построение моделей   акая деятельность способствует развитию пространственного мышления и координации движений   оличество элементов в наборе   не менее 40  возможны варианты комплектации до 100 деталей </v>
      </c>
      <c r="G452" s="4" t="str">
        <f ca="1">IFERROR(__xludf.DUMMYFUNCTION("TEXTJOIN(""|"",TRUE,UNIQUE(FILTER(SPLIT(F452,"" ""),LEN(SPLIT(F452,"" ""))&gt;2)))"),"агнитный|строительный|конструктор|набор|агнитный|конструктор|включает|набор|элементов|для|сборки|различных|конструкций|процессе|игры|выполняется|соединение|деталей|помощью|магнитных|креплений|построение|моделей|акая|деятельность|способствует|развитию|прос"&amp;"транственного|мышления|координации|движений|оличество|элементов|наборе|менее|возможны|варианты|комплектации|100|деталей")</f>
        <v>агнитный|строительный|конструктор|набор|агнитный|конструктор|включает|набор|элементов|для|сборки|различных|конструкций|процессе|игры|выполняется|соединение|деталей|помощью|магнитных|креплений|построение|моделей|акая|деятельность|способствует|развитию|пространственного|мышления|координации|движений|оличество|элементов|наборе|менее|возможны|варианты|комплектации|100|деталей</v>
      </c>
      <c r="I452" s="1"/>
      <c r="J452" s="1"/>
    </row>
    <row r="453" spans="1:10" x14ac:dyDescent="0.2">
      <c r="A453" s="8" t="s">
        <v>2272</v>
      </c>
      <c r="B453" s="7" t="s">
        <v>2271</v>
      </c>
      <c r="C453" s="7" t="s">
        <v>2270</v>
      </c>
      <c r="D453" s="6">
        <v>24700</v>
      </c>
      <c r="E453" s="5">
        <v>5</v>
      </c>
      <c r="F453" s="4" t="str">
        <f ca="1">IFERROR(__xludf.DUMMYFUNCTION("LOWER(REGEXREPLACE(B453&amp;"" ""&amp;C453,""[^а-яa-z0-9 ]"","" ""))")," агнитофон  удиооборудование для воспроизведения звуковых и музыкальных материалов   спользуется на музыкальных занятиях  праздниках и в образовательной деятельности ")</f>
        <v xml:space="preserve"> агнитофон  удиооборудование для воспроизведения звуковых и музыкальных материалов   спользуется на музыкальных занятиях  праздниках и в образовательной деятельности </v>
      </c>
      <c r="G453" s="4" t="str">
        <f ca="1">IFERROR(__xludf.DUMMYFUNCTION("TEXTJOIN(""|"",TRUE,UNIQUE(FILTER(SPLIT(F453,"" ""),LEN(SPLIT(F453,"" ""))&gt;2)))"),"агнитофон|удиооборудование|для|воспроизведения|звуковых|музыкальных|материалов|спользуется|музыкальных|занятиях|праздниках|образовательной|деятельности")</f>
        <v>агнитофон|удиооборудование|для|воспроизведения|звуковых|музыкальных|материалов|спользуется|музыкальных|занятиях|праздниках|образовательной|деятельности</v>
      </c>
      <c r="I453" s="1"/>
      <c r="J453" s="1"/>
    </row>
    <row r="454" spans="1:10" x14ac:dyDescent="0.2">
      <c r="A454" s="8" t="s">
        <v>2269</v>
      </c>
      <c r="B454" s="7" t="s">
        <v>2268</v>
      </c>
      <c r="C454" s="7" t="s">
        <v>2267</v>
      </c>
      <c r="D454" s="6">
        <v>36800</v>
      </c>
      <c r="E454" s="5">
        <v>7</v>
      </c>
      <c r="F454" s="4" t="str">
        <f ca="1">IFERROR(__xludf.DUMMYFUNCTION("LOWER(REGEXREPLACE(B454&amp;"" ""&amp;C454,""[^а-яa-z0-9 ]"","" ""))")," арионеточный театр  еатральный набор с марионетками для постановки небольших спектаклей   спользуется для развития речи  выразительности и коммуникативных навыков   рименяется в совместной деятельности с педагогом ")</f>
        <v xml:space="preserve"> арионеточный театр  еатральный набор с марионетками для постановки небольших спектаклей   спользуется для развития речи  выразительности и коммуникативных навыков   рименяется в совместной деятельности с педагогом </v>
      </c>
      <c r="G454" s="4" t="str">
        <f ca="1">IFERROR(__xludf.DUMMYFUNCTION("TEXTJOIN(""|"",TRUE,UNIQUE(FILTER(SPLIT(F454,"" ""),LEN(SPLIT(F454,"" ""))&gt;2)))"),"арионеточный|театр|еатральный|набор|марионетками|для|постановки|небольших|спектаклей|спользуется|для|развития|речи|выразительности|коммуникативных|навыков|рименяется|совместной|деятельности|педагогом")</f>
        <v>арионеточный|театр|еатральный|набор|марионетками|для|постановки|небольших|спектаклей|спользуется|для|развития|речи|выразительности|коммуникативных|навыков|рименяется|совместной|деятельности|педагогом</v>
      </c>
      <c r="I454" s="1"/>
      <c r="J454" s="1"/>
    </row>
    <row r="455" spans="1:10" x14ac:dyDescent="0.2">
      <c r="A455" s="8" t="s">
        <v>2266</v>
      </c>
      <c r="B455" s="7" t="s">
        <v>2265</v>
      </c>
      <c r="C455" s="7" t="s">
        <v>2264</v>
      </c>
      <c r="D455" s="6">
        <v>5700</v>
      </c>
      <c r="E455" s="5">
        <v>10</v>
      </c>
      <c r="F455" s="4" t="str">
        <f ca="1">IFERROR(__xludf.DUMMYFUNCTION("LOWER(REGEXREPLACE(B455&amp;"" ""&amp;C455,""[^а-яa-z0-9 ]"","" ""))")," асса для лепки на водной основе  оздушно сушащаяся масса для лепки  предназначенная для творческих занятий   спользуется без обжига  удобна для детского творчества   пособствует развитию моторики и воображения ")</f>
        <v xml:space="preserve"> асса для лепки на водной основе  оздушно сушащаяся масса для лепки  предназначенная для творческих занятий   спользуется без обжига  удобна для детского творчества   пособствует развитию моторики и воображения </v>
      </c>
      <c r="G455" s="4" t="str">
        <f ca="1">IFERROR(__xludf.DUMMYFUNCTION("TEXTJOIN(""|"",TRUE,UNIQUE(FILTER(SPLIT(F455,"" ""),LEN(SPLIT(F455,"" ""))&gt;2)))"),"асса|для|лепки|водной|основе|оздушно|сушащаяся|масса|для|лепки|предназначенная|для|творческих|занятий|спользуется|без|обжига|удобна|для|детского|творчества|пособствует|развитию|моторики|воображения")</f>
        <v>асса|для|лепки|водной|основе|оздушно|сушащаяся|масса|для|лепки|предназначенная|для|творческих|занятий|спользуется|без|обжига|удобна|для|детского|творчества|пособствует|развитию|моторики|воображения</v>
      </c>
      <c r="I455" s="1"/>
      <c r="J455" s="1"/>
    </row>
    <row r="456" spans="1:10" x14ac:dyDescent="0.2">
      <c r="A456" s="8" t="s">
        <v>2263</v>
      </c>
      <c r="B456" s="7" t="s">
        <v>2262</v>
      </c>
      <c r="C456" s="7" t="s">
        <v>2261</v>
      </c>
      <c r="D456" s="6">
        <v>1300</v>
      </c>
      <c r="E456" s="5">
        <v>10</v>
      </c>
      <c r="F456" s="4" t="str">
        <f ca="1">IFERROR(__xludf.DUMMYFUNCTION("LOWER(REGEXREPLACE(B456&amp;"" ""&amp;C456,""[^а-яa-z0-9 ]"","" ""))")," ассажные мячи разной формы и текстуры  абор мячей с различной поверхностью для сенсорной стимуляции   спользуется на занятиях по физическому развитию и релаксации   пособствует развитию тактильных ощущений ")</f>
        <v xml:space="preserve"> ассажные мячи разной формы и текстуры  абор мячей с различной поверхностью для сенсорной стимуляции   спользуется на занятиях по физическому развитию и релаксации   пособствует развитию тактильных ощущений </v>
      </c>
      <c r="G456" s="4" t="str">
        <f ca="1">IFERROR(__xludf.DUMMYFUNCTION("TEXTJOIN(""|"",TRUE,UNIQUE(FILTER(SPLIT(F456,"" ""),LEN(SPLIT(F456,"" ""))&gt;2)))"),"ассажные|мячи|разной|формы|текстуры|абор|мячей|различной|поверхностью|для|сенсорной|стимуляции|спользуется|занятиях|физическому|развитию|релаксации|пособствует|развитию|тактильных|ощущений")</f>
        <v>ассажные|мячи|разной|формы|текстуры|абор|мячей|различной|поверхностью|для|сенсорной|стимуляции|спользуется|занятиях|физическому|развитию|релаксации|пособствует|развитию|тактильных|ощущений</v>
      </c>
      <c r="I456" s="1"/>
      <c r="J456" s="1"/>
    </row>
    <row r="457" spans="1:10" x14ac:dyDescent="0.2">
      <c r="A457" s="8" t="s">
        <v>2260</v>
      </c>
      <c r="B457" s="7" t="s">
        <v>2259</v>
      </c>
      <c r="C457" s="7" t="s">
        <v>2258</v>
      </c>
      <c r="D457" s="6">
        <v>15000</v>
      </c>
      <c r="E457" s="5">
        <v>1</v>
      </c>
      <c r="F457" s="4" t="str">
        <f ca="1">IFERROR(__xludf.DUMMYFUNCTION("LOWER(REGEXREPLACE(B457&amp;"" ""&amp;C457,""[^а-яa-z0-9 ]"","" ""))")," атематика    ай  р  же  л под ред      аклауд  перевод  абиев    ")</f>
        <v xml:space="preserve"> атематика    ай  р  же  л под ред      аклауд  перевод  абиев    </v>
      </c>
      <c r="G457" s="4" t="str">
        <f ca="1">IFERROR(__xludf.DUMMYFUNCTION("TEXTJOIN(""|"",TRUE,UNIQUE(FILTER(SPLIT(F457,"" ""),LEN(SPLIT(F457,"" ""))&gt;2)))"),"атематика|под|ред|аклауд|перевод|абиев")</f>
        <v>атематика|под|ред|аклауд|перевод|абиев</v>
      </c>
      <c r="I457" s="1"/>
      <c r="J457" s="1"/>
    </row>
    <row r="458" spans="1:10" x14ac:dyDescent="0.2">
      <c r="A458" s="8" t="s">
        <v>2257</v>
      </c>
      <c r="B458" s="7" t="s">
        <v>2256</v>
      </c>
      <c r="C458" s="7" t="s">
        <v>2255</v>
      </c>
      <c r="D458" s="6">
        <v>4600</v>
      </c>
      <c r="E458" s="5">
        <v>2</v>
      </c>
      <c r="F458" s="4" t="str">
        <f ca="1">IFERROR(__xludf.DUMMYFUNCTION("LOWER(REGEXREPLACE(B458&amp;"" ""&amp;C458,""[^а-яa-z0-9 ]"","" ""))")," алансировочные подушки  набор   абор балансировочных подушек используется для выполнения упражнений на развитие равновесия и устойчивости   рименяются в двигательной активности с различными вариантами опоры   оверхность подушек обеспечивает нестабильную "&amp;"опору   азмер каждого изделия   не менее 16 16 см   атериалы рассчитаны на интенсивную эксплуатацию ")</f>
        <v xml:space="preserve"> алансировочные подушки  набор   абор балансировочных подушек используется для выполнения упражнений на развитие равновесия и устойчивости   рименяются в двигательной активности с различными вариантами опоры   оверхность подушек обеспечивает нестабильную опору   азмер каждого изделия   не менее 16 16 см   атериалы рассчитаны на интенсивную эксплуатацию </v>
      </c>
      <c r="G458" s="4" t="str">
        <f ca="1">IFERROR(__xludf.DUMMYFUNCTION("TEXTJOIN(""|"",TRUE,UNIQUE(FILTER(SPLIT(F458,"" ""),LEN(SPLIT(F458,"" ""))&gt;2)))"),"алансировочные|подушки|набор|абор|балансировочных|подушек|используется|для|выполнения|упражнений|развитие|равновесия|устойчивости|рименяются|двигательной|активности|различными|вариантами|опоры|оверхность|подушек|обеспечивает|нестабильную|опору|азмер|каждо"&amp;"го|изделия|менее|атериалы|рассчитаны|интенсивную|эксплуатацию")</f>
        <v>алансировочные|подушки|набор|абор|балансировочных|подушек|используется|для|выполнения|упражнений|развитие|равновесия|устойчивости|рименяются|двигательной|активности|различными|вариантами|опоры|оверхность|подушек|обеспечивает|нестабильную|опору|азмер|каждого|изделия|менее|атериалы|рассчитаны|интенсивную|эксплуатацию</v>
      </c>
      <c r="I458" s="1"/>
      <c r="J458" s="1"/>
    </row>
    <row r="459" spans="1:10" x14ac:dyDescent="0.2">
      <c r="A459" s="8" t="s">
        <v>2254</v>
      </c>
      <c r="B459" s="7" t="s">
        <v>2253</v>
      </c>
      <c r="C459" s="7" t="s">
        <v>2252</v>
      </c>
      <c r="D459" s="6">
        <v>15000</v>
      </c>
      <c r="E459" s="5">
        <v>1</v>
      </c>
      <c r="F459" s="4" t="str">
        <f ca="1">IFERROR(__xludf.DUMMYFUNCTION("LOWER(REGEXREPLACE(B459&amp;"" ""&amp;C459,""[^а-яa-z0-9 ]"","" ""))")," атематика   росто и легко под ред      аклауд  перевод  аяхметов   ")</f>
        <v xml:space="preserve"> атематика   росто и легко под ред      аклауд  перевод  аяхметов   </v>
      </c>
      <c r="G459" s="4" t="str">
        <f ca="1">IFERROR(__xludf.DUMMYFUNCTION("TEXTJOIN(""|"",TRUE,UNIQUE(FILTER(SPLIT(F459,"" ""),LEN(SPLIT(F459,"" ""))&gt;2)))"),"атематика|росто|легко|под|ред|аклауд|перевод|аяхметов")</f>
        <v>атематика|росто|легко|под|ред|аклауд|перевод|аяхметов</v>
      </c>
      <c r="I459" s="1"/>
      <c r="J459" s="1"/>
    </row>
    <row r="460" spans="1:10" x14ac:dyDescent="0.2">
      <c r="A460" s="8" t="s">
        <v>2251</v>
      </c>
      <c r="B460" s="7" t="s">
        <v>2250</v>
      </c>
      <c r="C460" s="7" t="s">
        <v>2249</v>
      </c>
      <c r="D460" s="6">
        <v>22000</v>
      </c>
      <c r="E460" s="5">
        <v>14</v>
      </c>
      <c r="F460" s="4" t="str">
        <f ca="1">IFERROR(__xludf.DUMMYFUNCTION("LOWER(REGEXREPLACE(B460&amp;"" ""&amp;C460,""[^а-яa-z0-9 ]"","" ""))")," атематические пазлы  еревянные пазлы для знакомства с числами и простыми арифметическими действиями   спользуются для формирования элементарных математических представлений и логического мышления ")</f>
        <v xml:space="preserve"> атематические пазлы  еревянные пазлы для знакомства с числами и простыми арифметическими действиями   спользуются для формирования элементарных математических представлений и логического мышления </v>
      </c>
      <c r="G460" s="4" t="str">
        <f ca="1">IFERROR(__xludf.DUMMYFUNCTION("TEXTJOIN(""|"",TRUE,UNIQUE(FILTER(SPLIT(F460,"" ""),LEN(SPLIT(F460,"" ""))&gt;2)))"),"атематические|пазлы|еревянные|пазлы|для|знакомства|числами|простыми|арифметическими|действиями|спользуются|для|формирования|элементарных|математических|представлений|логического|мышления")</f>
        <v>атематические|пазлы|еревянные|пазлы|для|знакомства|числами|простыми|арифметическими|действиями|спользуются|для|формирования|элементарных|математических|представлений|логического|мышления</v>
      </c>
      <c r="I460" s="1"/>
      <c r="J460" s="1"/>
    </row>
    <row r="461" spans="1:10" x14ac:dyDescent="0.2">
      <c r="A461" s="8" t="s">
        <v>2248</v>
      </c>
      <c r="B461" s="7" t="s">
        <v>2247</v>
      </c>
      <c r="C461" s="7" t="s">
        <v>2246</v>
      </c>
      <c r="D461" s="6">
        <v>2800</v>
      </c>
      <c r="E461" s="5">
        <v>1</v>
      </c>
      <c r="F461" s="4" t="str">
        <f ca="1">IFERROR(__xludf.DUMMYFUNCTION("LOWER(REGEXREPLACE(B461&amp;"" ""&amp;C461,""[^а-яa-z0-9 ]"","" ""))")," атериалы для запуска речевой активности  атериалы используются для выполнения упражнений  направленных на активизацию речевой деятельности   рименяются в индивидуальной и подгрупповой работе    процессе использования выполняются задания на звукопроизноше"&amp;"ние  дыхание и артикуляцию   ассчитаны на регулярное применение ")</f>
        <v xml:space="preserve"> атериалы для запуска речевой активности  атериалы используются для выполнения упражнений  направленных на активизацию речевой деятельности   рименяются в индивидуальной и подгрупповой работе    процессе использования выполняются задания на звукопроизношение  дыхание и артикуляцию   ассчитаны на регулярное применение </v>
      </c>
      <c r="G461" s="4" t="str">
        <f ca="1">IFERROR(__xludf.DUMMYFUNCTION("TEXTJOIN(""|"",TRUE,UNIQUE(FILTER(SPLIT(F461,"" ""),LEN(SPLIT(F461,"" ""))&gt;2)))"),"атериалы|для|запуска|речевой|активности|атериалы|используются|для|выполнения|упражнений|направленных|активизацию|речевой|деятельности|рименяются|индивидуальной|подгрупповой|работе|процессе|использования|выполняются|задания|звукопроизношение|дыхание|артику"&amp;"ляцию|ассчитаны|регулярное|применение")</f>
        <v>атериалы|для|запуска|речевой|активности|атериалы|используются|для|выполнения|упражнений|направленных|активизацию|речевой|деятельности|рименяются|индивидуальной|подгрупповой|работе|процессе|использования|выполняются|задания|звукопроизношение|дыхание|артикуляцию|ассчитаны|регулярное|применение</v>
      </c>
      <c r="I461" s="1"/>
      <c r="J461" s="1"/>
    </row>
    <row r="462" spans="1:10" x14ac:dyDescent="0.2">
      <c r="A462" s="8" t="s">
        <v>2245</v>
      </c>
      <c r="B462" s="7" t="s">
        <v>2244</v>
      </c>
      <c r="C462" s="7" t="s">
        <v>2243</v>
      </c>
      <c r="D462" s="6">
        <v>6700</v>
      </c>
      <c r="E462" s="5">
        <v>175</v>
      </c>
      <c r="F462" s="4" t="str">
        <f ca="1">IFERROR(__xludf.DUMMYFUNCTION("LOWER(REGEXREPLACE(B462&amp;"" ""&amp;C462,""[^а-яa-z0-9 ]"","" ""))")," атериалы и инструменты для апликации  цветная бумага  цветной и белый картон  ткань  клей  ножницы  клейкая лент")</f>
        <v xml:space="preserve"> атериалы и инструменты для апликации  цветная бумага  цветной и белый картон  ткань  клей  ножницы  клейкая лент</v>
      </c>
      <c r="G462" s="4" t="str">
        <f ca="1">IFERROR(__xludf.DUMMYFUNCTION("TEXTJOIN(""|"",TRUE,UNIQUE(FILTER(SPLIT(F462,"" ""),LEN(SPLIT(F462,"" ""))&gt;2)))"),"атериалы|инструменты|для|апликации|цветная|бумага|цветной|белый|картон|ткань|клей|ножницы|клейкая|лент")</f>
        <v>атериалы|инструменты|для|апликации|цветная|бумага|цветной|белый|картон|ткань|клей|ножницы|клейкая|лент</v>
      </c>
      <c r="I462" s="1"/>
      <c r="J462" s="1"/>
    </row>
    <row r="463" spans="1:10" x14ac:dyDescent="0.2">
      <c r="A463" s="8" t="s">
        <v>2242</v>
      </c>
      <c r="B463" s="7" t="s">
        <v>2241</v>
      </c>
      <c r="C463" s="7" t="s">
        <v>2240</v>
      </c>
      <c r="D463" s="6">
        <v>500</v>
      </c>
      <c r="E463" s="5">
        <v>125</v>
      </c>
      <c r="F463" s="4" t="str">
        <f ca="1">IFERROR(__xludf.DUMMYFUNCTION("LOWER(REGEXREPLACE(B463&amp;"" ""&amp;C463,""[^а-яa-z0-9 ]"","" ""))")," атериалы и инструменты для аппликации  абор материалов для выполнения аппликаций и декоративных работ   спользуется в изобразительной деятельности для развития фантазии  моторики и аккуратности ")</f>
        <v xml:space="preserve"> атериалы и инструменты для аппликации  абор материалов для выполнения аппликаций и декоративных работ   спользуется в изобразительной деятельности для развития фантазии  моторики и аккуратности </v>
      </c>
      <c r="G463" s="4" t="str">
        <f ca="1">IFERROR(__xludf.DUMMYFUNCTION("TEXTJOIN(""|"",TRUE,UNIQUE(FILTER(SPLIT(F463,"" ""),LEN(SPLIT(F463,"" ""))&gt;2)))"),"атериалы|инструменты|для|аппликации|абор|материалов|для|выполнения|аппликаций|декоративных|работ|спользуется|изобразительной|деятельности|для|развития|фантазии|моторики|аккуратности")</f>
        <v>атериалы|инструменты|для|аппликации|абор|материалов|для|выполнения|аппликаций|декоративных|работ|спользуется|изобразительной|деятельности|для|развития|фантазии|моторики|аккуратности</v>
      </c>
      <c r="I463" s="1"/>
      <c r="J463" s="1"/>
    </row>
    <row r="464" spans="1:10" x14ac:dyDescent="0.2">
      <c r="A464" s="8" t="s">
        <v>2239</v>
      </c>
      <c r="B464" s="7" t="s">
        <v>2238</v>
      </c>
      <c r="C464" s="7" t="s">
        <v>2237</v>
      </c>
      <c r="D464" s="6">
        <v>2600</v>
      </c>
      <c r="E464" s="5">
        <v>125</v>
      </c>
      <c r="F464" s="4" t="str">
        <f ca="1">IFERROR(__xludf.DUMMYFUNCTION("LOWER(REGEXREPLACE(B464&amp;"" ""&amp;C464,""[^а-яa-z0-9 ]"","" ""))")," атериалы и инструменты для изобразительной деятельности  омплекс принадлежностей для рисования и художественного творчества   спользуется на занятиях по изобразительной деятельности и в свободной творческой работе детей ")</f>
        <v xml:space="preserve"> атериалы и инструменты для изобразительной деятельности  омплекс принадлежностей для рисования и художественного творчества   спользуется на занятиях по изобразительной деятельности и в свободной творческой работе детей </v>
      </c>
      <c r="G464" s="4" t="str">
        <f ca="1">IFERROR(__xludf.DUMMYFUNCTION("TEXTJOIN(""|"",TRUE,UNIQUE(FILTER(SPLIT(F464,"" ""),LEN(SPLIT(F464,"" ""))&gt;2)))"),"атериалы|инструменты|для|изобразительной|деятельности|омплекс|принадлежностей|для|рисования|художественного|творчества|спользуется|занятиях|изобразительной|деятельности|свободной|творческой|работе|детей")</f>
        <v>атериалы|инструменты|для|изобразительной|деятельности|омплекс|принадлежностей|для|рисования|художественного|творчества|спользуется|занятиях|изобразительной|деятельности|свободной|творческой|работе|детей</v>
      </c>
      <c r="I464" s="1"/>
      <c r="J464" s="1"/>
    </row>
    <row r="465" spans="1:10" x14ac:dyDescent="0.2">
      <c r="A465" s="8" t="s">
        <v>2236</v>
      </c>
      <c r="B465" s="7" t="s">
        <v>2235</v>
      </c>
      <c r="C465" s="7" t="s">
        <v>2234</v>
      </c>
      <c r="D465" s="6">
        <v>11400</v>
      </c>
      <c r="E465" s="5">
        <v>125</v>
      </c>
      <c r="F465" s="4" t="str">
        <f ca="1">IFERROR(__xludf.DUMMYFUNCTION("LOWER(REGEXREPLACE(B465&amp;"" ""&amp;C465,""[^а-яa-z0-9 ]"","" ""))")," атериалы и инструменты для поделок  омплект материалов и инструментов для творческой и продуктивной деятельности детей дошкольного возраста   спользуется для лепки  моделирования и изготовления поделок в рамках занятий по художественно эстетическому разв"&amp;"итию   пособствует развитию мелкой моторики  воображения  сенсорного восприятия и творческого мышления ")</f>
        <v xml:space="preserve"> атериалы и инструменты для поделок  омплект материалов и инструментов для творческой и продуктивной деятельности детей дошкольного возраста   спользуется для лепки  моделирования и изготовления поделок в рамках занятий по художественно эстетическому развитию   пособствует развитию мелкой моторики  воображения  сенсорного восприятия и творческого мышления </v>
      </c>
      <c r="G465" s="4" t="str">
        <f ca="1">IFERROR(__xludf.DUMMYFUNCTION("TEXTJOIN(""|"",TRUE,UNIQUE(FILTER(SPLIT(F465,"" ""),LEN(SPLIT(F465,"" ""))&gt;2)))"),"атериалы|инструменты|для|поделок|омплект|материалов|инструментов|для|творческой|продуктивной|деятельности|детей|дошкольного|возраста|спользуется|для|лепки|моделирования|изготовления|поделок|рамках|занятий|художественно|эстетическому|развитию|пособствует|р"&amp;"азвитию|мелкой|моторики|воображения|сенсорного|восприятия|творческого|мышления")</f>
        <v>атериалы|инструменты|для|поделок|омплект|материалов|инструментов|для|творческой|продуктивной|деятельности|детей|дошкольного|возраста|спользуется|для|лепки|моделирования|изготовления|поделок|рамках|занятий|художественно|эстетическому|развитию|пособствует|развитию|мелкой|моторики|воображения|сенсорного|восприятия|творческого|мышления</v>
      </c>
      <c r="I465" s="1"/>
      <c r="J465" s="1"/>
    </row>
    <row r="466" spans="1:10" x14ac:dyDescent="0.2">
      <c r="A466" s="8" t="s">
        <v>2233</v>
      </c>
      <c r="B466" s="7" t="s">
        <v>2232</v>
      </c>
      <c r="C466" s="7" t="s">
        <v>2231</v>
      </c>
      <c r="D466" s="6">
        <v>9800</v>
      </c>
      <c r="E466" s="5">
        <v>3</v>
      </c>
      <c r="F466" s="4" t="str">
        <f ca="1">IFERROR(__xludf.DUMMYFUNCTION("LOWER(REGEXREPLACE(B466&amp;"" ""&amp;C466,""[^а-яa-z0-9 ]"","" ""))")," атр шки  еревянная разборная игрушка  используемая в игровой и образовательной деятельности   рименяется для развития мелкой моторики  логического мышления  навыков соотнесения размеров и знакомства с элементами народной культуры ")</f>
        <v xml:space="preserve"> атр шки  еревянная разборная игрушка  используемая в игровой и образовательной деятельности   рименяется для развития мелкой моторики  логического мышления  навыков соотнесения размеров и знакомства с элементами народной культуры </v>
      </c>
      <c r="G466" s="4" t="str">
        <f ca="1">IFERROR(__xludf.DUMMYFUNCTION("TEXTJOIN(""|"",TRUE,UNIQUE(FILTER(SPLIT(F466,"" ""),LEN(SPLIT(F466,"" ""))&gt;2)))"),"атр|шки|еревянная|разборная|игрушка|используемая|игровой|образовательной|деятельности|рименяется|для|развития|мелкой|моторики|логического|мышления|навыков|соотнесения|размеров|знакомства|элементами|народной|культуры")</f>
        <v>атр|шки|еревянная|разборная|игрушка|используемая|игровой|образовательной|деятельности|рименяется|для|развития|мелкой|моторики|логического|мышления|навыков|соотнесения|размеров|знакомства|элементами|народной|культуры</v>
      </c>
      <c r="I466" s="1"/>
      <c r="J466" s="1"/>
    </row>
    <row r="467" spans="1:10" x14ac:dyDescent="0.2">
      <c r="A467" s="8" t="s">
        <v>2230</v>
      </c>
      <c r="B467" s="7" t="s">
        <v>2229</v>
      </c>
      <c r="C467" s="7" t="s">
        <v>2228</v>
      </c>
      <c r="D467" s="6">
        <v>81700</v>
      </c>
      <c r="E467" s="5">
        <v>5</v>
      </c>
      <c r="F467" s="4" t="str">
        <f ca="1">IFERROR(__xludf.DUMMYFUNCTION("LOWER(REGEXREPLACE(B467&amp;"" ""&amp;C467,""[^а-яa-z0-9 ]"","" ""))")," аты  портивные маты для занятий физической культурой и подвижных игр   спользуются для обеспечения безопасности при выполнении гимнастических упражнений  перекатов и кувырков   бладают оптимальной амортизацией и подходят для регулярной дезинфекции ")</f>
        <v xml:space="preserve"> аты  портивные маты для занятий физической культурой и подвижных игр   спользуются для обеспечения безопасности при выполнении гимнастических упражнений  перекатов и кувырков   бладают оптимальной амортизацией и подходят для регулярной дезинфекции </v>
      </c>
      <c r="G467" s="4" t="str">
        <f ca="1">IFERROR(__xludf.DUMMYFUNCTION("TEXTJOIN(""|"",TRUE,UNIQUE(FILTER(SPLIT(F467,"" ""),LEN(SPLIT(F467,"" ""))&gt;2)))"),"аты|портивные|маты|для|занятий|физической|культурой|подвижных|игр|спользуются|для|обеспечения|безопасности|при|выполнении|гимнастических|упражнений|перекатов|кувырков|бладают|оптимальной|амортизацией|подходят|для|регулярной|дезинфекции")</f>
        <v>аты|портивные|маты|для|занятий|физической|культурой|подвижных|игр|спользуются|для|обеспечения|безопасности|при|выполнении|гимнастических|упражнений|перекатов|кувырков|бладают|оптимальной|амортизацией|подходят|для|регулярной|дезинфекции</v>
      </c>
      <c r="I467" s="1"/>
      <c r="J467" s="1"/>
    </row>
    <row r="468" spans="1:10" x14ac:dyDescent="0.2">
      <c r="A468" s="8" t="s">
        <v>2227</v>
      </c>
      <c r="B468" s="7" t="s">
        <v>2226</v>
      </c>
      <c r="C468" s="7" t="s">
        <v>2225</v>
      </c>
      <c r="D468" s="6">
        <v>81700</v>
      </c>
      <c r="E468" s="5">
        <v>10</v>
      </c>
      <c r="F468" s="4" t="str">
        <f ca="1">IFERROR(__xludf.DUMMYFUNCTION("LOWER(REGEXREPLACE(B468&amp;"" ""&amp;C468,""[^а-яa-z0-9 ]"","" ""))")," аты гимнастические складные  имнастические маты используются для обеспечения мягкой и амортизирующей поверхности при выполнении упражнений   кладная конструкция облегчает хранение и транспортировку   азмер одного мата составляет не менее 180 80 10 см   а"&amp;"териалы обеспечивают защиту от ударов и предотвращают скольжение ")</f>
        <v xml:space="preserve"> аты гимнастические складные  имнастические маты используются для обеспечения мягкой и амортизирующей поверхности при выполнении упражнений   кладная конструкция облегчает хранение и транспортировку   азмер одного мата составляет не менее 180 80 10 см   атериалы обеспечивают защиту от ударов и предотвращают скольжение </v>
      </c>
      <c r="G468" s="4" t="str">
        <f ca="1">IFERROR(__xludf.DUMMYFUNCTION("TEXTJOIN(""|"",TRUE,UNIQUE(FILTER(SPLIT(F468,"" ""),LEN(SPLIT(F468,"" ""))&gt;2)))"),"аты|гимнастические|складные|имнастические|маты|используются|для|обеспечения|мягкой|амортизирующей|поверхности|при|выполнении|упражнений|кладная|конструкция|облегчает|хранение|транспортировку|азмер|одного|мата|составляет|менее|180|атериалы|обеспечивают|защ"&amp;"иту|ударов|предотвращают|скольжение")</f>
        <v>аты|гимнастические|складные|имнастические|маты|используются|для|обеспечения|мягкой|амортизирующей|поверхности|при|выполнении|упражнений|кладная|конструкция|облегчает|хранение|транспортировку|азмер|одного|мата|составляет|менее|180|атериалы|обеспечивают|защиту|ударов|предотвращают|скольжение</v>
      </c>
      <c r="I468" s="1"/>
      <c r="J468" s="1"/>
    </row>
    <row r="469" spans="1:10" x14ac:dyDescent="0.2">
      <c r="A469" s="8" t="s">
        <v>2224</v>
      </c>
      <c r="B469" s="7" t="s">
        <v>2223</v>
      </c>
      <c r="C469" s="7" t="s">
        <v>2222</v>
      </c>
      <c r="D469" s="6">
        <v>8200</v>
      </c>
      <c r="E469" s="5">
        <v>5</v>
      </c>
      <c r="F469" s="4" t="str">
        <f ca="1">IFERROR(__xludf.DUMMYFUNCTION("LOWER(REGEXREPLACE(B469&amp;"" ""&amp;C469,""[^а-яa-z0-9 ]"","" ""))")," алансировочные полусферы с массажной поверхностью  алансировочные полусферы используются при выполнении упражнений на равновесие и устойчивость   оверхность с выступами обеспечивает дополнительное тактильное воздействие при опоре   рименяются в двигатель"&amp;"ной активности и физических упражнениях   азмер каждой полусферы   не менее 16 16 см    комплект входит 2 изделия ")</f>
        <v xml:space="preserve"> алансировочные полусферы с массажной поверхностью  алансировочные полусферы используются при выполнении упражнений на равновесие и устойчивость   оверхность с выступами обеспечивает дополнительное тактильное воздействие при опоре   рименяются в двигательной активности и физических упражнениях   азмер каждой полусферы   не менее 16 16 см    комплект входит 2 изделия </v>
      </c>
      <c r="G469" s="4" t="str">
        <f ca="1">IFERROR(__xludf.DUMMYFUNCTION("TEXTJOIN(""|"",TRUE,UNIQUE(FILTER(SPLIT(F469,"" ""),LEN(SPLIT(F469,"" ""))&gt;2)))"),"алансировочные|полусферы|массажной|поверхностью|алансировочные|полусферы|используются|при|выполнении|упражнений|равновесие|устойчивость|оверхность|выступами|обеспечивает|дополнительное|тактильное|воздействие|при|опоре|рименяются|двигательной|активности|фи"&amp;"зических|упражнениях|азмер|каждой|полусферы|менее|комплект|входит|изделия")</f>
        <v>алансировочные|полусферы|массажной|поверхностью|алансировочные|полусферы|используются|при|выполнении|упражнений|равновесие|устойчивость|оверхность|выступами|обеспечивает|дополнительное|тактильное|воздействие|при|опоре|рименяются|двигательной|активности|физических|упражнениях|азмер|каждой|полусферы|менее|комплект|входит|изделия</v>
      </c>
      <c r="I469" s="1"/>
      <c r="J469" s="1"/>
    </row>
    <row r="470" spans="1:10" x14ac:dyDescent="0.2">
      <c r="A470" s="8" t="s">
        <v>2221</v>
      </c>
      <c r="B470" s="7" t="s">
        <v>2220</v>
      </c>
      <c r="C470" s="7" t="s">
        <v>2219</v>
      </c>
      <c r="D470" s="6">
        <v>81700</v>
      </c>
      <c r="E470" s="5">
        <v>8</v>
      </c>
      <c r="F470" s="4" t="str">
        <f ca="1">IFERROR(__xludf.DUMMYFUNCTION("LOWER(REGEXREPLACE(B470&amp;"" ""&amp;C470,""[^а-яa-z0-9 ]"","" ""))")," аты настенные  напольные  ащитные маты для размещения на полу и стенах спортивных и игровых зон   спользуются для снижения травмоопасности и создания безопасной среды при активной двигательной деятельности детей ")</f>
        <v xml:space="preserve"> аты настенные  напольные  ащитные маты для размещения на полу и стенах спортивных и игровых зон   спользуются для снижения травмоопасности и создания безопасной среды при активной двигательной деятельности детей </v>
      </c>
      <c r="G470" s="4" t="str">
        <f ca="1">IFERROR(__xludf.DUMMYFUNCTION("TEXTJOIN(""|"",TRUE,UNIQUE(FILTER(SPLIT(F470,"" ""),LEN(SPLIT(F470,"" ""))&gt;2)))"),"аты|настенные|напольные|ащитные|маты|для|размещения|полу|стенах|спортивных|игровых|зон|спользуются|для|снижения|травмоопасности|создания|безопасной|среды|при|активной|двигательной|деятельности|детей")</f>
        <v>аты|настенные|напольные|ащитные|маты|для|размещения|полу|стенах|спортивных|игровых|зон|спользуются|для|снижения|травмоопасности|создания|безопасной|среды|при|активной|двигательной|деятельности|детей</v>
      </c>
      <c r="I470" s="1"/>
      <c r="J470" s="1"/>
    </row>
    <row r="471" spans="1:10" x14ac:dyDescent="0.2">
      <c r="A471" s="8" t="s">
        <v>2218</v>
      </c>
      <c r="B471" s="7" t="s">
        <v>2217</v>
      </c>
      <c r="C471" s="7" t="s">
        <v>2216</v>
      </c>
      <c r="D471" s="6">
        <v>45400</v>
      </c>
      <c r="E471" s="5">
        <v>42</v>
      </c>
      <c r="F471" s="4" t="str">
        <f ca="1">IFERROR(__xludf.DUMMYFUNCTION("LOWER(REGEXREPLACE(B471&amp;"" ""&amp;C471,""[^а-яa-z0-9 ]"","" ""))")," ашина  етская игрушечная машина для сюжетно ролевых и свободных игр   спользуется для развития воображения  координации движений и элементарных представлений о транспорте ")</f>
        <v xml:space="preserve"> ашина  етская игрушечная машина для сюжетно ролевых и свободных игр   спользуется для развития воображения  координации движений и элементарных представлений о транспорте </v>
      </c>
      <c r="G471" s="4" t="str">
        <f ca="1">IFERROR(__xludf.DUMMYFUNCTION("TEXTJOIN(""|"",TRUE,UNIQUE(FILTER(SPLIT(F471,"" ""),LEN(SPLIT(F471,"" ""))&gt;2)))"),"ашина|етская|игрушечная|машина|для|сюжетно|ролевых|свободных|игр|спользуется|для|развития|воображения|координации|движений|элементарных|представлений|транспорте")</f>
        <v>ашина|етская|игрушечная|машина|для|сюжетно|ролевых|свободных|игр|спользуется|для|развития|воображения|координации|движений|элементарных|представлений|транспорте</v>
      </c>
      <c r="I471" s="1"/>
      <c r="J471" s="1"/>
    </row>
    <row r="472" spans="1:10" x14ac:dyDescent="0.2">
      <c r="A472" s="8" t="s">
        <v>2215</v>
      </c>
      <c r="B472" s="7" t="s">
        <v>2214</v>
      </c>
      <c r="C472" s="7" t="s">
        <v>2213</v>
      </c>
      <c r="D472" s="6">
        <v>72200</v>
      </c>
      <c r="E472" s="5">
        <v>5</v>
      </c>
      <c r="F472" s="4" t="str">
        <f ca="1">IFERROR(__xludf.DUMMYFUNCTION("LOWER(REGEXREPLACE(B472&amp;"" ""&amp;C472,""[^а-яa-z0-9 ]"","" ""))")," ашина  набор машинок  мультиколор   абор детских машинок разных цветов для групповых и индивидуальных игр   пособствует развитию воображения  коммуникативных навыков и координации движений ")</f>
        <v xml:space="preserve"> ашина  набор машинок  мультиколор   абор детских машинок разных цветов для групповых и индивидуальных игр   пособствует развитию воображения  коммуникативных навыков и координации движений </v>
      </c>
      <c r="G472" s="4" t="str">
        <f ca="1">IFERROR(__xludf.DUMMYFUNCTION("TEXTJOIN(""|"",TRUE,UNIQUE(FILTER(SPLIT(F472,"" ""),LEN(SPLIT(F472,"" ""))&gt;2)))"),"ашина|набор|машинок|мультиколор|абор|детских|машинок|разных|цветов|для|групповых|индивидуальных|игр|пособствует|развитию|воображения|коммуникативных|навыков|координации|движений")</f>
        <v>ашина|набор|машинок|мультиколор|абор|детских|машинок|разных|цветов|для|групповых|индивидуальных|игр|пособствует|развитию|воображения|коммуникативных|навыков|координации|движений</v>
      </c>
      <c r="I472" s="1"/>
      <c r="J472" s="1"/>
    </row>
    <row r="473" spans="1:10" x14ac:dyDescent="0.2">
      <c r="A473" s="8" t="s">
        <v>2212</v>
      </c>
      <c r="B473" s="7" t="s">
        <v>2211</v>
      </c>
      <c r="C473" s="7" t="s">
        <v>2210</v>
      </c>
      <c r="D473" s="6">
        <v>28500</v>
      </c>
      <c r="E473" s="5">
        <v>5</v>
      </c>
      <c r="F473" s="4" t="str">
        <f ca="1">IFERROR(__xludf.DUMMYFUNCTION("LOWER(REGEXREPLACE(B473&amp;"" ""&amp;C473,""[^а-яa-z0-9 ]"","" ""))")," ашинка  етская машинка толокар  предназначенная для активных игр   спользуется для развития общей моторики  координации и ориентации в пространстве ")</f>
        <v xml:space="preserve"> ашинка  етская машинка толокар  предназначенная для активных игр   спользуется для развития общей моторики  координации и ориентации в пространстве </v>
      </c>
      <c r="G473" s="4" t="str">
        <f ca="1">IFERROR(__xludf.DUMMYFUNCTION("TEXTJOIN(""|"",TRUE,UNIQUE(FILTER(SPLIT(F473,"" ""),LEN(SPLIT(F473,"" ""))&gt;2)))"),"ашинка|етская|машинка|толокар|предназначенная|для|активных|игр|спользуется|для|развития|общей|моторики|координации|ориентации|пространстве")</f>
        <v>ашинка|етская|машинка|толокар|предназначенная|для|активных|игр|спользуется|для|развития|общей|моторики|координации|ориентации|пространстве</v>
      </c>
      <c r="I473" s="1"/>
      <c r="J473" s="1"/>
    </row>
    <row r="474" spans="1:10" x14ac:dyDescent="0.2">
      <c r="A474" s="8" t="s">
        <v>2209</v>
      </c>
      <c r="B474" s="7" t="s">
        <v>2208</v>
      </c>
      <c r="C474" s="7" t="s">
        <v>2207</v>
      </c>
      <c r="D474" s="6">
        <v>11200</v>
      </c>
      <c r="E474" s="5">
        <v>7</v>
      </c>
      <c r="F474" s="4" t="str">
        <f ca="1">IFERROR(__xludf.DUMMYFUNCTION("LOWER(REGEXREPLACE(B474&amp;"" ""&amp;C474,""[^а-яa-z0-9 ]"","" ""))")," ашинка  металлическая модель   одель транспортного средства для игровых и коллекционных целей   спользуется для расширения игровых сценариев и развития интереса к технике ")</f>
        <v xml:space="preserve"> ашинка  металлическая модель   одель транспортного средства для игровых и коллекционных целей   спользуется для расширения игровых сценариев и развития интереса к технике </v>
      </c>
      <c r="G474" s="4" t="str">
        <f ca="1">IFERROR(__xludf.DUMMYFUNCTION("TEXTJOIN(""|"",TRUE,UNIQUE(FILTER(SPLIT(F474,"" ""),LEN(SPLIT(F474,"" ""))&gt;2)))"),"ашинка|металлическая|модель|одель|транспортного|средства|для|игровых|коллекционных|целей|спользуется|для|расширения|игровых|сценариев|развития|интереса|технике")</f>
        <v>ашинка|металлическая|модель|одель|транспортного|средства|для|игровых|коллекционных|целей|спользуется|для|расширения|игровых|сценариев|развития|интереса|технике</v>
      </c>
      <c r="I474" s="1"/>
      <c r="J474" s="1"/>
    </row>
    <row r="475" spans="1:10" x14ac:dyDescent="0.2">
      <c r="A475" s="8" t="s">
        <v>2206</v>
      </c>
      <c r="B475" s="7" t="s">
        <v>2205</v>
      </c>
      <c r="C475" s="7" t="s">
        <v>2204</v>
      </c>
      <c r="D475" s="6">
        <v>13900</v>
      </c>
      <c r="E475" s="5">
        <v>7</v>
      </c>
      <c r="F475" s="4" t="str">
        <f ca="1">IFERROR(__xludf.DUMMYFUNCTION("LOWER(REGEXREPLACE(B475&amp;"" ""&amp;C475,""[^а-яa-z0-9 ]"","" ""))")," ашинка автобус  грушечный автобус с инерционным механизмом  световыми и звуковыми эффектами   спользуется в сюжетно ролевых играх для моделирования транспортных ситуаций и развития воображения ")</f>
        <v xml:space="preserve"> ашинка автобус  грушечный автобус с инерционным механизмом  световыми и звуковыми эффектами   спользуется в сюжетно ролевых играх для моделирования транспортных ситуаций и развития воображения </v>
      </c>
      <c r="G475" s="4" t="str">
        <f ca="1">IFERROR(__xludf.DUMMYFUNCTION("TEXTJOIN(""|"",TRUE,UNIQUE(FILTER(SPLIT(F475,"" ""),LEN(SPLIT(F475,"" ""))&gt;2)))"),"ашинка|автобус|грушечный|автобус|инерционным|механизмом|световыми|звуковыми|эффектами|спользуется|сюжетно|ролевых|играх|для|моделирования|транспортных|ситуаций|развития|воображения")</f>
        <v>ашинка|автобус|грушечный|автобус|инерционным|механизмом|световыми|звуковыми|эффектами|спользуется|сюжетно|ролевых|играх|для|моделирования|транспортных|ситуаций|развития|воображения</v>
      </c>
      <c r="I475" s="1"/>
      <c r="J475" s="1"/>
    </row>
    <row r="476" spans="1:10" x14ac:dyDescent="0.2">
      <c r="A476" s="8" t="s">
        <v>2203</v>
      </c>
      <c r="B476" s="7" t="s">
        <v>2202</v>
      </c>
      <c r="C476" s="7" t="s">
        <v>2201</v>
      </c>
      <c r="D476" s="6">
        <v>20500</v>
      </c>
      <c r="E476" s="5">
        <v>7</v>
      </c>
      <c r="F476" s="4" t="str">
        <f ca="1">IFERROR(__xludf.DUMMYFUNCTION("LOWER(REGEXREPLACE(B476&amp;"" ""&amp;C476,""[^а-яa-z0-9 ]"","" ""))")," ашинка полиция  грушечный автомобиль с тематическим оформлением  световыми и звуковыми эффектами   спользуется для сюжетно ролевых игр  направленных на развитие социальных ролей и речи ")</f>
        <v xml:space="preserve"> ашинка полиция  грушечный автомобиль с тематическим оформлением  световыми и звуковыми эффектами   спользуется для сюжетно ролевых игр  направленных на развитие социальных ролей и речи </v>
      </c>
      <c r="G476" s="4" t="str">
        <f ca="1">IFERROR(__xludf.DUMMYFUNCTION("TEXTJOIN(""|"",TRUE,UNIQUE(FILTER(SPLIT(F476,"" ""),LEN(SPLIT(F476,"" ""))&gt;2)))"),"ашинка|полиция|грушечный|автомобиль|тематическим|оформлением|световыми|звуковыми|эффектами|спользуется|для|сюжетно|ролевых|игр|направленных|развитие|социальных|ролей|речи")</f>
        <v>ашинка|полиция|грушечный|автомобиль|тематическим|оформлением|световыми|звуковыми|эффектами|спользуется|для|сюжетно|ролевых|игр|направленных|развитие|социальных|ролей|речи</v>
      </c>
      <c r="I476" s="1"/>
      <c r="J476" s="1"/>
    </row>
    <row r="477" spans="1:10" x14ac:dyDescent="0.2">
      <c r="A477" s="8" t="s">
        <v>2200</v>
      </c>
      <c r="B477" s="7" t="s">
        <v>2199</v>
      </c>
      <c r="C477" s="7" t="s">
        <v>2198</v>
      </c>
      <c r="D477" s="6">
        <v>71800</v>
      </c>
      <c r="E477" s="5">
        <v>7</v>
      </c>
      <c r="F477" s="4" t="str">
        <f ca="1">IFERROR(__xludf.DUMMYFUNCTION("LOWER(REGEXREPLACE(B477&amp;"" ""&amp;C477,""[^а-яa-z0-9 ]"","" ""))")," ашинка с ковшом  грушечная строительная техника с подвижными элементами   рименяется в игровых ситуациях  связанных со строительством  способствует развитию координации и пространственного мышления ")</f>
        <v xml:space="preserve"> ашинка с ковшом  грушечная строительная техника с подвижными элементами   рименяется в игровых ситуациях  связанных со строительством  способствует развитию координации и пространственного мышления </v>
      </c>
      <c r="G477" s="4" t="str">
        <f ca="1">IFERROR(__xludf.DUMMYFUNCTION("TEXTJOIN(""|"",TRUE,UNIQUE(FILTER(SPLIT(F477,"" ""),LEN(SPLIT(F477,"" ""))&gt;2)))"),"ашинка|ковшом|грушечная|строительная|техника|подвижными|элементами|рименяется|игровых|ситуациях|связанных|строительством|способствует|развитию|координации|пространственного|мышления")</f>
        <v>ашинка|ковшом|грушечная|строительная|техника|подвижными|элементами|рименяется|игровых|ситуациях|связанных|строительством|способствует|развитию|координации|пространственного|мышления</v>
      </c>
      <c r="I477" s="1"/>
      <c r="J477" s="1"/>
    </row>
    <row r="478" spans="1:10" x14ac:dyDescent="0.2">
      <c r="A478" s="8" t="s">
        <v>2197</v>
      </c>
      <c r="B478" s="7" t="s">
        <v>2196</v>
      </c>
      <c r="C478" s="7" t="s">
        <v>2195</v>
      </c>
      <c r="D478" s="6">
        <v>13700</v>
      </c>
      <c r="E478" s="5">
        <v>9</v>
      </c>
      <c r="F478" s="4" t="str">
        <f ca="1">IFERROR(__xludf.DUMMYFUNCTION("LOWER(REGEXREPLACE(B478&amp;"" ""&amp;C478,""[^а-яa-z0-9 ]"","" ""))")," ашинка самосвал  нерционная игрушечная машина  используемая в сюжетных играх   азвивает воображение  мелкую моторику и интерес к техническим объектам ")</f>
        <v xml:space="preserve"> ашинка самосвал  нерционная игрушечная машина  используемая в сюжетных играх   азвивает воображение  мелкую моторику и интерес к техническим объектам </v>
      </c>
      <c r="G478" s="4" t="str">
        <f ca="1">IFERROR(__xludf.DUMMYFUNCTION("TEXTJOIN(""|"",TRUE,UNIQUE(FILTER(SPLIT(F478,"" ""),LEN(SPLIT(F478,"" ""))&gt;2)))"),"ашинка|самосвал|нерционная|игрушечная|машина|используемая|сюжетных|играх|азвивает|воображение|мелкую|моторику|интерес|техническим|объектам")</f>
        <v>ашинка|самосвал|нерционная|игрушечная|машина|используемая|сюжетных|играх|азвивает|воображение|мелкую|моторику|интерес|техническим|объектам</v>
      </c>
      <c r="I478" s="1"/>
      <c r="J478" s="1"/>
    </row>
    <row r="479" spans="1:10" x14ac:dyDescent="0.2">
      <c r="A479" s="8" t="s">
        <v>2194</v>
      </c>
      <c r="B479" s="7" t="s">
        <v>2193</v>
      </c>
      <c r="C479" s="7" t="s">
        <v>2192</v>
      </c>
      <c r="D479" s="6">
        <v>37600</v>
      </c>
      <c r="E479" s="5">
        <v>7</v>
      </c>
      <c r="F479" s="4" t="str">
        <f ca="1">IFERROR(__xludf.DUMMYFUNCTION("LOWER(REGEXREPLACE(B479&amp;"" ""&amp;C479,""[^а-яa-z0-9 ]"","" ""))")," ашинка конструктор  азвивающая игрушка для сборки транспортного средства   спользуется для формирования навыков конструирования  развития логического мышления и мелкой моторики ")</f>
        <v xml:space="preserve"> ашинка конструктор  азвивающая игрушка для сборки транспортного средства   спользуется для формирования навыков конструирования  развития логического мышления и мелкой моторики </v>
      </c>
      <c r="G479" s="4" t="str">
        <f ca="1">IFERROR(__xludf.DUMMYFUNCTION("TEXTJOIN(""|"",TRUE,UNIQUE(FILTER(SPLIT(F479,"" ""),LEN(SPLIT(F479,"" ""))&gt;2)))"),"ашинка|конструктор|азвивающая|игрушка|для|сборки|транспортного|средства|спользуется|для|формирования|навыков|конструирования|развития|логического|мышления|мелкой|моторики")</f>
        <v>ашинка|конструктор|азвивающая|игрушка|для|сборки|транспортного|средства|спользуется|для|формирования|навыков|конструирования|развития|логического|мышления|мелкой|моторики</v>
      </c>
      <c r="I479" s="1"/>
      <c r="J479" s="1"/>
    </row>
    <row r="480" spans="1:10" x14ac:dyDescent="0.2">
      <c r="A480" s="8" t="s">
        <v>2191</v>
      </c>
      <c r="B480" s="7" t="s">
        <v>2190</v>
      </c>
      <c r="C480" s="7" t="s">
        <v>2189</v>
      </c>
      <c r="D480" s="6">
        <v>6600</v>
      </c>
      <c r="E480" s="5">
        <v>1</v>
      </c>
      <c r="F480" s="4" t="str">
        <f ca="1">IFERROR(__xludf.DUMMYFUNCTION("LOWER(REGEXREPLACE(B480&amp;"" ""&amp;C480,""[^а-яa-z0-9 ]"","" ""))")," аластан  тет леу лы   ")</f>
        <v xml:space="preserve"> аластан  тет леу лы   </v>
      </c>
      <c r="G480" s="4" t="str">
        <f ca="1">IFERROR(__xludf.DUMMYFUNCTION("TEXTJOIN(""|"",TRUE,UNIQUE(FILTER(SPLIT(F480,"" ""),LEN(SPLIT(F480,"" ""))&gt;2)))"),"аластан|тет|леу")</f>
        <v>аластан|тет|леу</v>
      </c>
      <c r="I480" s="1"/>
      <c r="J480" s="1"/>
    </row>
    <row r="481" spans="1:10" x14ac:dyDescent="0.2">
      <c r="A481" s="8" t="s">
        <v>2188</v>
      </c>
      <c r="B481" s="7" t="s">
        <v>2187</v>
      </c>
      <c r="C481" s="7" t="s">
        <v>2186</v>
      </c>
      <c r="D481" s="6">
        <v>22800</v>
      </c>
      <c r="E481" s="5">
        <v>7</v>
      </c>
      <c r="F481" s="4" t="str">
        <f ca="1">IFERROR(__xludf.DUMMYFUNCTION("LOWER(REGEXREPLACE(B481&amp;"" ""&amp;C481,""[^а-яa-z0-9 ]"","" ""))")," ашинки  коллекция   абор игрушечных машинок с простым механизмом движения   спользуется для групповых игр  способствует развитию коммуникативных навыков и координации ")</f>
        <v xml:space="preserve"> ашинки  коллекция   абор игрушечных машинок с простым механизмом движения   спользуется для групповых игр  способствует развитию коммуникативных навыков и координации </v>
      </c>
      <c r="G481" s="4" t="str">
        <f ca="1">IFERROR(__xludf.DUMMYFUNCTION("TEXTJOIN(""|"",TRUE,UNIQUE(FILTER(SPLIT(F481,"" ""),LEN(SPLIT(F481,"" ""))&gt;2)))"),"ашинки|коллекция|абор|игрушечных|машинок|простым|механизмом|движения|спользуется|для|групповых|игр|способствует|развитию|коммуникативных|навыков|координации")</f>
        <v>ашинки|коллекция|абор|игрушечных|машинок|простым|механизмом|движения|спользуется|для|групповых|игр|способствует|развитию|коммуникативных|навыков|координации</v>
      </c>
      <c r="I481" s="1"/>
      <c r="J481" s="1"/>
    </row>
    <row r="482" spans="1:10" x14ac:dyDescent="0.2">
      <c r="A482" s="8" t="s">
        <v>2185</v>
      </c>
      <c r="B482" s="7" t="s">
        <v>2184</v>
      </c>
      <c r="C482" s="7" t="s">
        <v>2183</v>
      </c>
      <c r="D482" s="6">
        <v>9500</v>
      </c>
      <c r="E482" s="5">
        <v>1</v>
      </c>
      <c r="F482" s="4" t="str">
        <f ca="1">IFERROR(__xludf.DUMMYFUNCTION("LOWER(REGEXREPLACE(B482&amp;"" ""&amp;C482,""[^а-яa-z0-9 ]"","" ""))")," ашинки деревянные  абор деревянных машинок без механизма   спользуется для сюжетно ролевых игр и развития тактильных ощущений  воображения и мелкой моторики ")</f>
        <v xml:space="preserve"> ашинки деревянные  абор деревянных машинок без механизма   спользуется для сюжетно ролевых игр и развития тактильных ощущений  воображения и мелкой моторики </v>
      </c>
      <c r="G482" s="4" t="str">
        <f ca="1">IFERROR(__xludf.DUMMYFUNCTION("TEXTJOIN(""|"",TRUE,UNIQUE(FILTER(SPLIT(F482,"" ""),LEN(SPLIT(F482,"" ""))&gt;2)))"),"ашинки|деревянные|абор|деревянных|машинок|без|механизма|спользуется|для|сюжетно|ролевых|игр|развития|тактильных|ощущений|воображения|мелкой|моторики")</f>
        <v>ашинки|деревянные|абор|деревянных|машинок|без|механизма|спользуется|для|сюжетно|ролевых|игр|развития|тактильных|ощущений|воображения|мелкой|моторики</v>
      </c>
      <c r="I482" s="1"/>
      <c r="J482" s="1"/>
    </row>
    <row r="483" spans="1:10" x14ac:dyDescent="0.2">
      <c r="A483" s="8" t="s">
        <v>2182</v>
      </c>
      <c r="B483" s="7" t="s">
        <v>2181</v>
      </c>
      <c r="C483" s="7" t="s">
        <v>2180</v>
      </c>
      <c r="D483" s="6">
        <v>20900</v>
      </c>
      <c r="E483" s="5">
        <v>1</v>
      </c>
      <c r="F483" s="4" t="str">
        <f ca="1">IFERROR(__xludf.DUMMYFUNCTION("LOWER(REGEXREPLACE(B483&amp;"" ""&amp;C483,""[^а-яa-z0-9 ]"","" ""))")," ашинки спецтехника  абор игрушечной специальной техники для моделирования трудовых и строительных процессов   спользуется в сюжетно ролевых играх и развивает представления о профессиях ")</f>
        <v xml:space="preserve"> ашинки спецтехника  абор игрушечной специальной техники для моделирования трудовых и строительных процессов   спользуется в сюжетно ролевых играх и развивает представления о профессиях </v>
      </c>
      <c r="G483" s="4" t="str">
        <f ca="1">IFERROR(__xludf.DUMMYFUNCTION("TEXTJOIN(""|"",TRUE,UNIQUE(FILTER(SPLIT(F483,"" ""),LEN(SPLIT(F483,"" ""))&gt;2)))"),"ашинки|спецтехника|абор|игрушечной|специальной|техники|для|моделирования|трудовых|строительных|процессов|спользуется|сюжетно|ролевых|играх|развивает|представления|профессиях")</f>
        <v>ашинки|спецтехника|абор|игрушечной|специальной|техники|для|моделирования|трудовых|строительных|процессов|спользуется|сюжетно|ролевых|играх|развивает|представления|профессиях</v>
      </c>
      <c r="I483" s="1"/>
      <c r="J483" s="1"/>
    </row>
    <row r="484" spans="1:10" x14ac:dyDescent="0.2">
      <c r="A484" s="8" t="s">
        <v>2179</v>
      </c>
      <c r="B484" s="7" t="s">
        <v>2178</v>
      </c>
      <c r="C484" s="7" t="s">
        <v>1659</v>
      </c>
      <c r="D484" s="6">
        <v>18000</v>
      </c>
      <c r="E484" s="5">
        <v>1</v>
      </c>
      <c r="F484" s="4" t="str">
        <f ca="1">IFERROR(__xludf.DUMMYFUNCTION("LOWER(REGEXREPLACE(B484&amp;"" ""&amp;C484,""[^а-яa-z0-9 ]"","" ""))"),"  нг л к т л а    лы  бай  книга альбом   буб к р      ужикова      айрамбаева   ")</f>
        <v xml:space="preserve">  нг л к т л а    лы  бай  книга альбом   буб к р      ужикова      айрамбаева   </v>
      </c>
      <c r="G484" s="4" t="str">
        <f ca="1">IFERROR(__xludf.DUMMYFUNCTION("TEXTJOIN(""|"",TRUE,UNIQUE(FILTER(SPLIT(F484,"" ""),LEN(SPLIT(F484,"" ""))&gt;2)))"),"бай|книга|альбом|буб|ужикова|айрамбаева")</f>
        <v>бай|книга|альбом|буб|ужикова|айрамбаева</v>
      </c>
      <c r="I484" s="1"/>
      <c r="J484" s="1"/>
    </row>
    <row r="485" spans="1:10" x14ac:dyDescent="0.2">
      <c r="A485" s="8" t="s">
        <v>2177</v>
      </c>
      <c r="B485" s="7" t="s">
        <v>2176</v>
      </c>
      <c r="C485" s="7" t="s">
        <v>2175</v>
      </c>
      <c r="D485" s="6">
        <v>13600</v>
      </c>
      <c r="E485" s="5">
        <v>1</v>
      </c>
      <c r="F485" s="4" t="str">
        <f ca="1">IFERROR(__xludf.DUMMYFUNCTION("LOWER(REGEXREPLACE(B485&amp;"" ""&amp;C485,""[^а-яa-z0-9 ]"","" ""))")," ен баламды б лем н бе   ала психологиясы туралы ата ана а к мек  эри   ")</f>
        <v xml:space="preserve"> ен баламды б лем н бе   ала психологиясы туралы ата ана а к мек  эри   </v>
      </c>
      <c r="G485" s="4" t="str">
        <f ca="1">IFERROR(__xludf.DUMMYFUNCTION("TEXTJOIN(""|"",TRUE,UNIQUE(FILTER(SPLIT(F485,"" ""),LEN(SPLIT(F485,"" ""))&gt;2)))"),"баламды|лем|ала|психологиясы|туралы|ата|ана|мек|эри")</f>
        <v>баламды|лем|ала|психологиясы|туралы|ата|ана|мек|эри</v>
      </c>
      <c r="I485" s="1"/>
      <c r="J485" s="1"/>
    </row>
    <row r="486" spans="1:10" x14ac:dyDescent="0.2">
      <c r="A486" s="8" t="s">
        <v>2174</v>
      </c>
      <c r="B486" s="7" t="s">
        <v>2173</v>
      </c>
      <c r="C486" s="7" t="s">
        <v>2172</v>
      </c>
      <c r="D486" s="6">
        <v>6600</v>
      </c>
      <c r="E486" s="5">
        <v>1</v>
      </c>
      <c r="F486" s="4" t="str">
        <f ca="1">IFERROR(__xludf.DUMMYFUNCTION("LOWER(REGEXREPLACE(B486&amp;"" ""&amp;C486,""[^а-яa-z0-9 ]"","" ""))")," ен б р ж мба    даммын оны да ойла      бай  унанбаев")</f>
        <v xml:space="preserve"> ен б р ж мба    даммын оны да ойла      бай  унанбаев</v>
      </c>
      <c r="G486" s="4" t="str">
        <f ca="1">IFERROR(__xludf.DUMMYFUNCTION("TEXTJOIN(""|"",TRUE,UNIQUE(FILTER(SPLIT(F486,"" ""),LEN(SPLIT(F486,"" ""))&gt;2)))"),"мба|даммын|оны|ойла|бай|унанбаев")</f>
        <v>мба|даммын|оны|ойла|бай|унанбаев</v>
      </c>
      <c r="I486" s="1"/>
      <c r="J486" s="1"/>
    </row>
    <row r="487" spans="1:10" x14ac:dyDescent="0.2">
      <c r="A487" s="8" t="s">
        <v>2171</v>
      </c>
      <c r="B487" s="7" t="s">
        <v>2170</v>
      </c>
      <c r="C487" s="7" t="s">
        <v>722</v>
      </c>
      <c r="D487" s="6">
        <v>30700</v>
      </c>
      <c r="E487" s="5">
        <v>1</v>
      </c>
      <c r="F487" s="4" t="str">
        <f ca="1">IFERROR(__xludf.DUMMYFUNCTION("LOWER(REGEXREPLACE(B487&amp;"" ""&amp;C487,""[^а-яa-z0-9 ]"","" ""))")," ен    таным    аза стан  юрта      ужикова")</f>
        <v xml:space="preserve"> ен    таным    аза стан  юрта      ужикова</v>
      </c>
      <c r="G487" s="4" t="str">
        <f ca="1">IFERROR(__xludf.DUMMYFUNCTION("TEXTJOIN(""|"",TRUE,UNIQUE(FILTER(SPLIT(F487,"" ""),LEN(SPLIT(F487,"" ""))&gt;2)))"),"таным|аза|стан|юрта|ужикова")</f>
        <v>таным|аза|стан|юрта|ужикова</v>
      </c>
      <c r="I487" s="1"/>
      <c r="J487" s="1"/>
    </row>
    <row r="488" spans="1:10" x14ac:dyDescent="0.2">
      <c r="A488" s="8" t="s">
        <v>2169</v>
      </c>
      <c r="B488" s="7" t="s">
        <v>2168</v>
      </c>
      <c r="C488" s="7"/>
      <c r="D488" s="6">
        <v>1700</v>
      </c>
      <c r="E488" s="5">
        <v>1</v>
      </c>
      <c r="F488" s="4" t="str">
        <f ca="1">IFERROR(__xludf.DUMMYFUNCTION("LOWER(REGEXREPLACE(B488&amp;"" ""&amp;C488,""[^а-яa-z0-9 ]"","" ""))")," енменд кт   алай же уге болады   ак преодолеть гордыню   ow to overcome pride ")</f>
        <v xml:space="preserve"> енменд кт   алай же уге болады   ак преодолеть гордыню   ow to overcome pride </v>
      </c>
      <c r="G488" s="4" t="str">
        <f ca="1">IFERROR(__xludf.DUMMYFUNCTION("TEXTJOIN(""|"",TRUE,UNIQUE(FILTER(SPLIT(F488,"" ""),LEN(SPLIT(F488,"" ""))&gt;2)))"),"енменд|алай|уге|болады|преодолеть|гордыню|overcome|pride")</f>
        <v>енменд|алай|уге|болады|преодолеть|гордыню|overcome|pride</v>
      </c>
      <c r="I488" s="1"/>
      <c r="J488" s="1"/>
    </row>
    <row r="489" spans="1:10" x14ac:dyDescent="0.2">
      <c r="A489" s="8" t="s">
        <v>2167</v>
      </c>
      <c r="B489" s="7" t="s">
        <v>2166</v>
      </c>
      <c r="C489" s="7" t="s">
        <v>2165</v>
      </c>
      <c r="D489" s="6">
        <v>28500</v>
      </c>
      <c r="E489" s="5">
        <v>5</v>
      </c>
      <c r="F489" s="4" t="str">
        <f ca="1">IFERROR(__xludf.DUMMYFUNCTION("LOWER(REGEXREPLACE(B489&amp;"" ""&amp;C489,""[^а-яa-z0-9 ]"","" ""))")," ерные стаканы  набор   абор мерных  мкостей для проведения опытов  экспериментов и занятий с песком  водой и другими материалами   спользуется для формирования представлений об объ ме и количестве ")</f>
        <v xml:space="preserve"> ерные стаканы  набор   абор мерных  мкостей для проведения опытов  экспериментов и занятий с песком  водой и другими материалами   спользуется для формирования представлений об объ ме и количестве </v>
      </c>
      <c r="G489" s="4" t="str">
        <f ca="1">IFERROR(__xludf.DUMMYFUNCTION("TEXTJOIN(""|"",TRUE,UNIQUE(FILTER(SPLIT(F489,"" ""),LEN(SPLIT(F489,"" ""))&gt;2)))"),"ерные|стаканы|набор|абор|мерных|мкостей|для|проведения|опытов|экспериментов|занятий|песком|водой|другими|материалами|спользуется|для|формирования|представлений|объ|количестве")</f>
        <v>ерные|стаканы|набор|абор|мерных|мкостей|для|проведения|опытов|экспериментов|занятий|песком|водой|другими|материалами|спользуется|для|формирования|представлений|объ|количестве</v>
      </c>
      <c r="I489" s="1"/>
      <c r="J489" s="1"/>
    </row>
    <row r="490" spans="1:10" x14ac:dyDescent="0.2">
      <c r="A490" s="8" t="s">
        <v>2164</v>
      </c>
      <c r="B490" s="7" t="s">
        <v>2163</v>
      </c>
      <c r="C490" s="7" t="s">
        <v>2162</v>
      </c>
      <c r="D490" s="6">
        <v>28500</v>
      </c>
      <c r="E490" s="5">
        <v>1</v>
      </c>
      <c r="F490" s="4" t="str">
        <f ca="1">IFERROR(__xludf.DUMMYFUNCTION("LOWER(REGEXREPLACE(B490&amp;"" ""&amp;C490,""[^а-яa-z0-9 ]"","" ""))")," етодические пособия  ечатные и электронные материалы для педагогов и специалистов   спользуются при планировании и проведении коррекционно развивающих и образовательных занятий ")</f>
        <v xml:space="preserve"> етодические пособия  ечатные и электронные материалы для педагогов и специалистов   спользуются при планировании и проведении коррекционно развивающих и образовательных занятий </v>
      </c>
      <c r="G490" s="4" t="str">
        <f ca="1">IFERROR(__xludf.DUMMYFUNCTION("TEXTJOIN(""|"",TRUE,UNIQUE(FILTER(SPLIT(F490,"" ""),LEN(SPLIT(F490,"" ""))&gt;2)))"),"етодические|пособия|ечатные|электронные|материалы|для|педагогов|специалистов|спользуются|при|планировании|проведении|коррекционно|развивающих|образовательных|занятий")</f>
        <v>етодические|пособия|ечатные|электронные|материалы|для|педагогов|специалистов|спользуются|при|планировании|проведении|коррекционно|развивающих|образовательных|занятий</v>
      </c>
      <c r="I490" s="1"/>
      <c r="J490" s="1"/>
    </row>
    <row r="491" spans="1:10" x14ac:dyDescent="0.2">
      <c r="A491" s="8" t="s">
        <v>2161</v>
      </c>
      <c r="B491" s="7" t="s">
        <v>2160</v>
      </c>
      <c r="C491" s="7" t="s">
        <v>2159</v>
      </c>
      <c r="D491" s="6">
        <v>41800</v>
      </c>
      <c r="E491" s="5">
        <v>2</v>
      </c>
      <c r="F491" s="4" t="str">
        <f ca="1">IFERROR(__xludf.DUMMYFUNCTION("LOWER(REGEXREPLACE(B491&amp;"" ""&amp;C491,""[^а-яa-z0-9 ]"","" ""))")," аскетбольное кольцо для подвижных игр  аскетбольное кольцо используется для организации подвижных игр с бросками мяча   азмещается на высоте  соответствующей использованию в детской среде    процессе игры выполняются метательные движения и координация де"&amp;"йствий   онструкция выполнена из прочного пластика и предназначена для эксплуатации в помещениях ")</f>
        <v xml:space="preserve"> аскетбольное кольцо для подвижных игр  аскетбольное кольцо используется для организации подвижных игр с бросками мяча   азмещается на высоте  соответствующей использованию в детской среде    процессе игры выполняются метательные движения и координация действий   онструкция выполнена из прочного пластика и предназначена для эксплуатации в помещениях </v>
      </c>
      <c r="G491" s="4" t="str">
        <f ca="1">IFERROR(__xludf.DUMMYFUNCTION("TEXTJOIN(""|"",TRUE,UNIQUE(FILTER(SPLIT(F491,"" ""),LEN(SPLIT(F491,"" ""))&gt;2)))"),"аскетбольное|кольцо|для|подвижных|игр|аскетбольное|кольцо|используется|для|организации|подвижных|игр|бросками|мяча|азмещается|высоте|соответствующей|использованию|детской|среде|процессе|игры|выполняются|метательные|движения|координация|действий|онструкция"&amp;"|выполнена|прочного|пластика|предназначена|для|эксплуатации|помещениях")</f>
        <v>аскетбольное|кольцо|для|подвижных|игр|аскетбольное|кольцо|используется|для|организации|подвижных|игр|бросками|мяча|азмещается|высоте|соответствующей|использованию|детской|среде|процессе|игры|выполняются|метательные|движения|координация|действий|онструкция|выполнена|прочного|пластика|предназначена|для|эксплуатации|помещениях</v>
      </c>
      <c r="I491" s="1"/>
      <c r="J491" s="1"/>
    </row>
    <row r="492" spans="1:10" x14ac:dyDescent="0.2">
      <c r="A492" s="8" t="s">
        <v>2158</v>
      </c>
      <c r="B492" s="7" t="s">
        <v>2157</v>
      </c>
      <c r="C492" s="7" t="s">
        <v>2156</v>
      </c>
      <c r="D492" s="6">
        <v>2600</v>
      </c>
      <c r="E492" s="5">
        <v>10</v>
      </c>
      <c r="F492" s="4" t="str">
        <f ca="1">IFERROR(__xludf.DUMMYFUNCTION("LOWER(REGEXREPLACE(B492&amp;"" ""&amp;C492,""[^а-яa-z0-9 ]"","" ""))")," ешочек для хранения игрушек  екстильный мешочек для хранения мелких игрушек и дидактических материалов   спользуется для поддержания порядка и удобной организации пространства ")</f>
        <v xml:space="preserve"> ешочек для хранения игрушек  екстильный мешочек для хранения мелких игрушек и дидактических материалов   спользуется для поддержания порядка и удобной организации пространства </v>
      </c>
      <c r="G492" s="4" t="str">
        <f ca="1">IFERROR(__xludf.DUMMYFUNCTION("TEXTJOIN(""|"",TRUE,UNIQUE(FILTER(SPLIT(F492,"" ""),LEN(SPLIT(F492,"" ""))&gt;2)))"),"ешочек|для|хранения|игрушек|екстильный|мешочек|для|хранения|мелких|игрушек|дидактических|материалов|спользуется|для|поддержания|порядка|удобной|организации|пространства")</f>
        <v>ешочек|для|хранения|игрушек|екстильный|мешочек|для|хранения|мелких|игрушек|дидактических|материалов|спользуется|для|поддержания|порядка|удобной|организации|пространства</v>
      </c>
      <c r="I492" s="1"/>
      <c r="J492" s="1"/>
    </row>
    <row r="493" spans="1:10" x14ac:dyDescent="0.2">
      <c r="A493" s="8" t="s">
        <v>2155</v>
      </c>
      <c r="B493" s="7" t="s">
        <v>2154</v>
      </c>
      <c r="C493" s="7" t="s">
        <v>2153</v>
      </c>
      <c r="D493" s="6">
        <v>2900</v>
      </c>
      <c r="E493" s="5">
        <v>10</v>
      </c>
      <c r="F493" s="4" t="str">
        <f ca="1">IFERROR(__xludf.DUMMYFUNCTION("LOWER(REGEXREPLACE(B493&amp;"" ""&amp;C493,""[^а-яa-z0-9 ]"","" ""))")," ешочки с песком  тяжел нные мешочки для упражнений и сенсорных игр   спользуются для развития координации  тактильных ощущений и мышечного контроля ")</f>
        <v xml:space="preserve"> ешочки с песком  тяжел нные мешочки для упражнений и сенсорных игр   спользуются для развития координации  тактильных ощущений и мышечного контроля </v>
      </c>
      <c r="G493" s="4" t="str">
        <f ca="1">IFERROR(__xludf.DUMMYFUNCTION("TEXTJOIN(""|"",TRUE,UNIQUE(FILTER(SPLIT(F493,"" ""),LEN(SPLIT(F493,"" ""))&gt;2)))"),"ешочки|песком|тяжел|нные|мешочки|для|упражнений|сенсорных|игр|спользуются|для|развития|координации|тактильных|ощущений|мышечного|контроля")</f>
        <v>ешочки|песком|тяжел|нные|мешочки|для|упражнений|сенсорных|игр|спользуются|для|развития|координации|тактильных|ощущений|мышечного|контроля</v>
      </c>
      <c r="I493" s="1"/>
      <c r="J493" s="1"/>
    </row>
    <row r="494" spans="1:10" x14ac:dyDescent="0.2">
      <c r="A494" s="8" t="s">
        <v>2152</v>
      </c>
      <c r="B494" s="7" t="s">
        <v>2151</v>
      </c>
      <c r="C494" s="7" t="s">
        <v>2150</v>
      </c>
      <c r="D494" s="6">
        <v>4800</v>
      </c>
      <c r="E494" s="5">
        <v>5</v>
      </c>
      <c r="F494" s="4" t="str">
        <f ca="1">IFERROR(__xludf.DUMMYFUNCTION("LOWER(REGEXREPLACE(B494&amp;"" ""&amp;C494,""[^а-яa-z0-9 ]"","" ""))")," ногофункциональная рамка вкладыш   асы  с элементами сортера и шнуровки  азвивающая рамка вкладыш объединяет задания на размещение фигур  сортировку и шнурование    процессе работы выполняются действия по подбору деталей по форме  размещению в отверстиях"&amp;" и продеванию шнурка   акая деятельность развивает мелкую моторику  внимание и навыки соотнесения   онструкция выполнена из дерева ")</f>
        <v xml:space="preserve"> ногофункциональная рамка вкладыш   асы  с элементами сортера и шнуровки  азвивающая рамка вкладыш объединяет задания на размещение фигур  сортировку и шнурование    процессе работы выполняются действия по подбору деталей по форме  размещению в отверстиях и продеванию шнурка   акая деятельность развивает мелкую моторику  внимание и навыки соотнесения   онструкция выполнена из дерева </v>
      </c>
      <c r="G494" s="4" t="str">
        <f ca="1">IFERROR(__xludf.DUMMYFUNCTION("TEXTJOIN(""|"",TRUE,UNIQUE(FILTER(SPLIT(F494,"" ""),LEN(SPLIT(F494,"" ""))&gt;2)))"),"ногофункциональная|рамка|вкладыш|асы|элементами|сортера|шнуровки|азвивающая|рамка|вкладыш|объединяет|задания|размещение|фигур|сортировку|шнурование|процессе|работы|выполняются|действия|подбору|деталей|форме|размещению|отверстиях|продеванию|шнурка|акая|дея"&amp;"тельность|развивает|мелкую|моторику|внимание|навыки|соотнесения|онструкция|выполнена|дерева")</f>
        <v>ногофункциональная|рамка|вкладыш|асы|элементами|сортера|шнуровки|азвивающая|рамка|вкладыш|объединяет|задания|размещение|фигур|сортировку|шнурование|процессе|работы|выполняются|действия|подбору|деталей|форме|размещению|отверстиях|продеванию|шнурка|акая|деятельность|развивает|мелкую|моторику|внимание|навыки|соотнесения|онструкция|выполнена|дерева</v>
      </c>
      <c r="I494" s="1"/>
      <c r="J494" s="1"/>
    </row>
    <row r="495" spans="1:10" x14ac:dyDescent="0.2">
      <c r="A495" s="8" t="s">
        <v>2149</v>
      </c>
      <c r="B495" s="7" t="s">
        <v>2148</v>
      </c>
      <c r="C495" s="7" t="s">
        <v>2147</v>
      </c>
      <c r="D495" s="6">
        <v>20900</v>
      </c>
      <c r="E495" s="5">
        <v>13</v>
      </c>
      <c r="F495" s="4" t="str">
        <f ca="1">IFERROR(__xludf.DUMMYFUNCTION("LOWER(REGEXREPLACE(B495&amp;"" ""&amp;C495,""[^а-яa-z0-9 ]"","" ""))")," озаика детская  240 элементов  2 поля  озаика включает элементы для выкладывания узоров и изображений на игровых полях    процессе работы выполняется размещение деталей в отверстиях и подбор по цвету   акая деятельность способствует развитию мелкой мотор"&amp;"ики  зрительного восприятия и навыков составления простых композиций    комплект входит не менее 240 элементов и 2 поля   оличество цветов   не менее 6 ")</f>
        <v xml:space="preserve"> озаика детская  240 элементов  2 поля  озаика включает элементы для выкладывания узоров и изображений на игровых полях    процессе работы выполняется размещение деталей в отверстиях и подбор по цвету   акая деятельность способствует развитию мелкой моторики  зрительного восприятия и навыков составления простых композиций    комплект входит не менее 240 элементов и 2 поля   оличество цветов   не менее 6 </v>
      </c>
      <c r="G495" s="4" t="str">
        <f ca="1">IFERROR(__xludf.DUMMYFUNCTION("TEXTJOIN(""|"",TRUE,UNIQUE(FILTER(SPLIT(F495,"" ""),LEN(SPLIT(F495,"" ""))&gt;2)))"),"озаика|детская|240|элементов|поля|озаика|включает|элементы|для|выкладывания|узоров|изображений|игровых|полях|процессе|работы|выполняется|размещение|деталей|отверстиях|подбор|цвету|акая|деятельность|способствует|развитию|мелкой|моторики|зрительного|восприя"&amp;"тия|навыков|составления|простых|композиций|комплект|входит|менее|240|элементов|поля|оличество|цветов|менее")</f>
        <v>озаика|детская|240|элементов|поля|озаика|включает|элементы|для|выкладывания|узоров|изображений|игровых|полях|процессе|работы|выполняется|размещение|деталей|отверстиях|подбор|цвету|акая|деятельность|способствует|развитию|мелкой|моторики|зрительного|восприятия|навыков|составления|простых|композиций|комплект|входит|менее|240|элементов|поля|оличество|цветов|менее</v>
      </c>
      <c r="I495" s="1"/>
      <c r="J495" s="1"/>
    </row>
    <row r="496" spans="1:10" x14ac:dyDescent="0.2">
      <c r="A496" s="8" t="s">
        <v>2146</v>
      </c>
      <c r="B496" s="7" t="s">
        <v>2145</v>
      </c>
      <c r="C496" s="7" t="s">
        <v>2144</v>
      </c>
      <c r="D496" s="6">
        <v>7800</v>
      </c>
      <c r="E496" s="5">
        <v>1</v>
      </c>
      <c r="F496" s="4" t="str">
        <f ca="1">IFERROR(__xludf.DUMMYFUNCTION("LOWER(REGEXREPLACE(B496&amp;"" ""&amp;C496,""[^а-яa-z0-9 ]"","" ""))")," атпырауы       хетов")</f>
        <v xml:space="preserve"> атпырауы       хетов</v>
      </c>
      <c r="G496" s="4" t="str">
        <f ca="1">IFERROR(__xludf.DUMMYFUNCTION("TEXTJOIN(""|"",TRUE,UNIQUE(FILTER(SPLIT(F496,"" ""),LEN(SPLIT(F496,"" ""))&gt;2)))"),"атпырауы|хетов")</f>
        <v>атпырауы|хетов</v>
      </c>
      <c r="I496" s="1"/>
      <c r="J496" s="1"/>
    </row>
    <row r="497" spans="1:10" x14ac:dyDescent="0.2">
      <c r="A497" s="8" t="s">
        <v>2143</v>
      </c>
      <c r="B497" s="7" t="s">
        <v>2142</v>
      </c>
      <c r="C497" s="7" t="s">
        <v>2141</v>
      </c>
      <c r="D497" s="6">
        <v>9100</v>
      </c>
      <c r="E497" s="5">
        <v>10</v>
      </c>
      <c r="F497" s="4" t="str">
        <f ca="1">IFERROR(__xludf.DUMMYFUNCTION("LOWER(REGEXREPLACE(B497&amp;"" ""&amp;C497,""[^а-яa-z0-9 ]"","" ""))")," озаика классическая  240 элементов  2 поля  лассическая мозаика предназначена для составления рисунков и узоров из цветных элементов    процессе игры выполняется подбор деталей по цвету и размещение на поле   акая деятельность развивает координацию движе"&amp;"ний и устойчивость внимания   омплект включает не менее 240 элементов и 2 игровых поля ")</f>
        <v xml:space="preserve"> озаика классическая  240 элементов  2 поля  лассическая мозаика предназначена для составления рисунков и узоров из цветных элементов    процессе игры выполняется подбор деталей по цвету и размещение на поле   акая деятельность развивает координацию движений и устойчивость внимания   омплект включает не менее 240 элементов и 2 игровых поля </v>
      </c>
      <c r="G497" s="4" t="str">
        <f ca="1">IFERROR(__xludf.DUMMYFUNCTION("TEXTJOIN(""|"",TRUE,UNIQUE(FILTER(SPLIT(F497,"" ""),LEN(SPLIT(F497,"" ""))&gt;2)))"),"озаика|классическая|240|элементов|поля|лассическая|мозаика|предназначена|для|составления|рисунков|узоров|цветных|элементов|процессе|игры|выполняется|подбор|деталей|цвету|размещение|поле|акая|деятельность|развивает|координацию|движений|устойчивость|внимани"&amp;"я|омплект|включает|менее|240|элементов|игровых|поля")</f>
        <v>озаика|классическая|240|элементов|поля|лассическая|мозаика|предназначена|для|составления|рисунков|узоров|цветных|элементов|процессе|игры|выполняется|подбор|деталей|цвету|размещение|поле|акая|деятельность|развивает|координацию|движений|устойчивость|внимания|омплект|включает|менее|240|элементов|игровых|поля</v>
      </c>
      <c r="I497" s="1"/>
      <c r="J497" s="1"/>
    </row>
    <row r="498" spans="1:10" x14ac:dyDescent="0.2">
      <c r="A498" s="8" t="s">
        <v>2140</v>
      </c>
      <c r="B498" s="7" t="s">
        <v>2139</v>
      </c>
      <c r="C498" s="7" t="s">
        <v>2138</v>
      </c>
      <c r="D498" s="6">
        <v>32300</v>
      </c>
      <c r="E498" s="5">
        <v>14</v>
      </c>
      <c r="F498" s="4" t="str">
        <f ca="1">IFERROR(__xludf.DUMMYFUNCTION("LOWER(REGEXREPLACE(B498&amp;"" ""&amp;C498,""[^а-яa-z0-9 ]"","" ""))")," озаика крупная   абочка   27 элементов  рупная мозаика предназначена для первых упражнений по выкладыванию рисунка и освоения принципа  часть целое     набор входит не менее 27 крупных элементов  удобных для захвата детской рукой и безопасных при игре   "&amp;"снова и детали выполнены из прочного материала  поверхность гладкая  без острых кромок  допускает протирание   борка изображения  бабочка  помогает развивать координацию рук  различение форм и цветов  а также умение доводить задание до результата   озаика"&amp;" используется в индивидуальной и подгрупповой деятельности  подходит для спокойной игры за столом ")</f>
        <v xml:space="preserve"> озаика крупная   абочка   27 элементов  рупная мозаика предназначена для первых упражнений по выкладыванию рисунка и освоения принципа  часть целое     набор входит не менее 27 крупных элементов  удобных для захвата детской рукой и безопасных при игре   снова и детали выполнены из прочного материала  поверхность гладкая  без острых кромок  допускает протирание   борка изображения  бабочка  помогает развивать координацию рук  различение форм и цветов  а также умение доводить задание до результата   озаика используется в индивидуальной и подгрупповой деятельности  подходит для спокойной игры за столом </v>
      </c>
      <c r="G498" s="4" t="str">
        <f ca="1">IFERROR(__xludf.DUMMYFUNCTION("TEXTJOIN(""|"",TRUE,UNIQUE(FILTER(SPLIT(F498,"" ""),LEN(SPLIT(F498,"" ""))&gt;2)))"),"озаика|крупная|абочка|элементов|рупная|мозаика|предназначена|для|первых|упражнений|выкладыванию|рисунка|освоения|принципа|часть|целое|набор|входит|менее|крупных|элементов|удобных|для|захвата|детской|рукой|безопасных|при|игре|снова|детали|выполнены|прочног"&amp;"о|материала|поверхность|гладкая|без|острых|кромок|допускает|протирание|борка|изображения|бабочка|помогает|развивать|координацию|рук|различение|форм|цветов|также|умение|доводить|задание|результата|озаика|используется|индивидуальной|подгрупповой|деятельност"&amp;"и|подходит|для|спокойной|игры|столом")</f>
        <v>озаика|крупная|абочка|элементов|рупная|мозаика|предназначена|для|первых|упражнений|выкладыванию|рисунка|освоения|принципа|часть|целое|набор|входит|менее|крупных|элементов|удобных|для|захвата|детской|рукой|безопасных|при|игре|снова|детали|выполнены|прочного|материала|поверхность|гладкая|без|острых|кромок|допускает|протирание|борка|изображения|бабочка|помогает|развивать|координацию|рук|различение|форм|цветов|также|умение|доводить|задание|результата|озаика|используется|индивидуальной|подгрупповой|деятельности|подходит|для|спокойной|игры|столом</v>
      </c>
      <c r="I498" s="1"/>
      <c r="J498" s="1"/>
    </row>
    <row r="499" spans="1:10" x14ac:dyDescent="0.2">
      <c r="A499" s="8" t="s">
        <v>2137</v>
      </c>
      <c r="B499" s="7" t="s">
        <v>2136</v>
      </c>
      <c r="C499" s="7" t="s">
        <v>2135</v>
      </c>
      <c r="D499" s="6">
        <v>26600</v>
      </c>
      <c r="E499" s="5">
        <v>16</v>
      </c>
      <c r="F499" s="4" t="str">
        <f ca="1">IFERROR(__xludf.DUMMYFUNCTION("LOWER(REGEXREPLACE(B499&amp;"" ""&amp;C499,""[^а-яa-z0-9 ]"","" ""))")," ольберт детский складной  магнитная поверхность  размер не менее 480 630 мм  етский мольберт предназначен для занятий рисованием и письмом в свободной деятельности и на занятиях   абочая поверхность размером не менее 480 630 мм позволяет реб нку выполнят"&amp;"ь рисунки и задания в удобном масштабе   онструкция складная  что упрощает хранение  при этом опоры обеспечивают устойчивость при использовании   агнитная поверхность подходит для крепления карточек  букв и фигур  что расширяет дидактические возможности  "&amp;" атериалы мольберта допускают влажную обработку  кромки безопасно обработаны   спользуется для развития графомоторики  зрительного контроля  аккуратности и самостоятельности ")</f>
        <v xml:space="preserve"> ольберт детский складной  магнитная поверхность  размер не менее 480 630 мм  етский мольберт предназначен для занятий рисованием и письмом в свободной деятельности и на занятиях   абочая поверхность размером не менее 480 630 мм позволяет реб нку выполнять рисунки и задания в удобном масштабе   онструкция складная  что упрощает хранение  при этом опоры обеспечивают устойчивость при использовании   агнитная поверхность подходит для крепления карточек  букв и фигур  что расширяет дидактические возможности   атериалы мольберта допускают влажную обработку  кромки безопасно обработаны   спользуется для развития графомоторики  зрительного контроля  аккуратности и самостоятельности </v>
      </c>
      <c r="G499" s="4" t="str">
        <f ca="1">IFERROR(__xludf.DUMMYFUNCTION("TEXTJOIN(""|"",TRUE,UNIQUE(FILTER(SPLIT(F499,"" ""),LEN(SPLIT(F499,"" ""))&gt;2)))"),"ольберт|детский|складной|магнитная|поверхность|размер|менее|480|630|етский|мольберт|предназначен|для|занятий|рисованием|письмом|свободной|деятельности|занятиях|абочая|поверхность|размером|менее|480|630|позволяет|реб|нку|выполнять|рисунки|задания|удобном|м"&amp;"асштабе|онструкция|складная|что|упрощает|хранение|при|этом|опоры|обеспечивают|устойчивость|при|использовании|агнитная|поверхность|подходит|для|крепления|карточек|букв|фигур|что|расширяет|дидактические|возможности|атериалы|мольберта|допускают|влажную|обраб"&amp;"отку|кромки|безопасно|обработаны|спользуется|для|развития|графомоторики|зрительного|контроля|аккуратности|самостоятельности")</f>
        <v>ольберт|детский|складной|магнитная|поверхность|размер|менее|480|630|етский|мольберт|предназначен|для|занятий|рисованием|письмом|свободной|деятельности|занятиях|абочая|поверхность|размером|менее|480|630|позволяет|реб|нку|выполнять|рисунки|задания|удобном|масштабе|онструкция|складная|что|упрощает|хранение|при|этом|опоры|обеспечивают|устойчивость|при|использовании|агнитная|поверхность|подходит|для|крепления|карточек|букв|фигур|что|расширяет|дидактические|возможности|атериалы|мольберта|допускают|влажную|обработку|кромки|безопасно|обработаны|спользуется|для|развития|графомоторики|зрительного|контроля|аккуратности|самостоятельности</v>
      </c>
      <c r="I499" s="1"/>
      <c r="J499" s="1"/>
    </row>
    <row r="500" spans="1:10" x14ac:dyDescent="0.2">
      <c r="A500" s="8" t="s">
        <v>2134</v>
      </c>
      <c r="B500" s="7" t="s">
        <v>2133</v>
      </c>
      <c r="C500" s="7" t="s">
        <v>2132</v>
      </c>
      <c r="D500" s="6">
        <v>31400</v>
      </c>
      <c r="E500" s="5">
        <v>5</v>
      </c>
      <c r="F500" s="4" t="str">
        <f ca="1">IFERROR(__xludf.DUMMYFUNCTION("LOWER(REGEXREPLACE(B500&amp;"" ""&amp;C500,""[^а-яa-z0-9 ]"","" ""))")," ольберт магнитный многофункциональный с принадлежностями  ольберт предназначен для комплексной творческой деятельности  рисование  письмо  выкладывание магнитных элементов и работа с бумагой   вусторонняя конструкция обеспечивает смену вида деятельности "&amp;"без переустановки оборудования  что удобно для подгруппы детей   ысота мольберта регулируется в пределах не менее 95 110 см  что позволяет использовать его детьми разного роста   редусмотрены зажимы для фиксации листов и полка для хранения принадлежностей"&amp;"  а также  мкости баночки для краски  не менее 2 шт   при наличии в комплекте   оверхности рассчитаны на многократное стирание и регулярную очистку   ольберт поддерживает развитие творческого мышления  планирования действий и представления результата чере"&amp;"з рисунок и схему ")</f>
        <v xml:space="preserve"> ольберт магнитный многофункциональный с принадлежностями  ольберт предназначен для комплексной творческой деятельности  рисование  письмо  выкладывание магнитных элементов и работа с бумагой   вусторонняя конструкция обеспечивает смену вида деятельности без переустановки оборудования  что удобно для подгруппы детей   ысота мольберта регулируется в пределах не менее 95 110 см  что позволяет использовать его детьми разного роста   редусмотрены зажимы для фиксации листов и полка для хранения принадлежностей  а также  мкости баночки для краски  не менее 2 шт   при наличии в комплекте   оверхности рассчитаны на многократное стирание и регулярную очистку   ольберт поддерживает развитие творческого мышления  планирования действий и представления результата через рисунок и схему </v>
      </c>
      <c r="G500" s="4" t="str">
        <f ca="1">IFERROR(__xludf.DUMMYFUNCTION("TEXTJOIN(""|"",TRUE,UNIQUE(FILTER(SPLIT(F500,"" ""),LEN(SPLIT(F500,"" ""))&gt;2)))"),"ольберт|магнитный|многофункциональный|принадлежностями|ольберт|предназначен|для|комплексной|творческой|деятельности|рисование|письмо|выкладывание|магнитных|элементов|работа|бумагой|вусторонняя|конструкция|обеспечивает|смену|вида|деятельности|без|переустан"&amp;"овки|оборудования|что|удобно|для|подгруппы|детей|ысота|мольберта|регулируется|пределах|менее|110|что|позволяет|использовать|его|детьми|разного|роста|редусмотрены|зажимы|для|фиксации|листов|полка|для|хранения|принадлежностей|также|мкости|баночки|для|краски"&amp;"|менее|при|наличии|комплекте|оверхности|рассчитаны|многократное|стирание|регулярную|очистку|ольберт|поддерживает|развитие|творческого|мышления|планирования|действий|представления|результата|через|рисунок|схему")</f>
        <v>ольберт|магнитный|многофункциональный|принадлежностями|ольберт|предназначен|для|комплексной|творческой|деятельности|рисование|письмо|выкладывание|магнитных|элементов|работа|бумагой|вусторонняя|конструкция|обеспечивает|смену|вида|деятельности|без|переустановки|оборудования|что|удобно|для|подгруппы|детей|ысота|мольберта|регулируется|пределах|менее|110|что|позволяет|использовать|его|детьми|разного|роста|редусмотрены|зажимы|для|фиксации|листов|полка|для|хранения|принадлежностей|также|мкости|баночки|для|краски|менее|при|наличии|комплекте|оверхности|рассчитаны|многократное|стирание|регулярную|очистку|ольберт|поддерживает|развитие|творческого|мышления|планирования|действий|представления|результата|через|рисунок|схему</v>
      </c>
      <c r="I500" s="1"/>
      <c r="J500" s="1"/>
    </row>
    <row r="501" spans="1:10" x14ac:dyDescent="0.2">
      <c r="A501" s="8" t="s">
        <v>2131</v>
      </c>
      <c r="B501" s="7" t="s">
        <v>2130</v>
      </c>
      <c r="C501" s="7" t="s">
        <v>2129</v>
      </c>
      <c r="D501" s="6">
        <v>5700</v>
      </c>
      <c r="E501" s="5">
        <v>10</v>
      </c>
      <c r="F501" s="4" t="str">
        <f ca="1">IFERROR(__xludf.DUMMYFUNCTION("LOWER(REGEXREPLACE(B501&amp;"" ""&amp;C501,""[^а-яa-z0-9 ]"","" ""))")," ольберт напольный двухсторонний регулируемый  апольный мольберт предназначен для рисования  письма и демонстрационных упражнений в группе   онструкция двухсторонняя  одна сторона используется для рисования маркером крепления магнитов  другая   для письма"&amp;" рисования мелом или размещения бумаги  в зависимости от комплектации    егулировка по высоте   не менее 2 положений  что позволяет адаптировать мольберт под рост детей   атериал стойки   дерево или аналогичный прочный материал  устойчивый к раскачиванию "&amp;" углы и кромки обработаны для безопасного использования   ольберт способствует развитию графомоторных навыков  координации  творческого воображения и навыков презентации работ   редусмотрена полка лоток для принадлежностей не менее 1 шт ")</f>
        <v xml:space="preserve"> ольберт напольный двухсторонний регулируемый  апольный мольберт предназначен для рисования  письма и демонстрационных упражнений в группе   онструкция двухсторонняя  одна сторона используется для рисования маркером крепления магнитов  другая   для письма рисования мелом или размещения бумаги  в зависимости от комплектации    егулировка по высоте   не менее 2 положений  что позволяет адаптировать мольберт под рост детей   атериал стойки   дерево или аналогичный прочный материал  устойчивый к раскачиванию  углы и кромки обработаны для безопасного использования   ольберт способствует развитию графомоторных навыков  координации  творческого воображения и навыков презентации работ   редусмотрена полка лоток для принадлежностей не менее 1 шт </v>
      </c>
      <c r="G501" s="4" t="str">
        <f ca="1">IFERROR(__xludf.DUMMYFUNCTION("TEXTJOIN(""|"",TRUE,UNIQUE(FILTER(SPLIT(F501,"" ""),LEN(SPLIT(F501,"" ""))&gt;2)))"),"ольберт|напольный|двухсторонний|регулируемый|апольный|мольберт|предназначен|для|рисования|письма|демонстрационных|упражнений|группе|онструкция|двухсторонняя|одна|сторона|используется|для|рисования|маркером|крепления|магнитов|другая|для|письма|рисования|ме"&amp;"лом|или|размещения|бумаги|зависимости|комплектации|егулировка|высоте|менее|положений|что|позволяет|адаптировать|мольберт|под|рост|детей|атериал|стойки|дерево|или|аналогичный|прочный|материал|устойчивый|раскачиванию|углы|кромки|обработаны|для|безопасного|и"&amp;"спользования|ольберт|способствует|развитию|графомоторных|навыков|координации|творческого|воображения|навыков|презентации|работ|редусмотрена|полка|лоток|для|принадлежностей|менее")</f>
        <v>ольберт|напольный|двухсторонний|регулируемый|апольный|мольберт|предназначен|для|рисования|письма|демонстрационных|упражнений|группе|онструкция|двухсторонняя|одна|сторона|используется|для|рисования|маркером|крепления|магнитов|другая|для|письма|рисования|мелом|или|размещения|бумаги|зависимости|комплектации|егулировка|высоте|менее|положений|что|позволяет|адаптировать|мольберт|под|рост|детей|атериал|стойки|дерево|или|аналогичный|прочный|материал|устойчивый|раскачиванию|углы|кромки|обработаны|для|безопасного|использования|ольберт|способствует|развитию|графомоторных|навыков|координации|творческого|воображения|навыков|презентации|работ|редусмотрена|полка|лоток|для|принадлежностей|менее</v>
      </c>
      <c r="I501" s="1"/>
      <c r="J501" s="1"/>
    </row>
    <row r="502" spans="1:10" x14ac:dyDescent="0.2">
      <c r="A502" s="8" t="s">
        <v>2128</v>
      </c>
      <c r="B502" s="7" t="s">
        <v>2127</v>
      </c>
      <c r="C502" s="7" t="s">
        <v>2126</v>
      </c>
      <c r="D502" s="6">
        <v>68400</v>
      </c>
      <c r="E502" s="5">
        <v>10</v>
      </c>
      <c r="F502" s="4" t="str">
        <f ca="1">IFERROR(__xludf.DUMMYFUNCTION("LOWER(REGEXREPLACE(B502&amp;"" ""&amp;C502,""[^а-яa-z0-9 ]"","" ""))")," онстера  крупное напольное растение   рупное декоративно лиственное растение используется для оформления предметно пространственной среды дошкольного учреждения   азмещается в зонах отдыха  наблюдений и экологического воспитания   пособствует созданию бл"&amp;"агоприятного психологического климата  формированию эстетического восприятия и интереса к живой природе   астение размещается вне зоны активных игр  в устойчивом кашпо  безопасном для детей ")</f>
        <v xml:space="preserve"> онстера  крупное напольное растение   рупное декоративно лиственное растение используется для оформления предметно пространственной среды дошкольного учреждения   азмещается в зонах отдыха  наблюдений и экологического воспитания   пособствует созданию благоприятного психологического климата  формированию эстетического восприятия и интереса к живой природе   астение размещается вне зоны активных игр  в устойчивом кашпо  безопасном для детей </v>
      </c>
      <c r="G502" s="4" t="str">
        <f ca="1">IFERROR(__xludf.DUMMYFUNCTION("TEXTJOIN(""|"",TRUE,UNIQUE(FILTER(SPLIT(F502,"" ""),LEN(SPLIT(F502,"" ""))&gt;2)))"),"онстера|крупное|напольное|растение|рупное|декоративно|лиственное|растение|используется|для|оформления|предметно|пространственной|среды|дошкольного|учреждения|азмещается|зонах|отдыха|наблюдений|экологического|воспитания|пособствует|созданию|благоприятного|"&amp;"психологического|климата|формированию|эстетического|восприятия|интереса|живой|природе|астение|размещается|вне|зоны|активных|игр|устойчивом|кашпо|безопасном|для|детей")</f>
        <v>онстера|крупное|напольное|растение|рупное|декоративно|лиственное|растение|используется|для|оформления|предметно|пространственной|среды|дошкольного|учреждения|азмещается|зонах|отдыха|наблюдений|экологического|воспитания|пособствует|созданию|благоприятного|психологического|климата|формированию|эстетического|восприятия|интереса|живой|природе|астение|размещается|вне|зоны|активных|игр|устойчивом|кашпо|безопасном|для|детей</v>
      </c>
      <c r="I502" s="1"/>
      <c r="J502" s="1"/>
    </row>
    <row r="503" spans="1:10" x14ac:dyDescent="0.2">
      <c r="A503" s="8" t="s">
        <v>2125</v>
      </c>
      <c r="B503" s="7" t="s">
        <v>2124</v>
      </c>
      <c r="C503" s="7" t="s">
        <v>2123</v>
      </c>
      <c r="D503" s="6">
        <v>7300</v>
      </c>
      <c r="E503" s="5">
        <v>14</v>
      </c>
      <c r="F503" s="4" t="str">
        <f ca="1">IFERROR(__xludf.DUMMYFUNCTION("LOWER(REGEXREPLACE(B503&amp;"" ""&amp;C503,""[^а-яa-z0-9 ]"","" ""))")," онтессори деревянная игра головоломка   вет форма   азвивающая деревянная игра предназначена для сенсорного и познавательного развития детей раннего и дошкольного возраста   спользуется для обучения распознаванию цветов  форм и соотношения элементов по з"&amp;"аданному признаку    процессе игры развивается мелкая моторика  логическое мышление  внимание и координация рук   омплект включает набор деревянных элементов  карточки с заданиями  стойки и шнурки для сортировки и нанизывания ")</f>
        <v xml:space="preserve"> онтессори деревянная игра головоломка   вет форма   азвивающая деревянная игра предназначена для сенсорного и познавательного развития детей раннего и дошкольного возраста   спользуется для обучения распознаванию цветов  форм и соотношения элементов по заданному признаку    процессе игры развивается мелкая моторика  логическое мышление  внимание и координация рук   омплект включает набор деревянных элементов  карточки с заданиями  стойки и шнурки для сортировки и нанизывания </v>
      </c>
      <c r="G503" s="4" t="str">
        <f ca="1">IFERROR(__xludf.DUMMYFUNCTION("TEXTJOIN(""|"",TRUE,UNIQUE(FILTER(SPLIT(F503,"" ""),LEN(SPLIT(F503,"" ""))&gt;2)))"),"онтессори|деревянная|игра|головоломка|вет|форма|азвивающая|деревянная|игра|предназначена|для|сенсорного|познавательного|развития|детей|раннего|дошкольного|возраста|спользуется|для|обучения|распознаванию|цветов|форм|соотношения|элементов|заданному|признаку"&amp;"|процессе|игры|развивается|мелкая|моторика|логическое|мышление|внимание|координация|рук|омплект|включает|набор|деревянных|элементов|карточки|заданиями|стойки|шнурки|для|сортировки|нанизывания")</f>
        <v>онтессори|деревянная|игра|головоломка|вет|форма|азвивающая|деревянная|игра|предназначена|для|сенсорного|познавательного|развития|детей|раннего|дошкольного|возраста|спользуется|для|обучения|распознаванию|цветов|форм|соотношения|элементов|заданному|признаку|процессе|игры|развивается|мелкая|моторика|логическое|мышление|внимание|координация|рук|омплект|включает|набор|деревянных|элементов|карточки|заданиями|стойки|шнурки|для|сортировки|нанизывания</v>
      </c>
      <c r="I503" s="1"/>
      <c r="J503" s="1"/>
    </row>
    <row r="504" spans="1:10" x14ac:dyDescent="0.2">
      <c r="A504" s="8" t="s">
        <v>2122</v>
      </c>
      <c r="B504" s="7" t="s">
        <v>2121</v>
      </c>
      <c r="C504" s="7" t="s">
        <v>2120</v>
      </c>
      <c r="D504" s="6">
        <v>8600</v>
      </c>
      <c r="E504" s="5">
        <v>7</v>
      </c>
      <c r="F504" s="4" t="str">
        <f ca="1">IFERROR(__xludf.DUMMYFUNCTION("LOWER(REGEXREPLACE(B504&amp;"" ""&amp;C504,""[^а-яa-z0-9 ]"","" ""))")," онтессори для малышей  годовой курс  от 1 года до 6 лет      процессе занятий и благодаря книге   ечевое развитие  будет улучшаться речь реб нка    акие книги входят в набор       атематические представления        ечевое развитие        енсорное развити"&amp;"е         сам        нига для родителей  ")</f>
        <v xml:space="preserve"> онтессори для малышей  годовой курс  от 1 года до 6 лет      процессе занятий и благодаря книге   ечевое развитие  будет улучшаться речь реб нка    акие книги входят в набор       атематические представления        ечевое развитие        енсорное развитие         сам        нига для родителей  </v>
      </c>
      <c r="G504" s="4" t="str">
        <f ca="1">IFERROR(__xludf.DUMMYFUNCTION("TEXTJOIN(""|"",TRUE,UNIQUE(FILTER(SPLIT(F504,"" ""),LEN(SPLIT(F504,"" ""))&gt;2)))"),"онтессори|для|малышей|годовой|курс|года|лет|процессе|занятий|благодаря|книге|ечевое|развитие|будет|улучшаться|речь|реб|нка|акие|книги|входят|набор|атематические|представления|ечевое|развитие|енсорное|развитие|сам|нига|для|родителей")</f>
        <v>онтессори|для|малышей|годовой|курс|года|лет|процессе|занятий|благодаря|книге|ечевое|развитие|будет|улучшаться|речь|реб|нка|акие|книги|входят|набор|атематические|представления|ечевое|развитие|енсорное|развитие|сам|нига|для|родителей</v>
      </c>
      <c r="I504" s="1"/>
      <c r="J504" s="1"/>
    </row>
    <row r="505" spans="1:10" x14ac:dyDescent="0.2">
      <c r="A505" s="8" t="s">
        <v>2119</v>
      </c>
      <c r="B505" s="7" t="s">
        <v>2118</v>
      </c>
      <c r="C505" s="7" t="s">
        <v>722</v>
      </c>
      <c r="D505" s="6">
        <v>30700</v>
      </c>
      <c r="E505" s="5">
        <v>1</v>
      </c>
      <c r="F505" s="4" t="str">
        <f ca="1">IFERROR(__xludf.DUMMYFUNCTION("LOWER(REGEXREPLACE(B505&amp;"" ""&amp;C505,""[^а-яa-z0-9 ]"","" ""))")," оя  одина    азахстан  юрта      ужикова")</f>
        <v xml:space="preserve"> оя  одина    азахстан  юрта      ужикова</v>
      </c>
      <c r="G505" s="4" t="str">
        <f ca="1">IFERROR(__xludf.DUMMYFUNCTION("TEXTJOIN(""|"",TRUE,UNIQUE(FILTER(SPLIT(F505,"" ""),LEN(SPLIT(F505,"" ""))&gt;2)))"),"одина|азахстан|юрта|ужикова")</f>
        <v>одина|азахстан|юрта|ужикова</v>
      </c>
      <c r="I505" s="1"/>
      <c r="J505" s="1"/>
    </row>
    <row r="506" spans="1:10" x14ac:dyDescent="0.2">
      <c r="A506" s="8" t="s">
        <v>2117</v>
      </c>
      <c r="B506" s="7" t="s">
        <v>2116</v>
      </c>
      <c r="C506" s="7" t="s">
        <v>2115</v>
      </c>
      <c r="D506" s="6">
        <v>6400</v>
      </c>
      <c r="E506" s="5">
        <v>1</v>
      </c>
      <c r="F506" s="4" t="str">
        <f ca="1">IFERROR(__xludf.DUMMYFUNCTION("LOWER(REGEXREPLACE(B506&amp;"" ""&amp;C506,""[^а-яa-z0-9 ]"","" ""))"),"  ел  балалар  о ылы    лендер жина ы    лтынсарин")</f>
        <v xml:space="preserve">  ел  балалар  о ылы    лендер жина ы    лтынсарин</v>
      </c>
      <c r="G506" s="4" t="str">
        <f ca="1">IFERROR(__xludf.DUMMYFUNCTION("TEXTJOIN(""|"",TRUE,UNIQUE(FILTER(SPLIT(F506,"" ""),LEN(SPLIT(F506,"" ""))&gt;2)))"),"балалар|ылы|лендер|жина|лтынсарин")</f>
        <v>балалар|ылы|лендер|жина|лтынсарин</v>
      </c>
      <c r="I506" s="1"/>
      <c r="J506" s="1"/>
    </row>
    <row r="507" spans="1:10" x14ac:dyDescent="0.2">
      <c r="A507" s="8" t="s">
        <v>2114</v>
      </c>
      <c r="B507" s="7" t="s">
        <v>2113</v>
      </c>
      <c r="C507" s="7" t="s">
        <v>2112</v>
      </c>
      <c r="D507" s="6">
        <v>22800</v>
      </c>
      <c r="E507" s="5">
        <v>1</v>
      </c>
      <c r="F507" s="4" t="str">
        <f ca="1">IFERROR(__xludf.DUMMYFUNCTION("LOWER(REGEXREPLACE(B507&amp;"" ""&amp;C507,""[^а-яa-z0-9 ]"","" ""))")," изиборд настенный из дерева с игровыми элементами  изиборд представляет собой настенную игровую панель с различными подвижными и функциональными элементами    процессе взаимодействия выполняются действия по открыванию  вращению  переключению и перемещени"&amp;"ю деталей   акая форма деятельности направлена на развитие мелкой моторики  координации движений и практических навыков обращения с предметами   снова выполнена из дерева с элементами из пластика   онструкция рассчитана на настенное размещение ")</f>
        <v xml:space="preserve"> изиборд настенный из дерева с игровыми элементами  изиборд представляет собой настенную игровую панель с различными подвижными и функциональными элементами    процессе взаимодействия выполняются действия по открыванию  вращению  переключению и перемещению деталей   акая форма деятельности направлена на развитие мелкой моторики  координации движений и практических навыков обращения с предметами   снова выполнена из дерева с элементами из пластика   онструкция рассчитана на настенное размещение </v>
      </c>
      <c r="G507" s="4" t="str">
        <f ca="1">IFERROR(__xludf.DUMMYFUNCTION("TEXTJOIN(""|"",TRUE,UNIQUE(FILTER(SPLIT(F507,"" ""),LEN(SPLIT(F507,"" ""))&gt;2)))"),"изиборд|настенный|дерева|игровыми|элементами|изиборд|представляет|собой|настенную|игровую|панель|различными|подвижными|функциональными|элементами|процессе|взаимодействия|выполняются|действия|открыванию|вращению|переключению|перемещению|деталей|акая|форма|"&amp;"деятельности|направлена|развитие|мелкой|моторики|координации|движений|практических|навыков|обращения|предметами|снова|выполнена|дерева|элементами|пластика|онструкция|рассчитана|настенное|размещение")</f>
        <v>изиборд|настенный|дерева|игровыми|элементами|изиборд|представляет|собой|настенную|игровую|панель|различными|подвижными|функциональными|элементами|процессе|взаимодействия|выполняются|действия|открыванию|вращению|переключению|перемещению|деталей|акая|форма|деятельности|направлена|развитие|мелкой|моторики|координации|движений|практических|навыков|обращения|предметами|снова|выполнена|дерева|элементами|пластика|онструкция|рассчитана|настенное|размещение</v>
      </c>
      <c r="I507" s="1"/>
      <c r="J507" s="1"/>
    </row>
    <row r="508" spans="1:10" x14ac:dyDescent="0.2">
      <c r="A508" s="8" t="s">
        <v>2111</v>
      </c>
      <c r="B508" s="7" t="s">
        <v>2110</v>
      </c>
      <c r="C508" s="7" t="s">
        <v>2109</v>
      </c>
      <c r="D508" s="6">
        <v>19000</v>
      </c>
      <c r="E508" s="5">
        <v>5</v>
      </c>
      <c r="F508" s="4" t="str">
        <f ca="1">IFERROR(__xludf.DUMMYFUNCTION("LOWER(REGEXREPLACE(B508&amp;"" ""&amp;C508,""[^а-яa-z0-9 ]"","" ""))")," узыкальная игрушка микрофон  гровой микрофон используется для музыкальных и ролевых игр   редназначен для имитации пения и выступлений   атериал изготовления   пластик  питание от аккумулятора ")</f>
        <v xml:space="preserve"> узыкальная игрушка микрофон  гровой микрофон используется для музыкальных и ролевых игр   редназначен для имитации пения и выступлений   атериал изготовления   пластик  питание от аккумулятора </v>
      </c>
      <c r="G508" s="4" t="str">
        <f ca="1">IFERROR(__xludf.DUMMYFUNCTION("TEXTJOIN(""|"",TRUE,UNIQUE(FILTER(SPLIT(F508,"" ""),LEN(SPLIT(F508,"" ""))&gt;2)))"),"узыкальная|игрушка|микрофон|гровой|микрофон|используется|для|музыкальных|ролевых|игр|редназначен|для|имитации|пения|выступлений|атериал|изготовления|пластик|питание|аккумулятора")</f>
        <v>узыкальная|игрушка|микрофон|гровой|микрофон|используется|для|музыкальных|ролевых|игр|редназначен|для|имитации|пения|выступлений|атериал|изготовления|пластик|питание|аккумулятора</v>
      </c>
      <c r="I508" s="1"/>
      <c r="J508" s="1"/>
    </row>
    <row r="509" spans="1:10" x14ac:dyDescent="0.2">
      <c r="A509" s="8" t="s">
        <v>2108</v>
      </c>
      <c r="B509" s="7" t="s">
        <v>2107</v>
      </c>
      <c r="C509" s="7" t="s">
        <v>2106</v>
      </c>
      <c r="D509" s="6">
        <v>6700</v>
      </c>
      <c r="E509" s="5">
        <v>7</v>
      </c>
      <c r="F509" s="4" t="str">
        <f ca="1">IFERROR(__xludf.DUMMYFUNCTION("LOWER(REGEXREPLACE(B509&amp;"" ""&amp;C509,""[^а-яa-z0-9 ]"","" ""))")," узыкальная книга   то где жив т    узыкальная книга предназначена для раннего речевого и познавательного развития детей   ключает текстовый и звуковой материал  позволяющий в игровой форме знакомить реб нка с животными и их средой обитания   спользуется "&amp;"для развития слухового восприятия  внимания  памяти и словарного запаса   рименяется под контролем взрослого в индивидуальной работе и совместном чтении ")</f>
        <v xml:space="preserve"> узыкальная книга   то где жив т    узыкальная книга предназначена для раннего речевого и познавательного развития детей   ключает текстовый и звуковой материал  позволяющий в игровой форме знакомить реб нка с животными и их средой обитания   спользуется для развития слухового восприятия  внимания  памяти и словарного запаса   рименяется под контролем взрослого в индивидуальной работе и совместном чтении </v>
      </c>
      <c r="G509" s="4" t="str">
        <f ca="1">IFERROR(__xludf.DUMMYFUNCTION("TEXTJOIN(""|"",TRUE,UNIQUE(FILTER(SPLIT(F509,"" ""),LEN(SPLIT(F509,"" ""))&gt;2)))"),"узыкальная|книга|где|жив|узыкальная|книга|предназначена|для|раннего|речевого|познавательного|развития|детей|ключает|текстовый|звуковой|материал|позволяющий|игровой|форме|знакомить|реб|нка|животными|средой|обитания|спользуется|для|развития|слухового|воспри"&amp;"ятия|внимания|памяти|словарного|запаса|рименяется|под|контролем|взрослого|индивидуальной|работе|совместном|чтении")</f>
        <v>узыкальная|книга|где|жив|узыкальная|книга|предназначена|для|раннего|речевого|познавательного|развития|детей|ключает|текстовый|звуковой|материал|позволяющий|игровой|форме|знакомить|реб|нка|животными|средой|обитания|спользуется|для|развития|слухового|восприятия|внимания|памяти|словарного|запаса|рименяется|под|контролем|взрослого|индивидуальной|работе|совместном|чтении</v>
      </c>
      <c r="I509" s="1"/>
      <c r="J509" s="1"/>
    </row>
    <row r="510" spans="1:10" x14ac:dyDescent="0.2">
      <c r="A510" s="8" t="s">
        <v>2105</v>
      </c>
      <c r="B510" s="7" t="s">
        <v>2104</v>
      </c>
      <c r="C510" s="7" t="s">
        <v>2103</v>
      </c>
      <c r="D510" s="6">
        <v>159200</v>
      </c>
      <c r="E510" s="5">
        <v>7</v>
      </c>
      <c r="F510" s="4" t="str">
        <f ca="1">IFERROR(__xludf.DUMMYFUNCTION("LOWER(REGEXREPLACE(B510&amp;"" ""&amp;C510,""[^а-яa-z0-9 ]"","" ""))")," уляжи овощей и фруктов  абор муляжей используется в сюжетно ролевых и дидактических играх  а также на занятиях по развитию речи и ознакомлению с окружающим миром   озволяет знакомить детей с формой  цветом и названием продуктов питания   рименяется для и"&amp;"гр   агазин     ухня     итание   способствует развитию словарного запаса и воображения ")</f>
        <v xml:space="preserve"> уляжи овощей и фруктов  абор муляжей используется в сюжетно ролевых и дидактических играх  а также на занятиях по развитию речи и ознакомлению с окружающим миром   озволяет знакомить детей с формой  цветом и названием продуктов питания   рименяется для игр   агазин     ухня     итание   способствует развитию словарного запаса и воображения </v>
      </c>
      <c r="G510" s="4" t="str">
        <f ca="1">IFERROR(__xludf.DUMMYFUNCTION("TEXTJOIN(""|"",TRUE,UNIQUE(FILTER(SPLIT(F510,"" ""),LEN(SPLIT(F510,"" ""))&gt;2)))"),"уляжи|овощей|фруктов|абор|муляжей|используется|сюжетно|ролевых|дидактических|играх|также|занятиях|развитию|речи|ознакомлению|окружающим|миром|озволяет|знакомить|детей|формой|цветом|названием|продуктов|питания|рименяется|для|игр|агазин|ухня|итание|способст"&amp;"вует|развитию|словарного|запаса|воображения")</f>
        <v>уляжи|овощей|фруктов|абор|муляжей|используется|сюжетно|ролевых|дидактических|играх|также|занятиях|развитию|речи|ознакомлению|окружающим|миром|озволяет|знакомить|детей|формой|цветом|названием|продуктов|питания|рименяется|для|игр|агазин|ухня|итание|способствует|развитию|словарного|запаса|воображения</v>
      </c>
      <c r="I510" s="1"/>
      <c r="J510" s="1"/>
    </row>
    <row r="511" spans="1:10" x14ac:dyDescent="0.2">
      <c r="A511" s="8" t="s">
        <v>2102</v>
      </c>
      <c r="B511" s="7" t="s">
        <v>2101</v>
      </c>
      <c r="C511" s="7" t="s">
        <v>2100</v>
      </c>
      <c r="D511" s="6">
        <v>2000</v>
      </c>
      <c r="E511" s="5">
        <v>3</v>
      </c>
      <c r="F511" s="4" t="str">
        <f ca="1">IFERROR(__xludf.DUMMYFUNCTION("LOWER(REGEXREPLACE(B511&amp;"" ""&amp;C511,""[^а-яa-z0-9 ]"","" ""))")," усорная корзина  редназначена для сбора отходов  используется в медицинском кабинете и вспомогательных помещениях ")</f>
        <v xml:space="preserve"> усорная корзина  редназначена для сбора отходов  используется в медицинском кабинете и вспомогательных помещениях </v>
      </c>
      <c r="G511" s="4" t="str">
        <f ca="1">IFERROR(__xludf.DUMMYFUNCTION("TEXTJOIN(""|"",TRUE,UNIQUE(FILTER(SPLIT(F511,"" ""),LEN(SPLIT(F511,"" ""))&gt;2)))"),"усорная|корзина|редназначена|для|сбора|отходов|используется|медицинском|кабинете|вспомогательных|помещениях")</f>
        <v>усорная|корзина|редназначена|для|сбора|отходов|используется|медицинском|кабинете|вспомогательных|помещениях</v>
      </c>
      <c r="I511" s="1"/>
      <c r="J511" s="1"/>
    </row>
    <row r="512" spans="1:10" x14ac:dyDescent="0.2">
      <c r="A512" s="8" t="s">
        <v>2099</v>
      </c>
      <c r="B512" s="7" t="s">
        <v>2098</v>
      </c>
      <c r="C512" s="7" t="s">
        <v>2097</v>
      </c>
      <c r="D512" s="6">
        <v>17100</v>
      </c>
      <c r="E512" s="5">
        <v>2</v>
      </c>
      <c r="F512" s="4" t="str">
        <f ca="1">IFERROR(__xludf.DUMMYFUNCTION("LOWER(REGEXREPLACE(B512&amp;"" ""&amp;C512,""[^а-яa-z0-9 ]"","" ""))")," усорное ведро  едро для сбора отходов применяется в санитарно бытовых и хозяйственных помещениях       беспечивает соблюдение санитарно гигиенических требований и организацию чистоты   добно для ежедневного использования и регулярной очистки ")</f>
        <v xml:space="preserve"> усорное ведро  едро для сбора отходов применяется в санитарно бытовых и хозяйственных помещениях       беспечивает соблюдение санитарно гигиенических требований и организацию чистоты   добно для ежедневного использования и регулярной очистки </v>
      </c>
      <c r="G512" s="4" t="str">
        <f ca="1">IFERROR(__xludf.DUMMYFUNCTION("TEXTJOIN(""|"",TRUE,UNIQUE(FILTER(SPLIT(F512,"" ""),LEN(SPLIT(F512,"" ""))&gt;2)))"),"усорное|ведро|едро|для|сбора|отходов|применяется|санитарно|бытовых|хозяйственных|помещениях|беспечивает|соблюдение|санитарно|гигиенических|требований|организацию|чистоты|добно|для|ежедневного|использования|регулярной|очистки")</f>
        <v>усорное|ведро|едро|для|сбора|отходов|применяется|санитарно|бытовых|хозяйственных|помещениях|беспечивает|соблюдение|санитарно|гигиенических|требований|организацию|чистоты|добно|для|ежедневного|использования|регулярной|очистки</v>
      </c>
      <c r="I512" s="1"/>
      <c r="J512" s="1"/>
    </row>
    <row r="513" spans="1:10" x14ac:dyDescent="0.2">
      <c r="A513" s="8" t="s">
        <v>2096</v>
      </c>
      <c r="B513" s="7" t="s">
        <v>2095</v>
      </c>
      <c r="C513" s="7" t="s">
        <v>2094</v>
      </c>
      <c r="D513" s="6">
        <v>9000</v>
      </c>
      <c r="E513" s="5">
        <v>1</v>
      </c>
      <c r="F513" s="4" t="str">
        <f ca="1">IFERROR(__xludf.DUMMYFUNCTION("LOWER(REGEXREPLACE(B513&amp;"" ""&amp;C513,""[^а-яa-z0-9 ]"","" ""))"),"  рагер м  балай айым   оим юным наследникам     аянбай")</f>
        <v xml:space="preserve">  рагер м  балай айым   оим юным наследникам     аянбай</v>
      </c>
      <c r="G513" s="4" t="str">
        <f ca="1">IFERROR(__xludf.DUMMYFUNCTION("TEXTJOIN(""|"",TRUE,UNIQUE(FILTER(SPLIT(F513,"" ""),LEN(SPLIT(F513,"" ""))&gt;2)))"),"рагер|балай|айым|оим|юным|наследникам|аянбай")</f>
        <v>рагер|балай|айым|оим|юным|наследникам|аянбай</v>
      </c>
      <c r="I513" s="1"/>
      <c r="J513" s="1"/>
    </row>
    <row r="514" spans="1:10" x14ac:dyDescent="0.2">
      <c r="A514" s="8" t="s">
        <v>2093</v>
      </c>
      <c r="B514" s="7" t="s">
        <v>2092</v>
      </c>
      <c r="C514" s="7" t="s">
        <v>2091</v>
      </c>
      <c r="D514" s="6">
        <v>7400</v>
      </c>
      <c r="E514" s="5">
        <v>1</v>
      </c>
      <c r="F514" s="4" t="str">
        <f ca="1">IFERROR(__xludf.DUMMYFUNCTION("LOWER(REGEXREPLACE(B514&amp;"" ""&amp;C514,""[^а-яa-z0-9 ]"","" ""))")," ысалдар    рылов  перевод    сылбек ")</f>
        <v xml:space="preserve"> ысалдар    рылов  перевод    сылбек </v>
      </c>
      <c r="G514" s="4" t="str">
        <f ca="1">IFERROR(__xludf.DUMMYFUNCTION("TEXTJOIN(""|"",TRUE,UNIQUE(FILTER(SPLIT(F514,"" ""),LEN(SPLIT(F514,"" ""))&gt;2)))"),"ысалдар|рылов|перевод|сылбек")</f>
        <v>ысалдар|рылов|перевод|сылбек</v>
      </c>
      <c r="I514" s="1"/>
      <c r="J514" s="1"/>
    </row>
    <row r="515" spans="1:10" x14ac:dyDescent="0.2">
      <c r="A515" s="8" t="s">
        <v>2090</v>
      </c>
      <c r="B515" s="7" t="s">
        <v>2089</v>
      </c>
      <c r="C515" s="7" t="s">
        <v>2088</v>
      </c>
      <c r="D515" s="6">
        <v>66500</v>
      </c>
      <c r="E515" s="5">
        <v>6</v>
      </c>
      <c r="F515" s="4" t="str">
        <f ca="1">IFERROR(__xludf.DUMMYFUNCTION("LOWER(REGEXREPLACE(B515&amp;"" ""&amp;C515,""[^а-яa-z0-9 ]"","" ""))")," ягкие дизайнерские пуфики  ягкие пуфики для комфортного чтения и отдыха    гкие  безопасные  без острых углов   орма   фигурная   азмер   400 500 мм  высота 300 350 мм ")</f>
        <v xml:space="preserve"> ягкие дизайнерские пуфики  ягкие пуфики для комфортного чтения и отдыха    гкие  безопасные  без острых углов   орма   фигурная   азмер   400 500 мм  высота 300 350 мм </v>
      </c>
      <c r="G515" s="4" t="str">
        <f ca="1">IFERROR(__xludf.DUMMYFUNCTION("TEXTJOIN(""|"",TRUE,UNIQUE(FILTER(SPLIT(F515,"" ""),LEN(SPLIT(F515,"" ""))&gt;2)))"),"ягкие|дизайнерские|пуфики|ягкие|пуфики|для|комфортного|чтения|отдыха|гкие|безопасные|без|острых|углов|орма|фигурная|азмер|400|500|высота|300|350")</f>
        <v>ягкие|дизайнерские|пуфики|ягкие|пуфики|для|комфортного|чтения|отдыха|гкие|безопасные|без|острых|углов|орма|фигурная|азмер|400|500|высота|300|350</v>
      </c>
      <c r="I515" s="1"/>
      <c r="J515" s="1"/>
    </row>
    <row r="516" spans="1:10" x14ac:dyDescent="0.2">
      <c r="A516" s="8" t="s">
        <v>2087</v>
      </c>
      <c r="B516" s="7" t="s">
        <v>2086</v>
      </c>
      <c r="C516" s="7" t="s">
        <v>2085</v>
      </c>
      <c r="D516" s="6">
        <v>15000</v>
      </c>
      <c r="E516" s="5">
        <v>5</v>
      </c>
      <c r="F516" s="4" t="str">
        <f ca="1">IFERROR(__xludf.DUMMYFUNCTION("LOWER(REGEXREPLACE(B516&amp;"" ""&amp;C516,""[^а-яa-z0-9 ]"","" ""))")," ягкие игрушки для сюжетных игр  редназначены для сюжетно ролевых  коммуникативных и терапевтических игр с детьми дошкольного возраста   спользуются для развития воображения  эмоциональной сферы  речи и социальных навыков   зготовлены из мягких  безопасны"&amp;"х материалов  не имеют острых элементов  подходят для ежедневного использования в условиях     ")</f>
        <v xml:space="preserve"> ягкие игрушки для сюжетных игр  редназначены для сюжетно ролевых  коммуникативных и терапевтических игр с детьми дошкольного возраста   спользуются для развития воображения  эмоциональной сферы  речи и социальных навыков   зготовлены из мягких  безопасных материалов  не имеют острых элементов  подходят для ежедневного использования в условиях     </v>
      </c>
      <c r="G516" s="4" t="str">
        <f ca="1">IFERROR(__xludf.DUMMYFUNCTION("TEXTJOIN(""|"",TRUE,UNIQUE(FILTER(SPLIT(F516,"" ""),LEN(SPLIT(F516,"" ""))&gt;2)))"),"ягкие|игрушки|для|сюжетных|игр|редназначены|для|сюжетно|ролевых|коммуникативных|терапевтических|игр|детьми|дошкольного|возраста|спользуются|для|развития|воображения|эмоциональной|сферы|речи|социальных|навыков|зготовлены|мягких|безопасных|материалов|имеют|"&amp;"острых|элементов|подходят|для|ежедневного|использования|условиях")</f>
        <v>ягкие|игрушки|для|сюжетных|игр|редназначены|для|сюжетно|ролевых|коммуникативных|терапевтических|игр|детьми|дошкольного|возраста|спользуются|для|развития|воображения|эмоциональной|сферы|речи|социальных|навыков|зготовлены|мягких|безопасных|материалов|имеют|острых|элементов|подходят|для|ежедневного|использования|условиях</v>
      </c>
      <c r="I516" s="1"/>
      <c r="J516" s="1"/>
    </row>
    <row r="517" spans="1:10" x14ac:dyDescent="0.2">
      <c r="A517" s="8" t="s">
        <v>2084</v>
      </c>
      <c r="B517" s="7" t="s">
        <v>2083</v>
      </c>
      <c r="C517" s="7" t="s">
        <v>2082</v>
      </c>
      <c r="D517" s="6">
        <v>66500</v>
      </c>
      <c r="E517" s="5">
        <v>7</v>
      </c>
      <c r="F517" s="4" t="str">
        <f ca="1">IFERROR(__xludf.DUMMYFUNCTION("LOWER(REGEXREPLACE(B517&amp;"" ""&amp;C517,""[^а-яa-z0-9 ]"","" ""))")," изикуб развивающий   лассик   изикуб выполнен в виде компактного игрового модуля с набором функциональных элементов на поверхностях   спользуется для выполнения последовательных манипулятивных действий    процессе взаимодействия формируются навыки коорди"&amp;"нации движений и практического мышления   онструкция выполнена из дерева  элементы закреплены стационарно   одходит для индивидуальной игровой деятельности ")</f>
        <v xml:space="preserve"> изикуб развивающий   лассик   изикуб выполнен в виде компактного игрового модуля с набором функциональных элементов на поверхностях   спользуется для выполнения последовательных манипулятивных действий    процессе взаимодействия формируются навыки координации движений и практического мышления   онструкция выполнена из дерева  элементы закреплены стационарно   одходит для индивидуальной игровой деятельности </v>
      </c>
      <c r="G517" s="4" t="str">
        <f ca="1">IFERROR(__xludf.DUMMYFUNCTION("TEXTJOIN(""|"",TRUE,UNIQUE(FILTER(SPLIT(F517,"" ""),LEN(SPLIT(F517,"" ""))&gt;2)))"),"изикуб|развивающий|лассик|изикуб|выполнен|виде|компактного|игрового|модуля|набором|функциональных|элементов|поверхностях|спользуется|для|выполнения|последовательных|манипулятивных|действий|процессе|взаимодействия|формируются|навыки|координации|движений|пр"&amp;"актического|мышления|онструкция|выполнена|дерева|элементы|закреплены|стационарно|одходит|для|индивидуальной|игровой|деятельности")</f>
        <v>изикуб|развивающий|лассик|изикуб|выполнен|виде|компактного|игрового|модуля|набором|функциональных|элементов|поверхностях|спользуется|для|выполнения|последовательных|манипулятивных|действий|процессе|взаимодействия|формируются|навыки|координации|движений|практического|мышления|онструкция|выполнена|дерева|элементы|закреплены|стационарно|одходит|для|индивидуальной|игровой|деятельности</v>
      </c>
      <c r="I517" s="1"/>
      <c r="J517" s="1"/>
    </row>
    <row r="518" spans="1:10" x14ac:dyDescent="0.2">
      <c r="A518" s="8" t="s">
        <v>2081</v>
      </c>
      <c r="B518" s="7" t="s">
        <v>2080</v>
      </c>
      <c r="C518" s="7" t="s">
        <v>2079</v>
      </c>
      <c r="D518" s="6">
        <v>9500</v>
      </c>
      <c r="E518" s="5">
        <v>2</v>
      </c>
      <c r="F518" s="4" t="str">
        <f ca="1">IFERROR(__xludf.DUMMYFUNCTION("LOWER(REGEXREPLACE(B518&amp;"" ""&amp;C518,""[^а-яa-z0-9 ]"","" ""))")," ягкие кубики  спользуются в игровой и развивающей деятельности для формирования моторики  сенсорного восприятия  представлений о форме и цвете   убики с тематическими изображениями выполнены из текстильных материалов с мягким наполнителем  безопасны при "&amp;"активной игре и падениях ")</f>
        <v xml:space="preserve"> ягкие кубики  спользуются в игровой и развивающей деятельности для формирования моторики  сенсорного восприятия  представлений о форме и цвете   убики с тематическими изображениями выполнены из текстильных материалов с мягким наполнителем  безопасны при активной игре и падениях </v>
      </c>
      <c r="G518" s="4" t="str">
        <f ca="1">IFERROR(__xludf.DUMMYFUNCTION("TEXTJOIN(""|"",TRUE,UNIQUE(FILTER(SPLIT(F518,"" ""),LEN(SPLIT(F518,"" ""))&gt;2)))"),"ягкие|кубики|спользуются|игровой|развивающей|деятельности|для|формирования|моторики|сенсорного|восприятия|представлений|форме|цвете|убики|тематическими|изображениями|выполнены|текстильных|материалов|мягким|наполнителем|безопасны|при|активной|игре|падениях")</f>
        <v>ягкие|кубики|спользуются|игровой|развивающей|деятельности|для|формирования|моторики|сенсорного|восприятия|представлений|форме|цвете|убики|тематическими|изображениями|выполнены|текстильных|материалов|мягким|наполнителем|безопасны|при|активной|игре|падениях</v>
      </c>
      <c r="I518" s="1"/>
      <c r="J518" s="1"/>
    </row>
    <row r="519" spans="1:10" x14ac:dyDescent="0.2">
      <c r="A519" s="8" t="s">
        <v>2078</v>
      </c>
      <c r="B519" s="7" t="s">
        <v>2077</v>
      </c>
      <c r="C519" s="7" t="s">
        <v>2076</v>
      </c>
      <c r="D519" s="6">
        <v>585200</v>
      </c>
      <c r="E519" s="5">
        <v>2</v>
      </c>
      <c r="F519" s="4" t="str">
        <f ca="1">IFERROR(__xludf.DUMMYFUNCTION("LOWER(REGEXREPLACE(B519&amp;"" ""&amp;C519,""[^а-яa-z0-9 ]"","" ""))")," ягкие модули  кубы  цилиндры  дорожки   редназначены для организации двигательной активности  сенсорных упражнений и построения игровых маршрутов   абор включает элементы различной формы и размера  позволяя использовать их для лазания  балансировки и сюж"&amp;"етных игр   аполнитель мягкий и упругий  поверхность износостойкая и пригодна для регулярной очистки ")</f>
        <v xml:space="preserve"> ягкие модули  кубы  цилиндры  дорожки   редназначены для организации двигательной активности  сенсорных упражнений и построения игровых маршрутов   абор включает элементы различной формы и размера  позволяя использовать их для лазания  балансировки и сюжетных игр   аполнитель мягкий и упругий  поверхность износостойкая и пригодна для регулярной очистки </v>
      </c>
      <c r="G519" s="4" t="str">
        <f ca="1">IFERROR(__xludf.DUMMYFUNCTION("TEXTJOIN(""|"",TRUE,UNIQUE(FILTER(SPLIT(F519,"" ""),LEN(SPLIT(F519,"" ""))&gt;2)))"),"ягкие|модули|кубы|цилиндры|дорожки|редназначены|для|организации|двигательной|активности|сенсорных|упражнений|построения|игровых|маршрутов|абор|включает|элементы|различной|формы|размера|позволяя|использовать|для|лазания|балансировки|сюжетных|игр|аполнитель"&amp;"|мягкий|упругий|поверхность|износостойкая|пригодна|для|регулярной|очистки")</f>
        <v>ягкие|модули|кубы|цилиндры|дорожки|редназначены|для|организации|двигательной|активности|сенсорных|упражнений|построения|игровых|маршрутов|абор|включает|элементы|различной|формы|размера|позволяя|использовать|для|лазания|балансировки|сюжетных|игр|аполнитель|мягкий|упругий|поверхность|износостойкая|пригодна|для|регулярной|очистки</v>
      </c>
      <c r="I519" s="1"/>
      <c r="J519" s="1"/>
    </row>
    <row r="520" spans="1:10" x14ac:dyDescent="0.2">
      <c r="A520" s="8" t="s">
        <v>2075</v>
      </c>
      <c r="B520" s="7" t="s">
        <v>2074</v>
      </c>
      <c r="C520" s="7" t="s">
        <v>2073</v>
      </c>
      <c r="D520" s="6">
        <v>109200</v>
      </c>
      <c r="E520" s="5">
        <v>1</v>
      </c>
      <c r="F520" s="4" t="str">
        <f ca="1">IFERROR(__xludf.DUMMYFUNCTION("LOWER(REGEXREPLACE(B520&amp;"" ""&amp;C520,""[^а-яa-z0-9 ]"","" ""))")," ягкий диван для реб нка в кабинете психолога  иван divan   азмеры 500x1200x600 мм")</f>
        <v xml:space="preserve"> ягкий диван для реб нка в кабинете психолога  иван divan   азмеры 500x1200x600 мм</v>
      </c>
      <c r="G520" s="4" t="str">
        <f ca="1">IFERROR(__xludf.DUMMYFUNCTION("TEXTJOIN(""|"",TRUE,UNIQUE(FILTER(SPLIT(F520,"" ""),LEN(SPLIT(F520,"" ""))&gt;2)))"),"ягкий|диван|для|реб|нка|кабинете|психолога|иван|divan|азмеры|500x1200x600")</f>
        <v>ягкий|диван|для|реб|нка|кабинете|психолога|иван|divan|азмеры|500x1200x600</v>
      </c>
      <c r="I520" s="1"/>
      <c r="J520" s="1"/>
    </row>
    <row r="521" spans="1:10" x14ac:dyDescent="0.2">
      <c r="A521" s="8" t="s">
        <v>2072</v>
      </c>
      <c r="B521" s="7" t="s">
        <v>2071</v>
      </c>
      <c r="C521" s="7" t="s">
        <v>2070</v>
      </c>
      <c r="D521" s="6">
        <v>756000</v>
      </c>
      <c r="E521" s="5">
        <v>1</v>
      </c>
      <c r="F521" s="4" t="str">
        <f ca="1">IFERROR(__xludf.DUMMYFUNCTION("LOWER(REGEXREPLACE(B521&amp;"" ""&amp;C521,""[^а-яa-z0-9 ]"","" ""))")," ягкий классический диван для индивидуального при ма у психолога  иван 2 местный   азмеры  129x70x71   х х   ")</f>
        <v xml:space="preserve"> ягкий классический диван для индивидуального при ма у психолога  иван 2 местный   азмеры  129x70x71   х х   </v>
      </c>
      <c r="G521" s="4" t="str">
        <f ca="1">IFERROR(__xludf.DUMMYFUNCTION("TEXTJOIN(""|"",TRUE,UNIQUE(FILTER(SPLIT(F521,"" ""),LEN(SPLIT(F521,"" ""))&gt;2)))"),"ягкий|классический|диван|для|индивидуального|при|психолога|иван|местный|азмеры|129x70x71")</f>
        <v>ягкий|классический|диван|для|индивидуального|при|психолога|иван|местный|азмеры|129x70x71</v>
      </c>
      <c r="I521" s="1"/>
      <c r="J521" s="1"/>
    </row>
    <row r="522" spans="1:10" x14ac:dyDescent="0.2">
      <c r="A522" s="8" t="s">
        <v>2069</v>
      </c>
      <c r="B522" s="7" t="s">
        <v>2068</v>
      </c>
      <c r="C522" s="7" t="s">
        <v>2067</v>
      </c>
      <c r="D522" s="6">
        <v>9500</v>
      </c>
      <c r="E522" s="5">
        <v>1</v>
      </c>
      <c r="F522" s="4" t="str">
        <f ca="1">IFERROR(__xludf.DUMMYFUNCTION("LOWER(REGEXREPLACE(B522&amp;"" ""&amp;C522,""[^а-яa-z0-9 ]"","" ""))")," ягкий конструктор  спользуется для развивающих и двигательных игр  направленных на формирование пространственного мышления  координации движений и творческих навыков   лементы безопасны  легко соединяются и подходят для групповой и индивидуальной работы ")</f>
        <v xml:space="preserve"> ягкий конструктор  спользуется для развивающих и двигательных игр  направленных на формирование пространственного мышления  координации движений и творческих навыков   лементы безопасны  легко соединяются и подходят для групповой и индивидуальной работы </v>
      </c>
      <c r="G522" s="4" t="str">
        <f ca="1">IFERROR(__xludf.DUMMYFUNCTION("TEXTJOIN(""|"",TRUE,UNIQUE(FILTER(SPLIT(F522,"" ""),LEN(SPLIT(F522,"" ""))&gt;2)))"),"ягкий|конструктор|спользуется|для|развивающих|двигательных|игр|направленных|формирование|пространственного|мышления|координации|движений|творческих|навыков|лементы|безопасны|легко|соединяются|подходят|для|групповой|индивидуальной|работы")</f>
        <v>ягкий|конструктор|спользуется|для|развивающих|двигательных|игр|направленных|формирование|пространственного|мышления|координации|движений|творческих|навыков|лементы|безопасны|легко|соединяются|подходят|для|групповой|индивидуальной|работы</v>
      </c>
      <c r="I522" s="1"/>
      <c r="J522" s="1"/>
    </row>
    <row r="523" spans="1:10" x14ac:dyDescent="0.2">
      <c r="A523" s="8" t="s">
        <v>2066</v>
      </c>
      <c r="B523" s="7" t="s">
        <v>2065</v>
      </c>
      <c r="C523" s="7" t="s">
        <v>2064</v>
      </c>
      <c r="D523" s="6">
        <v>45000</v>
      </c>
      <c r="E523" s="5">
        <v>4</v>
      </c>
      <c r="F523" s="4" t="str">
        <f ca="1">IFERROR(__xludf.DUMMYFUNCTION("LOWER(REGEXREPLACE(B523&amp;"" ""&amp;C523,""[^а-яa-z0-9 ]"","" ""))")," ягкий напольный коврик  ягкий напольный коврик размером 2 5х2 м  изготовлен из плотного  износостойкого и гипоаллергенного материала   олщина покрытия обеспечивает высокую амортизацию и комфорт при ходьбе и играх   оверхность коврика мягкая  нескользящая"&amp;"  легко очищается и устойчива к ежедневному использованию в детских учреждениях   атериал не впитывает влагу  сохраняет форму и цвет  безопасен для детей ")</f>
        <v xml:space="preserve"> ягкий напольный коврик  ягкий напольный коврик размером 2 5х2 м  изготовлен из плотного  износостойкого и гипоаллергенного материала   олщина покрытия обеспечивает высокую амортизацию и комфорт при ходьбе и играх   оверхность коврика мягкая  нескользящая  легко очищается и устойчива к ежедневному использованию в детских учреждениях   атериал не впитывает влагу  сохраняет форму и цвет  безопасен для детей </v>
      </c>
      <c r="G523" s="4" t="str">
        <f ca="1">IFERROR(__xludf.DUMMYFUNCTION("TEXTJOIN(""|"",TRUE,UNIQUE(FILTER(SPLIT(F523,"" ""),LEN(SPLIT(F523,"" ""))&gt;2)))"),"ягкий|напольный|коврик|ягкий|напольный|коврик|размером|5х2|изготовлен|плотного|износостойкого|гипоаллергенного|материала|олщина|покрытия|обеспечивает|высокую|амортизацию|комфорт|при|ходьбе|играх|оверхность|коврика|мягкая|нескользящая|легко|очищается|устой"&amp;"чива|ежедневному|использованию|детских|учреждениях|атериал|впитывает|влагу|сохраняет|форму|цвет|безопасен|для|детей")</f>
        <v>ягкий|напольный|коврик|ягкий|напольный|коврик|размером|5х2|изготовлен|плотного|износостойкого|гипоаллергенного|материала|олщина|покрытия|обеспечивает|высокую|амортизацию|комфорт|при|ходьбе|играх|оверхность|коврика|мягкая|нескользящая|легко|очищается|устойчива|ежедневному|использованию|детских|учреждениях|атериал|впитывает|влагу|сохраняет|форму|цвет|безопасен|для|детей</v>
      </c>
      <c r="I523" s="1"/>
      <c r="J523" s="1"/>
    </row>
    <row r="524" spans="1:10" x14ac:dyDescent="0.2">
      <c r="A524" s="7"/>
      <c r="B524" s="7"/>
      <c r="C524" s="7" t="s">
        <v>2063</v>
      </c>
      <c r="D524" s="6">
        <v>45000</v>
      </c>
      <c r="E524" s="5">
        <v>100</v>
      </c>
      <c r="F524" s="4" t="str">
        <f ca="1">IFERROR(__xludf.DUMMYFUNCTION("LOWER(REGEXREPLACE(B524&amp;"" ""&amp;C524,""[^а-яa-z0-9 ]"","" ""))"),"  редназначен для организации игровой  развивающей и двигательной деятельности   атериал гипоаллергенный  устойчивый к износу и прост в уходе   азмер 2 5x2м")</f>
        <v xml:space="preserve">  редназначен для организации игровой  развивающей и двигательной деятельности   атериал гипоаллергенный  устойчивый к износу и прост в уходе   азмер 2 5x2м</v>
      </c>
      <c r="G524" s="4" t="str">
        <f ca="1">IFERROR(__xludf.DUMMYFUNCTION("TEXTJOIN(""|"",TRUE,UNIQUE(FILTER(SPLIT(F524,"" ""),LEN(SPLIT(F524,"" ""))&gt;2)))"),"редназначен|для|организации|игровой|развивающей|двигательной|деятельности|атериал|гипоаллергенный|устойчивый|износу|прост|уходе|азмер|5x2м")</f>
        <v>редназначен|для|организации|игровой|развивающей|двигательной|деятельности|атериал|гипоаллергенный|устойчивый|износу|прост|уходе|азмер|5x2м</v>
      </c>
      <c r="I524" s="1"/>
      <c r="J524" s="1"/>
    </row>
    <row r="525" spans="1:10" x14ac:dyDescent="0.2">
      <c r="A525" s="8" t="s">
        <v>2062</v>
      </c>
      <c r="B525" s="7" t="s">
        <v>2061</v>
      </c>
      <c r="C525" s="7" t="s">
        <v>2060</v>
      </c>
      <c r="D525" s="6">
        <v>20900</v>
      </c>
      <c r="E525" s="5">
        <v>3</v>
      </c>
      <c r="F525" s="4" t="str">
        <f ca="1">IFERROR(__xludf.DUMMYFUNCTION("LOWER(REGEXREPLACE(B525&amp;"" ""&amp;C525,""[^а-яa-z0-9 ]"","" ""))")," яч баскетбольный  спользуется для подвижных игр и физических упражнений  направленных на развитие ловкости  координации и командного взаимодействия   одходит для занятий в помещении и на открытом воздухе ")</f>
        <v xml:space="preserve"> яч баскетбольный  спользуется для подвижных игр и физических упражнений  направленных на развитие ловкости  координации и командного взаимодействия   одходит для занятий в помещении и на открытом воздухе </v>
      </c>
      <c r="G525" s="4" t="str">
        <f ca="1">IFERROR(__xludf.DUMMYFUNCTION("TEXTJOIN(""|"",TRUE,UNIQUE(FILTER(SPLIT(F525,"" ""),LEN(SPLIT(F525,"" ""))&gt;2)))"),"баскетбольный|спользуется|для|подвижных|игр|физических|упражнений|направленных|развитие|ловкости|координации|командного|взаимодействия|одходит|для|занятий|помещении|открытом|воздухе")</f>
        <v>баскетбольный|спользуется|для|подвижных|игр|физических|упражнений|направленных|развитие|ловкости|координации|командного|взаимодействия|одходит|для|занятий|помещении|открытом|воздухе</v>
      </c>
      <c r="I525" s="1"/>
      <c r="J525" s="1"/>
    </row>
    <row r="526" spans="1:10" x14ac:dyDescent="0.2">
      <c r="A526" s="8" t="s">
        <v>2059</v>
      </c>
      <c r="B526" s="7" t="s">
        <v>2058</v>
      </c>
      <c r="C526" s="7" t="s">
        <v>2057</v>
      </c>
      <c r="D526" s="6">
        <v>20900</v>
      </c>
      <c r="E526" s="5">
        <v>3</v>
      </c>
      <c r="F526" s="4" t="str">
        <f ca="1">IFERROR(__xludf.DUMMYFUNCTION("LOWER(REGEXREPLACE(B526&amp;"" ""&amp;C526,""[^а-яa-z0-9 ]"","" ""))")," яч волейбольный  редназначен для игровых и тренировочных упражнений  способствует развитию реакции  координации движений и навыков взаимодействия в группе   стойчив к регулярной эксплуатации ")</f>
        <v xml:space="preserve"> яч волейбольный  редназначен для игровых и тренировочных упражнений  способствует развитию реакции  координации движений и навыков взаимодействия в группе   стойчив к регулярной эксплуатации </v>
      </c>
      <c r="G526" s="4" t="str">
        <f ca="1">IFERROR(__xludf.DUMMYFUNCTION("TEXTJOIN(""|"",TRUE,UNIQUE(FILTER(SPLIT(F526,"" ""),LEN(SPLIT(F526,"" ""))&gt;2)))"),"волейбольный|редназначен|для|игровых|тренировочных|упражнений|способствует|развитию|реакции|координации|движений|навыков|взаимодействия|группе|стойчив|регулярной|эксплуатации")</f>
        <v>волейбольный|редназначен|для|игровых|тренировочных|упражнений|способствует|развитию|реакции|координации|движений|навыков|взаимодействия|группе|стойчив|регулярной|эксплуатации</v>
      </c>
      <c r="I526" s="1"/>
      <c r="J526" s="1"/>
    </row>
    <row r="527" spans="1:10" x14ac:dyDescent="0.2">
      <c r="A527" s="8" t="s">
        <v>2056</v>
      </c>
      <c r="B527" s="7" t="s">
        <v>2055</v>
      </c>
      <c r="C527" s="7" t="s">
        <v>2054</v>
      </c>
      <c r="D527" s="6">
        <v>2400</v>
      </c>
      <c r="E527" s="5">
        <v>10</v>
      </c>
      <c r="F527" s="4" t="str">
        <f ca="1">IFERROR(__xludf.DUMMYFUNCTION("LOWER(REGEXREPLACE(B527&amp;"" ""&amp;C527,""[^а-яa-z0-9 ]"","" ""))")," яч для большого тенниса  тв рдый   спользуется в упражнениях на развитие силы хвата  точности движений и реакции   одходит для индивидуальной и групповой работы с детьми и взрослыми  безопасен при использовании в помещении ")</f>
        <v xml:space="preserve"> яч для большого тенниса  тв рдый   спользуется в упражнениях на развитие силы хвата  точности движений и реакции   одходит для индивидуальной и групповой работы с детьми и взрослыми  безопасен при использовании в помещении </v>
      </c>
      <c r="G527" s="4" t="str">
        <f ca="1">IFERROR(__xludf.DUMMYFUNCTION("TEXTJOIN(""|"",TRUE,UNIQUE(FILTER(SPLIT(F527,"" ""),LEN(SPLIT(F527,"" ""))&gt;2)))"),"для|большого|тенниса|рдый|спользуется|упражнениях|развитие|силы|хвата|точности|движений|реакции|одходит|для|индивидуальной|групповой|работы|детьми|взрослыми|безопасен|при|использовании|помещении")</f>
        <v>для|большого|тенниса|рдый|спользуется|упражнениях|развитие|силы|хвата|точности|движений|реакции|одходит|для|индивидуальной|групповой|работы|детьми|взрослыми|безопасен|при|использовании|помещении</v>
      </c>
      <c r="I527" s="1"/>
      <c r="J527" s="1"/>
    </row>
    <row r="528" spans="1:10" x14ac:dyDescent="0.2">
      <c r="A528" s="8" t="s">
        <v>2053</v>
      </c>
      <c r="B528" s="7" t="s">
        <v>2052</v>
      </c>
      <c r="C528" s="7" t="s">
        <v>2051</v>
      </c>
      <c r="D528" s="6">
        <v>342000</v>
      </c>
      <c r="E528" s="5">
        <v>1</v>
      </c>
      <c r="F528" s="4" t="str">
        <f ca="1">IFERROR(__xludf.DUMMYFUNCTION("LOWER(REGEXREPLACE(B528&amp;"" ""&amp;C528,""[^а-яa-z0-9 ]"","" ""))")," изикуб с игровыми элементами  изикуб представляет собой объ мную игровую конструкцию с размещ нными на гранях различными манипулятивными элементами    процессе игры выполняются действия по вращению  открыванию и перемещению деталей   акая деятельность сп"&amp;"особствует развитию мелкой моторики  сенсомоторной координации и концентрации внимания   орпус выполнен из фанеры ")</f>
        <v xml:space="preserve"> изикуб с игровыми элементами  изикуб представляет собой объ мную игровую конструкцию с размещ нными на гранях различными манипулятивными элементами    процессе игры выполняются действия по вращению  открыванию и перемещению деталей   акая деятельность способствует развитию мелкой моторики  сенсомоторной координации и концентрации внимания   орпус выполнен из фанеры </v>
      </c>
      <c r="G528" s="4" t="str">
        <f ca="1">IFERROR(__xludf.DUMMYFUNCTION("TEXTJOIN(""|"",TRUE,UNIQUE(FILTER(SPLIT(F528,"" ""),LEN(SPLIT(F528,"" ""))&gt;2)))"),"изикуб|игровыми|элементами|изикуб|представляет|собой|объ|мную|игровую|конструкцию|размещ|нными|гранях|различными|манипулятивными|элементами|процессе|игры|выполняются|действия|вращению|открыванию|перемещению|деталей|акая|деятельность|способствует|развитию|"&amp;"мелкой|моторики|сенсомоторной|координации|концентрации|внимания|орпус|выполнен|фанеры")</f>
        <v>изикуб|игровыми|элементами|изикуб|представляет|собой|объ|мную|игровую|конструкцию|размещ|нными|гранях|различными|манипулятивными|элементами|процессе|игры|выполняются|действия|вращению|открыванию|перемещению|деталей|акая|деятельность|способствует|развитию|мелкой|моторики|сенсомоторной|координации|концентрации|внимания|орпус|выполнен|фанеры</v>
      </c>
      <c r="I528" s="1"/>
      <c r="J528" s="1"/>
    </row>
    <row r="529" spans="1:10" x14ac:dyDescent="0.2">
      <c r="A529" s="8" t="s">
        <v>2050</v>
      </c>
      <c r="B529" s="7" t="s">
        <v>2049</v>
      </c>
      <c r="C529" s="7" t="s">
        <v>2048</v>
      </c>
      <c r="D529" s="6">
        <v>3200</v>
      </c>
      <c r="E529" s="5">
        <v>15</v>
      </c>
      <c r="F529" s="4" t="str">
        <f ca="1">IFERROR(__xludf.DUMMYFUNCTION("LOWER(REGEXREPLACE(B529&amp;"" ""&amp;C529,""[^а-яa-z0-9 ]"","" ""))")," яч для метания  редназначен для метательных упражнений и развития силы  координации и моторного контроля   спользуется в спортивных и коррекционных занятиях ")</f>
        <v xml:space="preserve"> яч для метания  редназначен для метательных упражнений и развития силы  координации и моторного контроля   спользуется в спортивных и коррекционных занятиях </v>
      </c>
      <c r="G529" s="4" t="str">
        <f ca="1">IFERROR(__xludf.DUMMYFUNCTION("TEXTJOIN(""|"",TRUE,UNIQUE(FILTER(SPLIT(F529,"" ""),LEN(SPLIT(F529,"" ""))&gt;2)))"),"для|метания|редназначен|для|метательных|упражнений|развития|силы|координации|моторного|контроля|спользуется|спортивных|коррекционных|занятиях")</f>
        <v>для|метания|редназначен|для|метательных|упражнений|развития|силы|координации|моторного|контроля|спользуется|спортивных|коррекционных|занятиях</v>
      </c>
      <c r="I529" s="1"/>
      <c r="J529" s="1"/>
    </row>
    <row r="530" spans="1:10" x14ac:dyDescent="0.2">
      <c r="A530" s="8" t="s">
        <v>2047</v>
      </c>
      <c r="B530" s="7" t="s">
        <v>2046</v>
      </c>
      <c r="C530" s="7" t="s">
        <v>2045</v>
      </c>
      <c r="D530" s="6">
        <v>3000</v>
      </c>
      <c r="E530" s="5">
        <v>2</v>
      </c>
      <c r="F530" s="4" t="str">
        <f ca="1">IFERROR(__xludf.DUMMYFUNCTION("LOWER(REGEXREPLACE(B530&amp;"" ""&amp;C530,""[^а-яa-z0-9 ]"","" ""))")," яч для настольного тенниса   гкий мяч для развивающих и координационных упражнений   спользуется для развития реакции  внимания и мелкой моторики в дидактических и игровых заданиях ")</f>
        <v xml:space="preserve"> яч для настольного тенниса   гкий мяч для развивающих и координационных упражнений   спользуется для развития реакции  внимания и мелкой моторики в дидактических и игровых заданиях </v>
      </c>
      <c r="G530" s="4" t="str">
        <f ca="1">IFERROR(__xludf.DUMMYFUNCTION("TEXTJOIN(""|"",TRUE,UNIQUE(FILTER(SPLIT(F530,"" ""),LEN(SPLIT(F530,"" ""))&gt;2)))"),"для|настольного|тенниса|гкий|мяч|для|развивающих|координационных|упражнений|спользуется|для|развития|реакции|внимания|мелкой|моторики|дидактических|игровых|заданиях")</f>
        <v>для|настольного|тенниса|гкий|мяч|для|развивающих|координационных|упражнений|спользуется|для|развития|реакции|внимания|мелкой|моторики|дидактических|игровых|заданиях</v>
      </c>
      <c r="I530" s="1"/>
      <c r="J530" s="1"/>
    </row>
    <row r="531" spans="1:10" x14ac:dyDescent="0.2">
      <c r="A531" s="8" t="s">
        <v>2044</v>
      </c>
      <c r="B531" s="7" t="s">
        <v>2043</v>
      </c>
      <c r="C531" s="7" t="s">
        <v>2042</v>
      </c>
      <c r="D531" s="6">
        <v>3200</v>
      </c>
      <c r="E531" s="5">
        <v>15</v>
      </c>
      <c r="F531" s="4" t="str">
        <f ca="1">IFERROR(__xludf.DUMMYFUNCTION("LOWER(REGEXREPLACE(B531&amp;"" ""&amp;C531,""[^а-яa-z0-9 ]"","" ""))")," яч резиновый  ниверсальный мяч для свободных игр и физических упражнений   спользуется в помещении и на улице  сохраняет форму и упругость при активной эксплуатации ")</f>
        <v xml:space="preserve"> яч резиновый  ниверсальный мяч для свободных игр и физических упражнений   спользуется в помещении и на улице  сохраняет форму и упругость при активной эксплуатации </v>
      </c>
      <c r="G531" s="4" t="str">
        <f ca="1">IFERROR(__xludf.DUMMYFUNCTION("TEXTJOIN(""|"",TRUE,UNIQUE(FILTER(SPLIT(F531,"" ""),LEN(SPLIT(F531,"" ""))&gt;2)))"),"резиновый|ниверсальный|мяч|для|свободных|игр|физических|упражнений|спользуется|помещении|улице|сохраняет|форму|упругость|при|активной|эксплуатации")</f>
        <v>резиновый|ниверсальный|мяч|для|свободных|игр|физических|упражнений|спользуется|помещении|улице|сохраняет|форму|упругость|при|активной|эксплуатации</v>
      </c>
      <c r="I531" s="1"/>
      <c r="J531" s="1"/>
    </row>
    <row r="532" spans="1:10" x14ac:dyDescent="0.2">
      <c r="A532" s="8" t="s">
        <v>2041</v>
      </c>
      <c r="B532" s="7" t="s">
        <v>2040</v>
      </c>
      <c r="C532" s="7" t="s">
        <v>2039</v>
      </c>
      <c r="D532" s="6">
        <v>4800</v>
      </c>
      <c r="E532" s="5">
        <v>10</v>
      </c>
      <c r="F532" s="4" t="str">
        <f ca="1">IFERROR(__xludf.DUMMYFUNCTION("LOWER(REGEXREPLACE(B532&amp;"" ""&amp;C532,""[^а-яa-z0-9 ]"","" ""))")," яч резиновый 100 мм  яч малого диаметра для игр и упражнений на координацию и метание   добен для детской руки  хорошо отскакивает от поверхности ")</f>
        <v xml:space="preserve"> яч резиновый 100 мм  яч малого диаметра для игр и упражнений на координацию и метание   добен для детской руки  хорошо отскакивает от поверхности </v>
      </c>
      <c r="G532" s="4" t="str">
        <f ca="1">IFERROR(__xludf.DUMMYFUNCTION("TEXTJOIN(""|"",TRUE,UNIQUE(FILTER(SPLIT(F532,"" ""),LEN(SPLIT(F532,"" ""))&gt;2)))"),"резиновый|100|малого|диаметра|для|игр|упражнений|координацию|метание|добен|для|детской|руки|хорошо|отскакивает|поверхности")</f>
        <v>резиновый|100|малого|диаметра|для|игр|упражнений|координацию|метание|добен|для|детской|руки|хорошо|отскакивает|поверхности</v>
      </c>
      <c r="I532" s="1"/>
      <c r="J532" s="1"/>
    </row>
    <row r="533" spans="1:10" x14ac:dyDescent="0.2">
      <c r="A533" s="8" t="s">
        <v>2038</v>
      </c>
      <c r="B533" s="7" t="s">
        <v>2037</v>
      </c>
      <c r="C533" s="7" t="s">
        <v>2036</v>
      </c>
      <c r="D533" s="6">
        <v>8400</v>
      </c>
      <c r="E533" s="5">
        <v>15</v>
      </c>
      <c r="F533" s="4" t="str">
        <f ca="1">IFERROR(__xludf.DUMMYFUNCTION("LOWER(REGEXREPLACE(B533&amp;"" ""&amp;C533,""[^а-яa-z0-9 ]"","" ""))")," яч с шипами  сенсорный   спользуется для тактильной стимуляции  релаксации и развития мелкой моторики   оверхность с мягкими шипами способствует активизации рецепторов и снятию напряжения ")</f>
        <v xml:space="preserve"> яч с шипами  сенсорный   спользуется для тактильной стимуляции  релаксации и развития мелкой моторики   оверхность с мягкими шипами способствует активизации рецепторов и снятию напряжения </v>
      </c>
      <c r="G533" s="4" t="str">
        <f ca="1">IFERROR(__xludf.DUMMYFUNCTION("TEXTJOIN(""|"",TRUE,UNIQUE(FILTER(SPLIT(F533,"" ""),LEN(SPLIT(F533,"" ""))&gt;2)))"),"шипами|сенсорный|спользуется|для|тактильной|стимуляции|релаксации|развития|мелкой|моторики|оверхность|мягкими|шипами|способствует|активизации|рецепторов|снятию|напряжения")</f>
        <v>шипами|сенсорный|спользуется|для|тактильной|стимуляции|релаксации|развития|мелкой|моторики|оверхность|мягкими|шипами|способствует|активизации|рецепторов|снятию|напряжения</v>
      </c>
      <c r="I533" s="1"/>
      <c r="J533" s="1"/>
    </row>
    <row r="534" spans="1:10" x14ac:dyDescent="0.2">
      <c r="A534" s="8" t="s">
        <v>2035</v>
      </c>
      <c r="B534" s="7" t="s">
        <v>2034</v>
      </c>
      <c r="C534" s="7" t="s">
        <v>2033</v>
      </c>
      <c r="D534" s="6">
        <v>8600</v>
      </c>
      <c r="E534" s="5">
        <v>10</v>
      </c>
      <c r="F534" s="4" t="str">
        <f ca="1">IFERROR(__xludf.DUMMYFUNCTION("LOWER(REGEXREPLACE(B534&amp;"" ""&amp;C534,""[^а-яa-z0-9 ]"","" ""))")," яч прыгун с ручкой  рименяется для активных игр и упражнений на развитие равновесия  координации и крупной моторики   аличие ручки обеспечивает удобный и безопасный захват   спользуется под контролем педагога ")</f>
        <v xml:space="preserve"> яч прыгун с ручкой  рименяется для активных игр и упражнений на развитие равновесия  координации и крупной моторики   аличие ручки обеспечивает удобный и безопасный захват   спользуется под контролем педагога </v>
      </c>
      <c r="G534" s="4" t="str">
        <f ca="1">IFERROR(__xludf.DUMMYFUNCTION("TEXTJOIN(""|"",TRUE,UNIQUE(FILTER(SPLIT(F534,"" ""),LEN(SPLIT(F534,"" ""))&gt;2)))"),"прыгун|ручкой|рименяется|для|активных|игр|упражнений|развитие|равновесия|координации|крупной|моторики|аличие|ручки|обеспечивает|удобный|безопасный|захват|спользуется|под|контролем|педагога")</f>
        <v>прыгун|ручкой|рименяется|для|активных|игр|упражнений|развитие|равновесия|координации|крупной|моторики|аличие|ручки|обеспечивает|удобный|безопасный|захват|спользуется|под|контролем|педагога</v>
      </c>
      <c r="I534" s="1"/>
      <c r="J534" s="1"/>
    </row>
    <row r="535" spans="1:10" x14ac:dyDescent="0.2">
      <c r="A535" s="8" t="s">
        <v>2032</v>
      </c>
      <c r="B535" s="7" t="s">
        <v>2031</v>
      </c>
      <c r="C535" s="7" t="s">
        <v>2030</v>
      </c>
      <c r="D535" s="6">
        <v>2100</v>
      </c>
      <c r="E535" s="5">
        <v>25</v>
      </c>
      <c r="F535" s="4" t="str">
        <f ca="1">IFERROR(__xludf.DUMMYFUNCTION("LOWER(REGEXREPLACE(B535&amp;"" ""&amp;C535,""[^а-яa-z0-9 ]"","" ""))")," ячи разных размеров  резиновые  мягкие  массажные   омплект предназначен для организации разнообразной двигательной и коррекционной деятельности  сенсорных и игровых упражнений ")</f>
        <v xml:space="preserve"> ячи разных размеров  резиновые  мягкие  массажные   омплект предназначен для организации разнообразной двигательной и коррекционной деятельности  сенсорных и игровых упражнений </v>
      </c>
      <c r="G535" s="4" t="str">
        <f ca="1">IFERROR(__xludf.DUMMYFUNCTION("TEXTJOIN(""|"",TRUE,UNIQUE(FILTER(SPLIT(F535,"" ""),LEN(SPLIT(F535,"" ""))&gt;2)))"),"ячи|разных|размеров|резиновые|мягкие|массажные|омплект|предназначен|для|организации|разнообразной|двигательной|коррекционной|деятельности|сенсорных|игровых|упражнений")</f>
        <v>ячи|разных|размеров|резиновые|мягкие|массажные|омплект|предназначен|для|организации|разнообразной|двигательной|коррекционной|деятельности|сенсорных|игровых|упражнений</v>
      </c>
      <c r="I535" s="1"/>
      <c r="J535" s="1"/>
    </row>
    <row r="536" spans="1:10" x14ac:dyDescent="0.2">
      <c r="A536" s="8" t="s">
        <v>2029</v>
      </c>
      <c r="B536" s="7" t="s">
        <v>2028</v>
      </c>
      <c r="C536" s="7" t="s">
        <v>2027</v>
      </c>
      <c r="D536" s="6">
        <v>50900</v>
      </c>
      <c r="E536" s="5">
        <v>5</v>
      </c>
      <c r="F536" s="4" t="str">
        <f ca="1">IFERROR(__xludf.DUMMYFUNCTION("LOWER(REGEXREPLACE(B536&amp;"" ""&amp;C536,""[^а-яa-z0-9 ]"","" ""))")," абор   ольшой супермаркет   редназначен для сюжетно ролевых игр  моделирующих бытовые ситуации   азвивает речь  социальные навыки  воображение и элементарные математические представления ")</f>
        <v xml:space="preserve"> абор   ольшой супермаркет   редназначен для сюжетно ролевых игр  моделирующих бытовые ситуации   азвивает речь  социальные навыки  воображение и элементарные математические представления </v>
      </c>
      <c r="G536" s="4" t="str">
        <f ca="1">IFERROR(__xludf.DUMMYFUNCTION("TEXTJOIN(""|"",TRUE,UNIQUE(FILTER(SPLIT(F536,"" ""),LEN(SPLIT(F536,"" ""))&gt;2)))"),"абор|ольшой|супермаркет|редназначен|для|сюжетно|ролевых|игр|моделирующих|бытовые|ситуации|азвивает|речь|социальные|навыки|воображение|элементарные|математические|представления")</f>
        <v>абор|ольшой|супермаркет|редназначен|для|сюжетно|ролевых|игр|моделирующих|бытовые|ситуации|азвивает|речь|социальные|навыки|воображение|элементарные|математические|представления</v>
      </c>
      <c r="I536" s="1"/>
      <c r="J536" s="1"/>
    </row>
    <row r="537" spans="1:10" x14ac:dyDescent="0.2">
      <c r="A537" s="8" t="s">
        <v>2026</v>
      </c>
      <c r="B537" s="7" t="s">
        <v>2025</v>
      </c>
      <c r="C537" s="7" t="s">
        <v>2024</v>
      </c>
      <c r="D537" s="6">
        <v>12400</v>
      </c>
      <c r="E537" s="5">
        <v>7</v>
      </c>
      <c r="F537" s="4" t="str">
        <f ca="1">IFERROR(__xludf.DUMMYFUNCTION("LOWER(REGEXREPLACE(B537&amp;"" ""&amp;C537,""[^а-яa-z0-9 ]"","" ""))")," абор   ыбалка   азвивающий игровой набор предназначен для организации подвижных и дидактических игр   спользуется для развития координации движений  внимания  мелкой моторики и зрительно моторной координации    набор входят элементы тканевой игры  цветны"&amp;"е рыбки и дополнительные игровые детали   одходит для индивидуальной и совместной деятельности детей ")</f>
        <v xml:space="preserve"> абор   ыбалка   азвивающий игровой набор предназначен для организации подвижных и дидактических игр   спользуется для развития координации движений  внимания  мелкой моторики и зрительно моторной координации    набор входят элементы тканевой игры  цветные рыбки и дополнительные игровые детали   одходит для индивидуальной и совместной деятельности детей </v>
      </c>
      <c r="G537" s="4" t="str">
        <f ca="1">IFERROR(__xludf.DUMMYFUNCTION("TEXTJOIN(""|"",TRUE,UNIQUE(FILTER(SPLIT(F537,"" ""),LEN(SPLIT(F537,"" ""))&gt;2)))"),"абор|ыбалка|азвивающий|игровой|набор|предназначен|для|организации|подвижных|дидактических|игр|спользуется|для|развития|координации|движений|внимания|мелкой|моторики|зрительно|моторной|координации|набор|входят|элементы|тканевой|игры|цветные|рыбки|дополните"&amp;"льные|игровые|детали|одходит|для|индивидуальной|совместной|деятельности|детей")</f>
        <v>абор|ыбалка|азвивающий|игровой|набор|предназначен|для|организации|подвижных|дидактических|игр|спользуется|для|развития|координации|движений|внимания|мелкой|моторики|зрительно|моторной|координации|набор|входят|элементы|тканевой|игры|цветные|рыбки|дополнительные|игровые|детали|одходит|для|индивидуальной|совместной|деятельности|детей</v>
      </c>
      <c r="I537" s="1"/>
      <c r="J537" s="1"/>
    </row>
    <row r="538" spans="1:10" x14ac:dyDescent="0.2">
      <c r="A538" s="8" t="s">
        <v>2023</v>
      </c>
      <c r="B538" s="7" t="s">
        <v>2022</v>
      </c>
      <c r="C538" s="7" t="s">
        <v>2021</v>
      </c>
      <c r="D538" s="6">
        <v>305900</v>
      </c>
      <c r="E538" s="5">
        <v>8</v>
      </c>
      <c r="F538" s="4" t="str">
        <f ca="1">IFERROR(__xludf.DUMMYFUNCTION("LOWER(REGEXREPLACE(B538&amp;"" ""&amp;C538,""[^а-яa-z0-9 ]"","" ""))")," абор   троительные машины  с коробом для хранения  спользуется в сюжетно ролевых и конструктивных играх   пособствует развитию воображения  пространственного мышления и навыков совместной деятельности   ороб обеспечивает удобное хранение элементов ")</f>
        <v xml:space="preserve"> абор   троительные машины  с коробом для хранения  спользуется в сюжетно ролевых и конструктивных играх   пособствует развитию воображения  пространственного мышления и навыков совместной деятельности   ороб обеспечивает удобное хранение элементов </v>
      </c>
      <c r="G538" s="4" t="str">
        <f ca="1">IFERROR(__xludf.DUMMYFUNCTION("TEXTJOIN(""|"",TRUE,UNIQUE(FILTER(SPLIT(F538,"" ""),LEN(SPLIT(F538,"" ""))&gt;2)))"),"абор|троительные|машины|коробом|для|хранения|спользуется|сюжетно|ролевых|конструктивных|играх|пособствует|развитию|воображения|пространственного|мышления|навыков|совместной|деятельности|ороб|обеспечивает|удобное|хранение|элементов")</f>
        <v>абор|троительные|машины|коробом|для|хранения|спользуется|сюжетно|ролевых|конструктивных|играх|пособствует|развитию|воображения|пространственного|мышления|навыков|совместной|деятельности|ороб|обеспечивает|удобное|хранение|элементов</v>
      </c>
      <c r="I538" s="1"/>
      <c r="J538" s="1"/>
    </row>
    <row r="539" spans="1:10" x14ac:dyDescent="0.2">
      <c r="A539" s="8" t="s">
        <v>2020</v>
      </c>
      <c r="B539" s="7" t="s">
        <v>2019</v>
      </c>
      <c r="C539" s="7" t="s">
        <v>1986</v>
      </c>
      <c r="D539" s="6">
        <v>15000</v>
      </c>
      <c r="E539" s="5">
        <v>1</v>
      </c>
      <c r="F539" s="4" t="str">
        <f ca="1">IFERROR(__xludf.DUMMYFUNCTION("LOWER(REGEXREPLACE(B539&amp;"" ""&amp;C539,""[^а-яa-z0-9 ]"","" ""))")," иология    ай  р  же  л под ред      анеш  перевод  арт      ")</f>
        <v xml:space="preserve"> иология    ай  р  же  л под ред      анеш  перевод  арт      </v>
      </c>
      <c r="G539" s="4" t="str">
        <f ca="1">IFERROR(__xludf.DUMMYFUNCTION("TEXTJOIN(""|"",TRUE,UNIQUE(FILTER(SPLIT(F539,"" ""),LEN(SPLIT(F539,"" ""))&gt;2)))"),"иология|под|ред|анеш|перевод|арт")</f>
        <v>иология|под|ред|анеш|перевод|арт</v>
      </c>
      <c r="I539" s="1"/>
      <c r="J539" s="1"/>
    </row>
    <row r="540" spans="1:10" x14ac:dyDescent="0.2">
      <c r="A540" s="8" t="s">
        <v>2018</v>
      </c>
      <c r="B540" s="7" t="s">
        <v>2017</v>
      </c>
      <c r="C540" s="7" t="s">
        <v>2016</v>
      </c>
      <c r="D540" s="6">
        <v>25700</v>
      </c>
      <c r="E540" s="5">
        <v>2</v>
      </c>
      <c r="F540" s="4" t="str">
        <f ca="1">IFERROR(__xludf.DUMMYFUNCTION("LOWER(REGEXREPLACE(B540&amp;"" ""&amp;C540,""[^а-яa-z0-9 ]"","" ""))")," абор анатомических моделей органов артикуляции  язык  зубы  губы  абор моделей органов артикуляции предназначен для наглядного объяснения правильного положения языка  губ и зубов при постановке и автоматизации звуков   омплект включает не менее 3 моделей"&amp;"  язык  зубной ряд  губы  либо комбинированную модель с выделенными элементами   атериал изделий   безопасный пластик или силикон  поверхность гладкая  допускает регулярную обработку и протирание   одели используются логопедом для демонстрации движений и "&amp;"точек контакта  что облегчает понимание реб нком инструкций   особие помогает формировать правильные артикуляционные уклады  развивает кинестетические ощущения и внимание к речевым движениям   рименяется в индивидуальной и подгрупповой работе с обязательн"&amp;"ым контролем специалиста ")</f>
        <v xml:space="preserve"> абор анатомических моделей органов артикуляции  язык  зубы  губы  абор моделей органов артикуляции предназначен для наглядного объяснения правильного положения языка  губ и зубов при постановке и автоматизации звуков   омплект включает не менее 3 моделей  язык  зубной ряд  губы  либо комбинированную модель с выделенными элементами   атериал изделий   безопасный пластик или силикон  поверхность гладкая  допускает регулярную обработку и протирание   одели используются логопедом для демонстрации движений и точек контакта  что облегчает понимание реб нком инструкций   особие помогает формировать правильные артикуляционные уклады  развивает кинестетические ощущения и внимание к речевым движениям   рименяется в индивидуальной и подгрупповой работе с обязательным контролем специалиста </v>
      </c>
      <c r="G540" s="4" t="str">
        <f ca="1">IFERROR(__xludf.DUMMYFUNCTION("TEXTJOIN(""|"",TRUE,UNIQUE(FILTER(SPLIT(F540,"" ""),LEN(SPLIT(F540,"" ""))&gt;2)))"),"абор|анатомических|моделей|органов|артикуляции|язык|зубы|губы|абор|моделей|органов|артикуляции|предназначен|для|наглядного|объяснения|правильного|положения|языка|губ|зубов|при|постановке|автоматизации|звуков|омплект|включает|менее|моделей|язык|зубной|ряд|"&amp;"губы|либо|комбинированную|модель|выделенными|элементами|атериал|изделий|безопасный|пластик|или|силикон|поверхность|гладкая|допускает|регулярную|обработку|протирание|одели|используются|логопедом|для|демонстрации|движений|точек|контакта|что|облегчает|понима"&amp;"ние|реб|нком|инструкций|особие|помогает|формировать|правильные|артикуляционные|уклады|развивает|кинестетические|ощущения|внимание|речевым|движениям|рименяется|индивидуальной|подгрупповой|работе|обязательным|контролем|специалиста")</f>
        <v>абор|анатомических|моделей|органов|артикуляции|язык|зубы|губы|абор|моделей|органов|артикуляции|предназначен|для|наглядного|объяснения|правильного|положения|языка|губ|зубов|при|постановке|автоматизации|звуков|омплект|включает|менее|моделей|язык|зубной|ряд|губы|либо|комбинированную|модель|выделенными|элементами|атериал|изделий|безопасный|пластик|или|силикон|поверхность|гладкая|допускает|регулярную|обработку|протирание|одели|используются|логопедом|для|демонстрации|движений|точек|контакта|что|облегчает|понимание|реб|нком|инструкций|особие|помогает|формировать|правильные|артикуляционные|уклады|развивает|кинестетические|ощущения|внимание|речевым|движениям|рименяется|индивидуальной|подгрупповой|работе|обязательным|контролем|специалиста</v>
      </c>
      <c r="I540" s="1"/>
      <c r="J540" s="1"/>
    </row>
    <row r="541" spans="1:10" x14ac:dyDescent="0.2">
      <c r="A541" s="8" t="s">
        <v>2015</v>
      </c>
      <c r="B541" s="7" t="s">
        <v>2014</v>
      </c>
      <c r="C541" s="7" t="s">
        <v>2013</v>
      </c>
      <c r="D541" s="6">
        <v>38200</v>
      </c>
      <c r="E541" s="5">
        <v>7</v>
      </c>
      <c r="F541" s="4" t="str">
        <f ca="1">IFERROR(__xludf.DUMMYFUNCTION("LOWER(REGEXREPLACE(B541&amp;"" ""&amp;C541,""[^а-яa-z0-9 ]"","" ""))")," абор балансирующих ступенек  спользуется для развития равновесия  координации движений и моторного контроля   одходит для подвижных  физкультурных и коррекционных занятий ")</f>
        <v xml:space="preserve"> абор балансирующих ступенек  спользуется для развития равновесия  координации движений и моторного контроля   одходит для подвижных  физкультурных и коррекционных занятий </v>
      </c>
      <c r="G541" s="4" t="str">
        <f ca="1">IFERROR(__xludf.DUMMYFUNCTION("TEXTJOIN(""|"",TRUE,UNIQUE(FILTER(SPLIT(F541,"" ""),LEN(SPLIT(F541,"" ""))&gt;2)))"),"абор|балансирующих|ступенек|спользуется|для|развития|равновесия|координации|движений|моторного|контроля|одходит|для|подвижных|физкультурных|коррекционных|занятий")</f>
        <v>абор|балансирующих|ступенек|спользуется|для|развития|равновесия|координации|движений|моторного|контроля|одходит|для|подвижных|физкультурных|коррекционных|занятий</v>
      </c>
      <c r="I541" s="1"/>
      <c r="J541" s="1"/>
    </row>
    <row r="542" spans="1:10" x14ac:dyDescent="0.2">
      <c r="A542" s="8" t="s">
        <v>2012</v>
      </c>
      <c r="B542" s="7" t="s">
        <v>2011</v>
      </c>
      <c r="C542" s="7" t="s">
        <v>2010</v>
      </c>
      <c r="D542" s="6">
        <v>4200</v>
      </c>
      <c r="E542" s="5">
        <v>5</v>
      </c>
      <c r="F542" s="4" t="str">
        <f ca="1">IFERROR(__xludf.DUMMYFUNCTION("LOWER(REGEXREPLACE(B542&amp;"" ""&amp;C542,""[^а-яa-z0-9 ]"","" ""))")," абор восковых карандашей  9 шт    абор восковых карандашей предназначен для рисования и раскрашивания на бумаге и картоне в условиях       осковая основа обеспечивает мягкое и ровное нанесение цвета без сильного нажима  что удобно для детей дошкольного в"&amp;"озраста   арандаши подходят для развития мелкой моторики  координации  глаз рука  и навыков штриховки   атериал  восковая основа с пигментами  бумажная об ртка  при наличии    омплектация  9 шт ")</f>
        <v xml:space="preserve"> абор восковых карандашей  9 шт    абор восковых карандашей предназначен для рисования и раскрашивания на бумаге и картоне в условиях       осковая основа обеспечивает мягкое и ровное нанесение цвета без сильного нажима  что удобно для детей дошкольного возраста   арандаши подходят для развития мелкой моторики  координации  глаз рука  и навыков штриховки   атериал  восковая основа с пигментами  бумажная об ртка  при наличии    омплектация  9 шт </v>
      </c>
      <c r="G542" s="4" t="str">
        <f ca="1">IFERROR(__xludf.DUMMYFUNCTION("TEXTJOIN(""|"",TRUE,UNIQUE(FILTER(SPLIT(F542,"" ""),LEN(SPLIT(F542,"" ""))&gt;2)))"),"абор|восковых|карандашей|абор|восковых|карандашей|предназначен|для|рисования|раскрашивания|бумаге|картоне|условиях|осковая|основа|обеспечивает|мягкое|ровное|нанесение|цвета|без|сильного|нажима|что|удобно|для|детей|дошкольного|возраста|арандаши|подходят|дл"&amp;"я|развития|мелкой|моторики|координации|глаз|рука|навыков|штриховки|атериал|восковая|основа|пигментами|бумажная|ртка|при|наличии|омплектация")</f>
        <v>абор|восковых|карандашей|абор|восковых|карандашей|предназначен|для|рисования|раскрашивания|бумаге|картоне|условиях|осковая|основа|обеспечивает|мягкое|ровное|нанесение|цвета|без|сильного|нажима|что|удобно|для|детей|дошкольного|возраста|арандаши|подходят|для|развития|мелкой|моторики|координации|глаз|рука|навыков|штриховки|атериал|восковая|основа|пигментами|бумажная|ртка|при|наличии|омплектация</v>
      </c>
      <c r="I542" s="1"/>
      <c r="J542" s="1"/>
    </row>
    <row r="543" spans="1:10" x14ac:dyDescent="0.2">
      <c r="A543" s="8" t="s">
        <v>2009</v>
      </c>
      <c r="B543" s="7" t="s">
        <v>2008</v>
      </c>
      <c r="C543" s="7" t="s">
        <v>2007</v>
      </c>
      <c r="D543" s="6">
        <v>15200</v>
      </c>
      <c r="E543" s="5">
        <v>1</v>
      </c>
      <c r="F543" s="4" t="str">
        <f ca="1">IFERROR(__xludf.DUMMYFUNCTION("LOWER(REGEXREPLACE(B543&amp;"" ""&amp;C543,""[^а-яa-z0-9 ]"","" ""))")," абор гаек и болтов  азвивающий набор для сборки и конструирования  направленный на тренировку мелкой моторики  силы пальцев  координации движений и понимания причинно следственных связей  закручивание откручивание    ветовая маркировка помогает развивать"&amp;" восприятие цвета и навыки сортировки   добный контейнер обеспечивает хранение и профилактику потери деталей   атериал  пластик   омплектация  гайки  болты  контейнер  по набору  ")</f>
        <v xml:space="preserve"> абор гаек и болтов  азвивающий набор для сборки и конструирования  направленный на тренировку мелкой моторики  силы пальцев  координации движений и понимания причинно следственных связей  закручивание откручивание    ветовая маркировка помогает развивать восприятие цвета и навыки сортировки   добный контейнер обеспечивает хранение и профилактику потери деталей   атериал  пластик   омплектация  гайки  болты  контейнер  по набору  </v>
      </c>
      <c r="G543" s="4" t="str">
        <f ca="1">IFERROR(__xludf.DUMMYFUNCTION("TEXTJOIN(""|"",TRUE,UNIQUE(FILTER(SPLIT(F543,"" ""),LEN(SPLIT(F543,"" ""))&gt;2)))"),"абор|гаек|болтов|азвивающий|набор|для|сборки|конструирования|направленный|тренировку|мелкой|моторики|силы|пальцев|координации|движений|понимания|причинно|следственных|связей|закручивание|откручивание|ветовая|маркировка|помогает|развивать|восприятие|цвета|"&amp;"навыки|сортировки|добный|контейнер|обеспечивает|хранение|профилактику|потери|деталей|атериал|пластик|омплектация|гайки|болты|контейнер|набору")</f>
        <v>абор|гаек|болтов|азвивающий|набор|для|сборки|конструирования|направленный|тренировку|мелкой|моторики|силы|пальцев|координации|движений|понимания|причинно|следственных|связей|закручивание|откручивание|ветовая|маркировка|помогает|развивать|восприятие|цвета|навыки|сортировки|добный|контейнер|обеспечивает|хранение|профилактику|потери|деталей|атериал|пластик|омплектация|гайки|болты|контейнер|набору</v>
      </c>
      <c r="I543" s="1"/>
      <c r="J543" s="1"/>
    </row>
    <row r="544" spans="1:10" x14ac:dyDescent="0.2">
      <c r="A544" s="8" t="s">
        <v>2006</v>
      </c>
      <c r="B544" s="7" t="s">
        <v>2005</v>
      </c>
      <c r="C544" s="7" t="s">
        <v>2004</v>
      </c>
      <c r="D544" s="6">
        <v>45800</v>
      </c>
      <c r="E544" s="5">
        <v>5</v>
      </c>
      <c r="F544" s="4" t="str">
        <f ca="1">IFERROR(__xludf.DUMMYFUNCTION("LOWER(REGEXREPLACE(B544&amp;"" ""&amp;C544,""[^а-яa-z0-9 ]"","" ""))")," абор геометрических фигур и разверток  демонстрационный   емонстрационный набор предназначен для изучения базовых геометрических фигур и пространственных тел  а также для наглядного объяснения разверток  переход от плоской формы к объ мной    спользуется"&amp;" на занятиях по математике сенсорике  способствует развитию пространственного мышления  речи  описание формы  граней   навыков сравнения и классификации   атериал  плотный картон пластик  в зависимости от комплектации  ")</f>
        <v xml:space="preserve"> абор геометрических фигур и разверток  демонстрационный   емонстрационный набор предназначен для изучения базовых геометрических фигур и пространственных тел  а также для наглядного объяснения разверток  переход от плоской формы к объ мной    спользуется на занятиях по математике сенсорике  способствует развитию пространственного мышления  речи  описание формы  граней   навыков сравнения и классификации   атериал  плотный картон пластик  в зависимости от комплектации  </v>
      </c>
      <c r="G544" s="4" t="str">
        <f ca="1">IFERROR(__xludf.DUMMYFUNCTION("TEXTJOIN(""|"",TRUE,UNIQUE(FILTER(SPLIT(F544,"" ""),LEN(SPLIT(F544,"" ""))&gt;2)))"),"абор|геометрических|фигур|разверток|демонстрационный|емонстрационный|набор|предназначен|для|изучения|базовых|геометрических|фигур|пространственных|тел|также|для|наглядного|объяснения|разверток|переход|плоской|формы|объ|мной|спользуется|занятиях|математике"&amp;"|сенсорике|способствует|развитию|пространственного|мышления|речи|описание|формы|граней|навыков|сравнения|классификации|атериал|плотный|картон|пластик|зависимости|комплектации")</f>
        <v>абор|геометрических|фигур|разверток|демонстрационный|емонстрационный|набор|предназначен|для|изучения|базовых|геометрических|фигур|пространственных|тел|также|для|наглядного|объяснения|разверток|переход|плоской|формы|объ|мной|спользуется|занятиях|математике|сенсорике|способствует|развитию|пространственного|мышления|речи|описание|формы|граней|навыков|сравнения|классификации|атериал|плотный|картон|пластик|зависимости|комплектации</v>
      </c>
      <c r="I544" s="1"/>
      <c r="J544" s="1"/>
    </row>
    <row r="545" spans="1:10" x14ac:dyDescent="0.2">
      <c r="A545" s="8" t="s">
        <v>2003</v>
      </c>
      <c r="B545" s="7" t="s">
        <v>2002</v>
      </c>
      <c r="C545" s="7" t="s">
        <v>2001</v>
      </c>
      <c r="D545" s="6">
        <v>6700</v>
      </c>
      <c r="E545" s="5">
        <v>8</v>
      </c>
      <c r="F545" s="4" t="str">
        <f ca="1">IFERROR(__xludf.DUMMYFUNCTION("LOWER(REGEXREPLACE(B545&amp;"" ""&amp;C545,""[^а-яa-z0-9 ]"","" ""))")," абор гербариев  абор натуральных гербарных образцов предназначен для познавательных занятий по окружающему миру и естествознанию   омогает изучать разнообразие растений и их групп  водоросли  грибы  лишайники  мхи  папоротникообразные  голосеменные и пок"&amp;"рытосеменные   сравнивать строение и признаки  формировать навыки наблюдения и описания   атериал  высушенные образцы на бумажной основе в папках  по комплекту  ")</f>
        <v xml:space="preserve"> абор гербариев  абор натуральных гербарных образцов предназначен для познавательных занятий по окружающему миру и естествознанию   омогает изучать разнообразие растений и их групп  водоросли  грибы  лишайники  мхи  папоротникообразные  голосеменные и покрытосеменные   сравнивать строение и признаки  формировать навыки наблюдения и описания   атериал  высушенные образцы на бумажной основе в папках  по комплекту  </v>
      </c>
      <c r="G545" s="4" t="str">
        <f ca="1">IFERROR(__xludf.DUMMYFUNCTION("TEXTJOIN(""|"",TRUE,UNIQUE(FILTER(SPLIT(F545,"" ""),LEN(SPLIT(F545,"" ""))&gt;2)))"),"абор|гербариев|абор|натуральных|гербарных|образцов|предназначен|для|познавательных|занятий|окружающему|миру|естествознанию|омогает|изучать|разнообразие|растений|групп|водоросли|грибы|лишайники|мхи|папоротникообразные|голосеменные|покрытосеменные|сравниват"&amp;"ь|строение|признаки|формировать|навыки|наблюдения|описания|атериал|высушенные|образцы|бумажной|основе|папках|комплекту")</f>
        <v>абор|гербариев|абор|натуральных|гербарных|образцов|предназначен|для|познавательных|занятий|окружающему|миру|естествознанию|омогает|изучать|разнообразие|растений|групп|водоросли|грибы|лишайники|мхи|папоротникообразные|голосеменные|покрытосеменные|сравнивать|строение|признаки|формировать|навыки|наблюдения|описания|атериал|высушенные|образцы|бумажной|основе|папках|комплекту</v>
      </c>
      <c r="I545" s="1"/>
      <c r="J545" s="1"/>
    </row>
    <row r="546" spans="1:10" x14ac:dyDescent="0.2">
      <c r="A546" s="8" t="s">
        <v>2000</v>
      </c>
      <c r="B546" s="7" t="s">
        <v>1999</v>
      </c>
      <c r="C546" s="7" t="s">
        <v>1998</v>
      </c>
      <c r="D546" s="6">
        <v>8600</v>
      </c>
      <c r="E546" s="5">
        <v>7</v>
      </c>
      <c r="F546" s="4" t="str">
        <f ca="1">IFERROR(__xludf.DUMMYFUNCTION("LOWER(REGEXREPLACE(B546&amp;"" ""&amp;C546,""[^а-яa-z0-9 ]"","" ""))")," абор декоративных фруктов и овощей  искусственные   абор искусственных фруктов и овощей применяется для оформления тематических зон и игровых пространств  магазин  кухня  витрина    зделия имеют реалистичную окраску и фактуру  позволяющую использовать их"&amp;" как наглядные модели   атериал изготовления   пластик или аналогичный полимер  устойчивый к протиранию   одходит для составления композиций и размещения в фруктовых вазах  на полках и демонстрационных столах   ассчитан на многократное использование в пом"&amp;"ещении ")</f>
        <v xml:space="preserve"> абор декоративных фруктов и овощей  искусственные   абор искусственных фруктов и овощей применяется для оформления тематических зон и игровых пространств  магазин  кухня  витрина    зделия имеют реалистичную окраску и фактуру  позволяющую использовать их как наглядные модели   атериал изготовления   пластик или аналогичный полимер  устойчивый к протиранию   одходит для составления композиций и размещения в фруктовых вазах  на полках и демонстрационных столах   ассчитан на многократное использование в помещении </v>
      </c>
      <c r="G546" s="4" t="str">
        <f ca="1">IFERROR(__xludf.DUMMYFUNCTION("TEXTJOIN(""|"",TRUE,UNIQUE(FILTER(SPLIT(F546,"" ""),LEN(SPLIT(F546,"" ""))&gt;2)))"),"абор|декоративных|фруктов|овощей|искусственные|абор|искусственных|фруктов|овощей|применяется|для|оформления|тематических|зон|игровых|пространств|магазин|кухня|витрина|зделия|имеют|реалистичную|окраску|фактуру|позволяющую|использовать|как|наглядные|модели|"&amp;"атериал|изготовления|пластик|или|аналогичный|полимер|устойчивый|протиранию|одходит|для|составления|композиций|размещения|фруктовых|вазах|полках|демонстрационных|столах|ассчитан|многократное|использование|помещении")</f>
        <v>абор|декоративных|фруктов|овощей|искусственные|абор|искусственных|фруктов|овощей|применяется|для|оформления|тематических|зон|игровых|пространств|магазин|кухня|витрина|зделия|имеют|реалистичную|окраску|фактуру|позволяющую|использовать|как|наглядные|модели|атериал|изготовления|пластик|или|аналогичный|полимер|устойчивый|протиранию|одходит|для|составления|композиций|размещения|фруктовых|вазах|полках|демонстрационных|столах|ассчитан|многократное|использование|помещении</v>
      </c>
      <c r="I546" s="1"/>
      <c r="J546" s="1"/>
    </row>
    <row r="547" spans="1:10" x14ac:dyDescent="0.2">
      <c r="A547" s="8" t="s">
        <v>1997</v>
      </c>
      <c r="B547" s="7" t="s">
        <v>1996</v>
      </c>
      <c r="C547" s="7" t="s">
        <v>1995</v>
      </c>
      <c r="D547" s="6">
        <v>9900</v>
      </c>
      <c r="E547" s="5">
        <v>15</v>
      </c>
      <c r="F547" s="4" t="str">
        <f ca="1">IFERROR(__xludf.DUMMYFUNCTION("LOWER(REGEXREPLACE(B547&amp;"" ""&amp;C547,""[^а-яa-z0-9 ]"","" ""))")," абор деревянных игр для счета  атематический развивающий набор для формирования представлений о количестве  сч те  сопоставлении  цифра количество   а также для развития логики и внимания   ветные элементы  бусины фишки  используются для выкладывания зад"&amp;"аний по образцу  сравнения и простых операций   одходит для индивидуальной и подгрупповой работы   атериал  дерево  основа и элементы   картон  карточки  ")</f>
        <v xml:space="preserve"> абор деревянных игр для счета  атематический развивающий набор для формирования представлений о количестве  сч те  сопоставлении  цифра количество   а также для развития логики и внимания   ветные элементы  бусины фишки  используются для выкладывания заданий по образцу  сравнения и простых операций   одходит для индивидуальной и подгрупповой работы   атериал  дерево  основа и элементы   картон  карточки  </v>
      </c>
      <c r="G547" s="4" t="str">
        <f ca="1">IFERROR(__xludf.DUMMYFUNCTION("TEXTJOIN(""|"",TRUE,UNIQUE(FILTER(SPLIT(F547,"" ""),LEN(SPLIT(F547,"" ""))&gt;2)))"),"абор|деревянных|игр|для|счета|атематический|развивающий|набор|для|формирования|представлений|количестве|сопоставлении|цифра|количество|также|для|развития|логики|внимания|ветные|элементы|бусины|фишки|используются|для|выкладывания|заданий|образцу|сравнения|"&amp;"простых|операций|одходит|для|индивидуальной|подгрупповой|работы|атериал|дерево|основа|элементы|картон|карточки")</f>
        <v>абор|деревянных|игр|для|счета|атематический|развивающий|набор|для|формирования|представлений|количестве|сопоставлении|цифра|количество|также|для|развития|логики|внимания|ветные|элементы|бусины|фишки|используются|для|выкладывания|заданий|образцу|сравнения|простых|операций|одходит|для|индивидуальной|подгрупповой|работы|атериал|дерево|основа|элементы|картон|карточки</v>
      </c>
      <c r="I547" s="1"/>
      <c r="J547" s="1"/>
    </row>
    <row r="548" spans="1:10" x14ac:dyDescent="0.2">
      <c r="A548" s="8" t="s">
        <v>1994</v>
      </c>
      <c r="B548" s="7" t="s">
        <v>1993</v>
      </c>
      <c r="C548" s="7" t="s">
        <v>1992</v>
      </c>
      <c r="D548" s="6">
        <v>13100</v>
      </c>
      <c r="E548" s="5">
        <v>14</v>
      </c>
      <c r="F548" s="4" t="str">
        <f ca="1">IFERROR(__xludf.DUMMYFUNCTION("LOWER(REGEXREPLACE(B548&amp;"" ""&amp;C548,""[^а-яa-z0-9 ]"","" ""))")," абор деревянных сенсорных инструментов  енсорный набор для пересыпания и переливания  крупы  песок  вода  предназначен для развития тактильных ощущений  мелкой моторики  точности движений и навыков самообслуживания   спользуется в сенсорных лотках  на за"&amp;"нятиях и в свободной игре  помогает тренировать аккуратность и концентрацию   атериал  дерево   омплектация  набор из 8 предметов  черпаки лопатки ложки и др    по комплекту  ")</f>
        <v xml:space="preserve"> абор деревянных сенсорных инструментов  енсорный набор для пересыпания и переливания  крупы  песок  вода  предназначен для развития тактильных ощущений  мелкой моторики  точности движений и навыков самообслуживания   спользуется в сенсорных лотках  на занятиях и в свободной игре  помогает тренировать аккуратность и концентрацию   атериал  дерево   омплектация  набор из 8 предметов  черпаки лопатки ложки и др    по комплекту  </v>
      </c>
      <c r="G548" s="4" t="str">
        <f ca="1">IFERROR(__xludf.DUMMYFUNCTION("TEXTJOIN(""|"",TRUE,UNIQUE(FILTER(SPLIT(F548,"" ""),LEN(SPLIT(F548,"" ""))&gt;2)))"),"абор|деревянных|сенсорных|инструментов|енсорный|набор|для|пересыпания|переливания|крупы|песок|вода|предназначен|для|развития|тактильных|ощущений|мелкой|моторики|точности|движений|навыков|самообслуживания|спользуется|сенсорных|лотках|занятиях|свободной|игр"&amp;"е|помогает|тренировать|аккуратность|концентрацию|атериал|дерево|омплектация|набор|предметов|черпаки|лопатки|ложки|комплекту")</f>
        <v>абор|деревянных|сенсорных|инструментов|енсорный|набор|для|пересыпания|переливания|крупы|песок|вода|предназначен|для|развития|тактильных|ощущений|мелкой|моторики|точности|движений|навыков|самообслуживания|спользуется|сенсорных|лотках|занятиях|свободной|игре|помогает|тренировать|аккуратность|концентрацию|атериал|дерево|омплектация|набор|предметов|черпаки|лопатки|ложки|комплекту</v>
      </c>
      <c r="I548" s="1"/>
      <c r="J548" s="1"/>
    </row>
    <row r="549" spans="1:10" x14ac:dyDescent="0.2">
      <c r="A549" s="8" t="s">
        <v>1991</v>
      </c>
      <c r="B549" s="7" t="s">
        <v>1990</v>
      </c>
      <c r="C549" s="7" t="s">
        <v>1989</v>
      </c>
      <c r="D549" s="6">
        <v>273600</v>
      </c>
      <c r="E549" s="5">
        <v>7</v>
      </c>
      <c r="F549" s="4" t="str">
        <f ca="1">IFERROR(__xludf.DUMMYFUNCTION("LOWER(REGEXREPLACE(B549&amp;"" ""&amp;C549,""[^а-яa-z0-9 ]"","" ""))")," абор деревянных фигурок   юди и животные   абор фигурок предназначен для сюжетно ролевых  театрализованных и дидактических игр   озволяет моделировать жизненные ситуации  развивать речь  воображение  социальные навыки и понимание мира животных человека  "&amp;" игурки устойчивы  безопасны при использовании детьми   атериал  дерево  защитное покрытие лак  или аналогичное безопасное    омплектация  72 элемента  по описанию набора  ")</f>
        <v xml:space="preserve"> абор деревянных фигурок   юди и животные   абор фигурок предназначен для сюжетно ролевых  театрализованных и дидактических игр   озволяет моделировать жизненные ситуации  развивать речь  воображение  социальные навыки и понимание мира животных человека   игурки устойчивы  безопасны при использовании детьми   атериал  дерево  защитное покрытие лак  или аналогичное безопасное    омплектация  72 элемента  по описанию набора  </v>
      </c>
      <c r="G549" s="4" t="str">
        <f ca="1">IFERROR(__xludf.DUMMYFUNCTION("TEXTJOIN(""|"",TRUE,UNIQUE(FILTER(SPLIT(F549,"" ""),LEN(SPLIT(F549,"" ""))&gt;2)))"),"абор|деревянных|фигурок|юди|животные|абор|фигурок|предназначен|для|сюжетно|ролевых|театрализованных|дидактических|игр|озволяет|моделировать|жизненные|ситуации|развивать|речь|воображение|социальные|навыки|понимание|мира|животных|человека|игурки|устойчивы|б"&amp;"езопасны|при|использовании|детьми|атериал|дерево|защитное|покрытие|лак|или|аналогичное|безопасное|омплектация|элемента|описанию|набора")</f>
        <v>абор|деревянных|фигурок|юди|животные|абор|фигурок|предназначен|для|сюжетно|ролевых|театрализованных|дидактических|игр|озволяет|моделировать|жизненные|ситуации|развивать|речь|воображение|социальные|навыки|понимание|мира|животных|человека|игурки|устойчивы|безопасны|при|использовании|детьми|атериал|дерево|защитное|покрытие|лак|или|аналогичное|безопасное|омплектация|элемента|описанию|набора</v>
      </c>
      <c r="I549" s="1"/>
      <c r="J549" s="1"/>
    </row>
    <row r="550" spans="1:10" x14ac:dyDescent="0.2">
      <c r="A550" s="8" t="s">
        <v>1988</v>
      </c>
      <c r="B550" s="7" t="s">
        <v>1987</v>
      </c>
      <c r="C550" s="7" t="s">
        <v>1986</v>
      </c>
      <c r="D550" s="6">
        <v>15000</v>
      </c>
      <c r="E550" s="5">
        <v>1</v>
      </c>
      <c r="F550" s="4" t="str">
        <f ca="1">IFERROR(__xludf.DUMMYFUNCTION("LOWER(REGEXREPLACE(B550&amp;"" ""&amp;C550,""[^а-яa-z0-9 ]"","" ""))")," иология   росто и легко под ред      анеш  перевод  арт      ")</f>
        <v xml:space="preserve"> иология   росто и легко под ред      анеш  перевод  арт      </v>
      </c>
      <c r="G550" s="4" t="str">
        <f ca="1">IFERROR(__xludf.DUMMYFUNCTION("TEXTJOIN(""|"",TRUE,UNIQUE(FILTER(SPLIT(F550,"" ""),LEN(SPLIT(F550,"" ""))&gt;2)))"),"иология|росто|легко|под|ред|анеш|перевод|арт")</f>
        <v>иология|росто|легко|под|ред|анеш|перевод|арт</v>
      </c>
      <c r="I550" s="1"/>
      <c r="J550" s="1"/>
    </row>
    <row r="551" spans="1:10" x14ac:dyDescent="0.2">
      <c r="A551" s="8" t="s">
        <v>1985</v>
      </c>
      <c r="B551" s="7" t="s">
        <v>1984</v>
      </c>
      <c r="C551" s="7" t="s">
        <v>1983</v>
      </c>
      <c r="D551" s="6">
        <v>19000</v>
      </c>
      <c r="E551" s="5">
        <v>1</v>
      </c>
      <c r="F551" s="4" t="str">
        <f ca="1">IFERROR(__xludf.DUMMYFUNCTION("LOWER(REGEXREPLACE(B551&amp;"" ""&amp;C551,""[^а-яa-z0-9 ]"","" ""))")," абор детских музыкальных инструментов  омплект простых музыкальных инструментов предназначен для музыкально ритмических игр  занятий по развитию слуха и чувства ритма   спользуется в музыкальных занятиях  свободной деятельности и праздничных мероприятиях"&amp;"   гра на инструментах способствует развитию координации движений  слухового восприятия и эмоциональной выразительности ")</f>
        <v xml:space="preserve"> абор детских музыкальных инструментов  омплект простых музыкальных инструментов предназначен для музыкально ритмических игр  занятий по развитию слуха и чувства ритма   спользуется в музыкальных занятиях  свободной деятельности и праздничных мероприятиях   гра на инструментах способствует развитию координации движений  слухового восприятия и эмоциональной выразительности </v>
      </c>
      <c r="G551" s="4" t="str">
        <f ca="1">IFERROR(__xludf.DUMMYFUNCTION("TEXTJOIN(""|"",TRUE,UNIQUE(FILTER(SPLIT(F551,"" ""),LEN(SPLIT(F551,"" ""))&gt;2)))"),"абор|детских|музыкальных|инструментов|омплект|простых|музыкальных|инструментов|предназначен|для|музыкально|ритмических|игр|занятий|развитию|слуха|чувства|ритма|спользуется|музыкальных|занятиях|свободной|деятельности|праздничных|мероприятиях|гра|инструмент"&amp;"ах|способствует|развитию|координации|движений|слухового|восприятия|эмоциональной|выразительности")</f>
        <v>абор|детских|музыкальных|инструментов|омплект|простых|музыкальных|инструментов|предназначен|для|музыкально|ритмических|игр|занятий|развитию|слуха|чувства|ритма|спользуется|музыкальных|занятиях|свободной|деятельности|праздничных|мероприятиях|гра|инструментах|способствует|развитию|координации|движений|слухового|восприятия|эмоциональной|выразительности</v>
      </c>
      <c r="I551" s="1"/>
      <c r="J551" s="1"/>
    </row>
    <row r="552" spans="1:10" x14ac:dyDescent="0.2">
      <c r="A552" s="8" t="s">
        <v>1982</v>
      </c>
      <c r="B552" s="7" t="s">
        <v>1981</v>
      </c>
      <c r="C552" s="7" t="s">
        <v>1980</v>
      </c>
      <c r="D552" s="6">
        <v>114000</v>
      </c>
      <c r="E552" s="5">
        <v>5</v>
      </c>
      <c r="F552" s="4" t="str">
        <f ca="1">IFERROR(__xludf.DUMMYFUNCTION("LOWER(REGEXREPLACE(B552&amp;"" ""&amp;C552,""[^а-яa-z0-9 ]"","" ""))")," абор детских музыкальных инструментов  33 предмета   абор включает различные детские музыкальные инструменты для извлечения звуков и ритмического сопровождения    процессе игры выполняются удары  встряхивание и подача звука разными способами   акая деяте"&amp;"льность способствует развитию слухового восприятия и чувства ритма   атериалы  дерево  металл и кожа   оличество предметов   не менее 33  предусмотрена сумка для хранения ")</f>
        <v xml:space="preserve"> абор детских музыкальных инструментов  33 предмета   абор включает различные детские музыкальные инструменты для извлечения звуков и ритмического сопровождения    процессе игры выполняются удары  встряхивание и подача звука разными способами   акая деятельность способствует развитию слухового восприятия и чувства ритма   атериалы  дерево  металл и кожа   оличество предметов   не менее 33  предусмотрена сумка для хранения </v>
      </c>
      <c r="G552" s="4" t="str">
        <f ca="1">IFERROR(__xludf.DUMMYFUNCTION("TEXTJOIN(""|"",TRUE,UNIQUE(FILTER(SPLIT(F552,"" ""),LEN(SPLIT(F552,"" ""))&gt;2)))"),"абор|детских|музыкальных|инструментов|предмета|абор|включает|различные|детские|музыкальные|инструменты|для|извлечения|звуков|ритмического|сопровождения|процессе|игры|выполняются|удары|встряхивание|подача|звука|разными|способами|акая|деятельность|способств"&amp;"ует|развитию|слухового|восприятия|чувства|ритма|атериалы|дерево|металл|кожа|оличество|предметов|менее|предусмотрена|сумка|для|хранения")</f>
        <v>абор|детских|музыкальных|инструментов|предмета|абор|включает|различные|детские|музыкальные|инструменты|для|извлечения|звуков|ритмического|сопровождения|процессе|игры|выполняются|удары|встряхивание|подача|звука|разными|способами|акая|деятельность|способствует|развитию|слухового|восприятия|чувства|ритма|атериалы|дерево|металл|кожа|оличество|предметов|менее|предусмотрена|сумка|для|хранения</v>
      </c>
      <c r="I552" s="1"/>
      <c r="J552" s="1"/>
    </row>
    <row r="553" spans="1:10" x14ac:dyDescent="0.2">
      <c r="A553" s="8" t="s">
        <v>1979</v>
      </c>
      <c r="B553" s="7" t="s">
        <v>1978</v>
      </c>
      <c r="C553" s="7" t="s">
        <v>1977</v>
      </c>
      <c r="D553" s="6">
        <v>34200</v>
      </c>
      <c r="E553" s="5">
        <v>14</v>
      </c>
      <c r="F553" s="4" t="str">
        <f ca="1">IFERROR(__xludf.DUMMYFUNCTION("LOWER(REGEXREPLACE(B553&amp;"" ""&amp;C553,""[^а-яa-z0-9 ]"","" ""))")," абор детских ударных и шумовых музыкальных инструментов с сумкой  абор включает ударные и шумовые музыкальные инструменты для звукового сопровождения и музыкальных занятий    процессе использования извлекаются звуки различной высоты и тембра  что способс"&amp;"твует развитию слухового восприятия и чувства ритма   нструменты выполнены из дерева  металла и кожи    комплект входит не менее 13 предметов  включая барабан  бубен  погремушки и колокольчики   ля хранения предусмотрена сумка ")</f>
        <v xml:space="preserve"> абор детских ударных и шумовых музыкальных инструментов с сумкой  абор включает ударные и шумовые музыкальные инструменты для звукового сопровождения и музыкальных занятий    процессе использования извлекаются звуки различной высоты и тембра  что способствует развитию слухового восприятия и чувства ритма   нструменты выполнены из дерева  металла и кожи    комплект входит не менее 13 предметов  включая барабан  бубен  погремушки и колокольчики   ля хранения предусмотрена сумка </v>
      </c>
      <c r="G553" s="4" t="str">
        <f ca="1">IFERROR(__xludf.DUMMYFUNCTION("TEXTJOIN(""|"",TRUE,UNIQUE(FILTER(SPLIT(F553,"" ""),LEN(SPLIT(F553,"" ""))&gt;2)))"),"абор|детских|ударных|шумовых|музыкальных|инструментов|сумкой|абор|включает|ударные|шумовые|музыкальные|инструменты|для|звукового|сопровождения|музыкальных|занятий|процессе|использования|извлекаются|звуки|различной|высоты|тембра|что|способствует|развитию|с"&amp;"лухового|восприятия|чувства|ритма|нструменты|выполнены|дерева|металла|кожи|комплект|входит|менее|предметов|включая|барабан|бубен|погремушки|колокольчики|хранения|предусмотрена|сумка")</f>
        <v>абор|детских|ударных|шумовых|музыкальных|инструментов|сумкой|абор|включает|ударные|шумовые|музыкальные|инструменты|для|звукового|сопровождения|музыкальных|занятий|процессе|использования|извлекаются|звуки|различной|высоты|тембра|что|способствует|развитию|слухового|восприятия|чувства|ритма|нструменты|выполнены|дерева|металла|кожи|комплект|входит|менее|предметов|включая|барабан|бубен|погремушки|колокольчики|хранения|предусмотрена|сумка</v>
      </c>
      <c r="I553" s="1"/>
      <c r="J553" s="1"/>
    </row>
    <row r="554" spans="1:10" x14ac:dyDescent="0.2">
      <c r="A554" s="8" t="s">
        <v>1976</v>
      </c>
      <c r="B554" s="7" t="s">
        <v>1975</v>
      </c>
      <c r="C554" s="7" t="s">
        <v>1974</v>
      </c>
      <c r="D554" s="6">
        <v>14100</v>
      </c>
      <c r="E554" s="5">
        <v>5</v>
      </c>
      <c r="F554" s="4" t="str">
        <f ca="1">IFERROR(__xludf.DUMMYFUNCTION("LOWER(REGEXREPLACE(B554&amp;"" ""&amp;C554,""[^а-яa-z0-9 ]"","" ""))")," абор диатонических ручных колокольчиков  8 тонов   чебный набор колокольчиков предназначен для знакомства с высотой звука и простыми мелодиями   спользуется в музыкальных занятиях для упражнений на слух  интервалы  последовательность нот и ансамблевую иг"&amp;"ру   добен для работы в малых группах   атериал  металл пластик  корпус ручки   по набору    омплектация  8 колокольчиков  8 тонов  ")</f>
        <v xml:space="preserve"> абор диатонических ручных колокольчиков  8 тонов   чебный набор колокольчиков предназначен для знакомства с высотой звука и простыми мелодиями   спользуется в музыкальных занятиях для упражнений на слух  интервалы  последовательность нот и ансамблевую игру   добен для работы в малых группах   атериал  металл пластик  корпус ручки   по набору    омплектация  8 колокольчиков  8 тонов  </v>
      </c>
      <c r="G554" s="4" t="str">
        <f ca="1">IFERROR(__xludf.DUMMYFUNCTION("TEXTJOIN(""|"",TRUE,UNIQUE(FILTER(SPLIT(F554,"" ""),LEN(SPLIT(F554,"" ""))&gt;2)))"),"абор|диатонических|ручных|колокольчиков|тонов|чебный|набор|колокольчиков|предназначен|для|знакомства|высотой|звука|простыми|мелодиями|спользуется|музыкальных|занятиях|для|упражнений|слух|интервалы|последовательность|нот|ансамблевую|игру|добен|для|работы|м"&amp;"алых|группах|атериал|металл|пластик|корпус|ручки|набору|омплектация|колокольчиков|тонов")</f>
        <v>абор|диатонических|ручных|колокольчиков|тонов|чебный|набор|колокольчиков|предназначен|для|знакомства|высотой|звука|простыми|мелодиями|спользуется|музыкальных|занятиях|для|упражнений|слух|интервалы|последовательность|нот|ансамблевую|игру|добен|для|работы|малых|группах|атериал|металл|пластик|корпус|ручки|набору|омплектация|колокольчиков|тонов</v>
      </c>
      <c r="I554" s="1"/>
      <c r="J554" s="1"/>
    </row>
    <row r="555" spans="1:10" x14ac:dyDescent="0.2">
      <c r="A555" s="8" t="s">
        <v>1973</v>
      </c>
      <c r="B555" s="7" t="s">
        <v>1972</v>
      </c>
      <c r="C555" s="7" t="s">
        <v>1971</v>
      </c>
      <c r="D555" s="6">
        <v>8500</v>
      </c>
      <c r="E555" s="5">
        <v>5</v>
      </c>
      <c r="F555" s="4" t="str">
        <f ca="1">IFERROR(__xludf.DUMMYFUNCTION("LOWER(REGEXREPLACE(B555&amp;"" ""&amp;C555,""[^а-яa-z0-9 ]"","" ""))")," абор для игры в доктора  15 предметов   южетно ролевой набор для игры   октор  помогает реб нку осваивать социальные роли  развивать речь  коммуникативные навыки и снижать тревожность перед медицинскими процедурами через игру   редметы адаптированы для д"&amp;"етей  безопасные формы  без острых кромок   атериал  пластик  основные элементы   текстиль  сумка чехол   при наличии    омплектация  15 предметов  по списку набора  ")</f>
        <v xml:space="preserve"> абор для игры в доктора  15 предметов   южетно ролевой набор для игры   октор  помогает реб нку осваивать социальные роли  развивать речь  коммуникативные навыки и снижать тревожность перед медицинскими процедурами через игру   редметы адаптированы для детей  безопасные формы  без острых кромок   атериал  пластик  основные элементы   текстиль  сумка чехол   при наличии    омплектация  15 предметов  по списку набора  </v>
      </c>
      <c r="G555" s="4" t="str">
        <f ca="1">IFERROR(__xludf.DUMMYFUNCTION("TEXTJOIN(""|"",TRUE,UNIQUE(FILTER(SPLIT(F555,"" ""),LEN(SPLIT(F555,"" ""))&gt;2)))"),"абор|для|игры|доктора|предметов|южетно|ролевой|набор|для|игры|октор|помогает|реб|нку|осваивать|социальные|роли|развивать|речь|коммуникативные|навыки|снижать|тревожность|перед|медицинскими|процедурами|через|игру|редметы|адаптированы|для|детей|безопасные|фо"&amp;"рмы|без|острых|кромок|атериал|пластик|основные|элементы|текстиль|сумка|чехол|при|наличии|омплектация|предметов|списку|набора")</f>
        <v>абор|для|игры|доктора|предметов|южетно|ролевой|набор|для|игры|октор|помогает|реб|нку|осваивать|социальные|роли|развивать|речь|коммуникативные|навыки|снижать|тревожность|перед|медицинскими|процедурами|через|игру|редметы|адаптированы|для|детей|безопасные|формы|без|острых|кромок|атериал|пластик|основные|элементы|текстиль|сумка|чехол|при|наличии|омплектация|предметов|списку|набора</v>
      </c>
      <c r="I555" s="1"/>
      <c r="J555" s="1"/>
    </row>
    <row r="556" spans="1:10" x14ac:dyDescent="0.2">
      <c r="A556" s="8" t="s">
        <v>1970</v>
      </c>
      <c r="B556" s="7" t="s">
        <v>1969</v>
      </c>
      <c r="C556" s="7" t="s">
        <v>1968</v>
      </c>
      <c r="D556" s="6">
        <v>8600</v>
      </c>
      <c r="E556" s="5">
        <v>7</v>
      </c>
      <c r="F556" s="4" t="str">
        <f ca="1">IFERROR(__xludf.DUMMYFUNCTION("LOWER(REGEXREPLACE(B556&amp;"" ""&amp;C556,""[^а-яa-z0-9 ]"","" ""))")," абор для игры с песком  абор предназначен для игр в песочнице и сенсорных занятий с песком   азвивает мелкую моторику  навыки лепки  воображение и базовые представления о форме объ ме   екомендуется использование с организацией места для хранения и регул"&amp;"ярной санитарной обработкой   атериал  пластик  или дерево   по комплекту  ")</f>
        <v xml:space="preserve"> абор для игры с песком  абор предназначен для игр в песочнице и сенсорных занятий с песком   азвивает мелкую моторику  навыки лепки  воображение и базовые представления о форме объ ме   екомендуется использование с организацией места для хранения и регулярной санитарной обработкой   атериал  пластик  или дерево   по комплекту  </v>
      </c>
      <c r="G556" s="4" t="str">
        <f ca="1">IFERROR(__xludf.DUMMYFUNCTION("TEXTJOIN(""|"",TRUE,UNIQUE(FILTER(SPLIT(F556,"" ""),LEN(SPLIT(F556,"" ""))&gt;2)))"),"абор|для|игры|песком|абор|предназначен|для|игр|песочнице|сенсорных|занятий|песком|азвивает|мелкую|моторику|навыки|лепки|воображение|базовые|представления|форме|объ|екомендуется|использование|организацией|места|для|хранения|регулярной|санитарной|обработкой"&amp;"|атериал|пластик|или|дерево|комплекту")</f>
        <v>абор|для|игры|песком|абор|предназначен|для|игр|песочнице|сенсорных|занятий|песком|азвивает|мелкую|моторику|навыки|лепки|воображение|базовые|представления|форме|объ|екомендуется|использование|организацией|места|для|хранения|регулярной|санитарной|обработкой|атериал|пластик|или|дерево|комплекту</v>
      </c>
      <c r="I556" s="1"/>
      <c r="J556" s="1"/>
    </row>
    <row r="557" spans="1:10" x14ac:dyDescent="0.2">
      <c r="A557" s="8" t="s">
        <v>1967</v>
      </c>
      <c r="B557" s="7" t="s">
        <v>1966</v>
      </c>
      <c r="C557" s="7" t="s">
        <v>1965</v>
      </c>
      <c r="D557" s="6">
        <v>79800</v>
      </c>
      <c r="E557" s="5">
        <v>15</v>
      </c>
      <c r="F557" s="4" t="str">
        <f ca="1">IFERROR(__xludf.DUMMYFUNCTION("LOWER(REGEXREPLACE(B557&amp;"" ""&amp;C557,""[^а-яa-z0-9 ]"","" ""))")," абор для конструирования роботизированный  тема   омашние животные    оботизированный конструктор для образовательных занятий и проектной деятельности  предназначенный для сборки подвижных моделей на тему домашних животных    процессе работы дети осваива"&amp;"ют основы механики и простейшей робототехники  соединение модулей  построение устойчивых конструкций  понимание движения деталей  рычаги  передачи шарниры   в зависимости от комплектации    абор подходит для занятий в      робоклассе и кружковой работы  р"&amp;"азвивает инженерное мышление  пространственное воображение  внимание  навык следования инструкции и командное взаимодействие   атериал  прочный пластик  конструктивные элементы   металлические креп жные детали  при наличии   электронные компоненты  при на"&amp;"личии  мотор блок управления кабели    омплектация  набор деталей для сборки нескольких моделей  элементы крепления  инструкция методические карточки  по комплекту    екомендуемая организация хранения  контейнер кейс с сортировкой деталей по секциям ")</f>
        <v xml:space="preserve"> абор для конструирования роботизированный  тема   омашние животные    оботизированный конструктор для образовательных занятий и проектной деятельности  предназначенный для сборки подвижных моделей на тему домашних животных    процессе работы дети осваивают основы механики и простейшей робототехники  соединение модулей  построение устойчивых конструкций  понимание движения деталей  рычаги  передачи шарниры   в зависимости от комплектации    абор подходит для занятий в      робоклассе и кружковой работы  развивает инженерное мышление  пространственное воображение  внимание  навык следования инструкции и командное взаимодействие   атериал  прочный пластик  конструктивные элементы   металлические креп жные детали  при наличии   электронные компоненты  при наличии  мотор блок управления кабели    омплектация  набор деталей для сборки нескольких моделей  элементы крепления  инструкция методические карточки  по комплекту    екомендуемая организация хранения  контейнер кейс с сортировкой деталей по секциям </v>
      </c>
      <c r="G557" s="4" t="str">
        <f ca="1">IFERROR(__xludf.DUMMYFUNCTION("TEXTJOIN(""|"",TRUE,UNIQUE(FILTER(SPLIT(F557,"" ""),LEN(SPLIT(F557,"" ""))&gt;2)))"),"абор|для|конструирования|роботизированный|тема|омашние|животные|оботизированный|конструктор|для|образовательных|занятий|проектной|деятельности|предназначенный|для|сборки|подвижных|моделей|тему|домашних|животных|процессе|работы|дети|осваивают|основы|механи"&amp;"ки|простейшей|робототехники|соединение|модулей|построение|устойчивых|конструкций|понимание|движения|деталей|рычаги|передачи|шарниры|зависимости|комплектации|абор|подходит|для|занятий|робоклассе|кружковой|работы|развивает|инженерное|мышление|пространственн"&amp;"ое|воображение|внимание|навык|следования|инструкции|командное|взаимодействие|атериал|прочный|пластик|конструктивные|элементы|металлические|креп|жные|детали|при|наличии|электронные|компоненты|при|наличии|мотор|блок|управления|кабели|омплектация|набор|детал"&amp;"ей|для|сборки|нескольких|моделей|элементы|крепления|инструкция|методические|карточки|комплекту|екомендуемая|организация|хранения|контейнер|кейс|сортировкой|деталей|секциям")</f>
        <v>абор|для|конструирования|роботизированный|тема|омашние|животные|оботизированный|конструктор|для|образовательных|занятий|проектной|деятельности|предназначенный|для|сборки|подвижных|моделей|тему|домашних|животных|процессе|работы|дети|осваивают|основы|механики|простейшей|робототехники|соединение|модулей|построение|устойчивых|конструкций|понимание|движения|деталей|рычаги|передачи|шарниры|зависимости|комплектации|абор|подходит|для|занятий|робоклассе|кружковой|работы|развивает|инженерное|мышление|пространственное|воображение|внимание|навык|следования|инструкции|командное|взаимодействие|атериал|прочный|пластик|конструктивные|элементы|металлические|креп|жные|детали|при|наличии|электронные|компоненты|при|наличии|мотор|блок|управления|кабели|омплектация|набор|деталей|для|сборки|нескольких|моделей|элементы|крепления|инструкция|методические|карточки|комплекту|екомендуемая|организация|хранения|контейнер|кейс|сортировкой|деталей|секциям</v>
      </c>
      <c r="I557" s="1"/>
      <c r="J557" s="1"/>
    </row>
    <row r="558" spans="1:10" x14ac:dyDescent="0.2">
      <c r="A558" s="8" t="s">
        <v>1964</v>
      </c>
      <c r="B558" s="7" t="s">
        <v>1963</v>
      </c>
      <c r="C558" s="7" t="s">
        <v>1962</v>
      </c>
      <c r="D558" s="6">
        <v>14700</v>
      </c>
      <c r="E558" s="5">
        <v>5</v>
      </c>
      <c r="F558" s="4" t="str">
        <f ca="1">IFERROR(__xludf.DUMMYFUNCTION("LOWER(REGEXREPLACE(B558&amp;"" ""&amp;C558,""[^а-яa-z0-9 ]"","" ""))")," абор для опытов   олнечная система   аучно познавательный набор для знакомства с темой космоса и планет   спользуется для демонстраций и самостоятельных опытов под контролем взрослого  развивает познавательный интерес  внимание и навыки следования инстру"&amp;"кции   атериал  пластик картон  элементы модели и материалы набора   по комплекту  ")</f>
        <v xml:space="preserve"> абор для опытов   олнечная система   аучно познавательный набор для знакомства с темой космоса и планет   спользуется для демонстраций и самостоятельных опытов под контролем взрослого  развивает познавательный интерес  внимание и навыки следования инструкции   атериал  пластик картон  элементы модели и материалы набора   по комплекту  </v>
      </c>
      <c r="G558" s="4" t="str">
        <f ca="1">IFERROR(__xludf.DUMMYFUNCTION("TEXTJOIN(""|"",TRUE,UNIQUE(FILTER(SPLIT(F558,"" ""),LEN(SPLIT(F558,"" ""))&gt;2)))"),"абор|для|опытов|олнечная|система|аучно|познавательный|набор|для|знакомства|темой|космоса|планет|спользуется|для|демонстраций|самостоятельных|опытов|под|контролем|взрослого|развивает|познавательный|интерес|внимание|навыки|следования|инструкции|атериал|плас"&amp;"тик|картон|элементы|модели|материалы|набора|комплекту")</f>
        <v>абор|для|опытов|олнечная|система|аучно|познавательный|набор|для|знакомства|темой|космоса|планет|спользуется|для|демонстраций|самостоятельных|опытов|под|контролем|взрослого|развивает|познавательный|интерес|внимание|навыки|следования|инструкции|атериал|пластик|картон|элементы|модели|материалы|набора|комплекту</v>
      </c>
      <c r="I558" s="1"/>
      <c r="J558" s="1"/>
    </row>
    <row r="559" spans="1:10" x14ac:dyDescent="0.2">
      <c r="A559" s="8" t="s">
        <v>1961</v>
      </c>
      <c r="B559" s="7" t="s">
        <v>1960</v>
      </c>
      <c r="C559" s="7" t="s">
        <v>1959</v>
      </c>
      <c r="D559" s="6">
        <v>12700</v>
      </c>
      <c r="E559" s="5">
        <v>14</v>
      </c>
      <c r="F559" s="4" t="str">
        <f ca="1">IFERROR(__xludf.DUMMYFUNCTION("LOWER(REGEXREPLACE(B559&amp;"" ""&amp;C559,""[^а-яa-z0-9 ]"","" ""))")," абор для песка   емья   гровой набор предназначен для организации сюжетных и развивающих игр с песком в условиях дошкольного учреждения и на открытом воздухе   ключает фигурки и элементы  позволяющие моделировать семейные и бытовые ситуации  развивать во"&amp;"ображение  логическое мышление и координацию движений   спользование набора способствует формированию социальных навыков  мелкой моторики и пространственного мышления у детей дошкольного возраста   атериал изготовления   натуральное дерево с гладкой обраб"&amp;"откой поверхности  безопасное для детей и устойчивое к активному использованию   абор удобен для хранения и транспортировки  подходит для индивидуальных и групповых игр ")</f>
        <v xml:space="preserve"> абор для песка   емья   гровой набор предназначен для организации сюжетных и развивающих игр с песком в условиях дошкольного учреждения и на открытом воздухе   ключает фигурки и элементы  позволяющие моделировать семейные и бытовые ситуации  развивать воображение  логическое мышление и координацию движений   спользование набора способствует формированию социальных навыков  мелкой моторики и пространственного мышления у детей дошкольного возраста   атериал изготовления   натуральное дерево с гладкой обработкой поверхности  безопасное для детей и устойчивое к активному использованию   абор удобен для хранения и транспортировки  подходит для индивидуальных и групповых игр </v>
      </c>
      <c r="G559" s="4" t="str">
        <f ca="1">IFERROR(__xludf.DUMMYFUNCTION("TEXTJOIN(""|"",TRUE,UNIQUE(FILTER(SPLIT(F559,"" ""),LEN(SPLIT(F559,"" ""))&gt;2)))"),"абор|для|песка|емья|гровой|набор|предназначен|для|организации|сюжетных|развивающих|игр|песком|условиях|дошкольного|учреждения|открытом|воздухе|ключает|фигурки|элементы|позволяющие|моделировать|семейные|бытовые|ситуации|развивать|воображение|логическое|мыш"&amp;"ление|координацию|движений|спользование|набора|способствует|формированию|социальных|навыков|мелкой|моторики|пространственного|мышления|детей|дошкольного|возраста|атериал|изготовления|натуральное|дерево|гладкой|обработкой|поверхности|безопасное|для|детей|у"&amp;"стойчивое|активному|использованию|абор|удобен|для|хранения|транспортировки|подходит|для|индивидуальных|групповых|игр")</f>
        <v>абор|для|песка|емья|гровой|набор|предназначен|для|организации|сюжетных|развивающих|игр|песком|условиях|дошкольного|учреждения|открытом|воздухе|ключает|фигурки|элементы|позволяющие|моделировать|семейные|бытовые|ситуации|развивать|воображение|логическое|мышление|координацию|движений|спользование|набора|способствует|формированию|социальных|навыков|мелкой|моторики|пространственного|мышления|детей|дошкольного|возраста|атериал|изготовления|натуральное|дерево|гладкой|обработкой|поверхности|безопасное|для|детей|устойчивое|активному|использованию|абор|удобен|для|хранения|транспортировки|подходит|для|индивидуальных|групповых|игр</v>
      </c>
      <c r="I559" s="1"/>
      <c r="J559" s="1"/>
    </row>
    <row r="560" spans="1:10" x14ac:dyDescent="0.2">
      <c r="A560" s="8" t="s">
        <v>1958</v>
      </c>
      <c r="B560" s="7" t="s">
        <v>1957</v>
      </c>
      <c r="C560" s="7" t="s">
        <v>1956</v>
      </c>
      <c r="D560" s="6">
        <v>18200</v>
      </c>
      <c r="E560" s="5">
        <v>35</v>
      </c>
      <c r="F560" s="4" t="str">
        <f ca="1">IFERROR(__xludf.DUMMYFUNCTION("LOWER(REGEXREPLACE(B560&amp;"" ""&amp;C560,""[^а-яa-z0-9 ]"","" ""))")," абор для песочницы  гровой набор для песочницы предназначен для активных и развивающих игр с песком    комплект входят предметы для пересыпания  формования и перевозки песка  машинка  вед рки  лопатка  формочки   что позволяет детям экспериментировать с "&amp;"формой  объ мом и текстурой   абор способствует развитию мелкой и крупной моторики  координации движений  воображения и навыков совместной игры   атериал изготовления   прочный и безопасный пластик  устойчивый к воздействию влаги и загрязнений  пригодный "&amp;"для регулярного использования в условиях     ")</f>
        <v xml:space="preserve"> абор для песочницы  гровой набор для песочницы предназначен для активных и развивающих игр с песком    комплект входят предметы для пересыпания  формования и перевозки песка  машинка  вед рки  лопатка  формочки   что позволяет детям экспериментировать с формой  объ мом и текстурой   абор способствует развитию мелкой и крупной моторики  координации движений  воображения и навыков совместной игры   атериал изготовления   прочный и безопасный пластик  устойчивый к воздействию влаги и загрязнений  пригодный для регулярного использования в условиях     </v>
      </c>
      <c r="G560" s="4" t="str">
        <f ca="1">IFERROR(__xludf.DUMMYFUNCTION("TEXTJOIN(""|"",TRUE,UNIQUE(FILTER(SPLIT(F560,"" ""),LEN(SPLIT(F560,"" ""))&gt;2)))"),"абор|для|песочницы|гровой|набор|для|песочницы|предназначен|для|активных|развивающих|игр|песком|комплект|входят|предметы|для|пересыпания|формования|перевозки|песка|машинка|вед|рки|лопатка|формочки|что|позволяет|детям|экспериментировать|формой|объ|мом|текст"&amp;"урой|абор|способствует|развитию|мелкой|крупной|моторики|координации|движений|воображения|навыков|совместной|игры|атериал|изготовления|прочный|безопасный|пластик|устойчивый|воздействию|влаги|загрязнений|пригодный|для|регулярного|использования|условиях")</f>
        <v>абор|для|песочницы|гровой|набор|для|песочницы|предназначен|для|активных|развивающих|игр|песком|комплект|входят|предметы|для|пересыпания|формования|перевозки|песка|машинка|вед|рки|лопатка|формочки|что|позволяет|детям|экспериментировать|формой|объ|мом|текстурой|абор|способствует|развитию|мелкой|крупной|моторики|координации|движений|воображения|навыков|совместной|игры|атериал|изготовления|прочный|безопасный|пластик|устойчивый|воздействию|влаги|загрязнений|пригодный|для|регулярного|использования|условиях</v>
      </c>
      <c r="I560" s="1"/>
      <c r="J560" s="1"/>
    </row>
    <row r="561" spans="1:10" x14ac:dyDescent="0.2">
      <c r="A561" s="8" t="s">
        <v>1955</v>
      </c>
      <c r="B561" s="7" t="s">
        <v>1954</v>
      </c>
      <c r="C561" s="7" t="s">
        <v>733</v>
      </c>
      <c r="D561" s="6">
        <v>5200</v>
      </c>
      <c r="E561" s="5">
        <v>1</v>
      </c>
      <c r="F561" s="4" t="str">
        <f ca="1">IFERROR(__xludf.DUMMYFUNCTION("LOWER(REGEXREPLACE(B561&amp;"" ""&amp;C561,""[^а-яa-z0-9 ]"","" ""))"),"  зд   с й кт   аламыз  лматы  дерект  повесть  уреханова   ")</f>
        <v xml:space="preserve">  зд   с й кт   аламыз  лматы  дерект  повесть  уреханова   </v>
      </c>
      <c r="G561" s="4" t="str">
        <f ca="1">IFERROR(__xludf.DUMMYFUNCTION("TEXTJOIN(""|"",TRUE,UNIQUE(FILTER(SPLIT(F561,"" ""),LEN(SPLIT(F561,"" ""))&gt;2)))"),"аламыз|лматы|дерект|повесть|уреханова")</f>
        <v>аламыз|лматы|дерект|повесть|уреханова</v>
      </c>
      <c r="I561" s="1"/>
      <c r="J561" s="1"/>
    </row>
    <row r="562" spans="1:10" x14ac:dyDescent="0.2">
      <c r="A562" s="8" t="s">
        <v>1953</v>
      </c>
      <c r="B562" s="7" t="s">
        <v>1952</v>
      </c>
      <c r="C562" s="7" t="s">
        <v>1951</v>
      </c>
      <c r="D562" s="6">
        <v>4900</v>
      </c>
      <c r="E562" s="5">
        <v>5</v>
      </c>
      <c r="F562" s="4" t="str">
        <f ca="1">IFERROR(__xludf.DUMMYFUNCTION("LOWER(REGEXREPLACE(B562&amp;"" ""&amp;C562,""[^а-яa-z0-9 ]"","" ""))")," абор для подвижных игр   ольцеброс   абор предназначен для метания колец на стойку цель в подвижной игровой деятельности    процессе игры выполняются действия на точность броска  прицеливание и контроль силы   спользуется в помещении и на улице при орган"&amp;"изации двигательных игр   атериал изготовления   пластик  устойчивый к регулярному применению   омплект включает основание и набор колец не менее 4 5 шт   по типовой комплектации  ")</f>
        <v xml:space="preserve"> абор для подвижных игр   ольцеброс   абор предназначен для метания колец на стойку цель в подвижной игровой деятельности    процессе игры выполняются действия на точность броска  прицеливание и контроль силы   спользуется в помещении и на улице при организации двигательных игр   атериал изготовления   пластик  устойчивый к регулярному применению   омплект включает основание и набор колец не менее 4 5 шт   по типовой комплектации  </v>
      </c>
      <c r="G562" s="4" t="str">
        <f ca="1">IFERROR(__xludf.DUMMYFUNCTION("TEXTJOIN(""|"",TRUE,UNIQUE(FILTER(SPLIT(F562,"" ""),LEN(SPLIT(F562,"" ""))&gt;2)))"),"абор|для|подвижных|игр|ольцеброс|абор|предназначен|для|метания|колец|стойку|цель|подвижной|игровой|деятельности|процессе|игры|выполняются|действия|точность|броска|прицеливание|контроль|силы|спользуется|помещении|улице|при|организации|двигательных|игр|атер"&amp;"иал|изготовления|пластик|устойчивый|регулярному|применению|омплект|включает|основание|набор|колец|менее|типовой|комплектации")</f>
        <v>абор|для|подвижных|игр|ольцеброс|абор|предназначен|для|метания|колец|стойку|цель|подвижной|игровой|деятельности|процессе|игры|выполняются|действия|точность|броска|прицеливание|контроль|силы|спользуется|помещении|улице|при|организации|двигательных|игр|атериал|изготовления|пластик|устойчивый|регулярному|применению|омплект|включает|основание|набор|колец|менее|типовой|комплектации</v>
      </c>
      <c r="I562" s="1"/>
      <c r="J562" s="1"/>
    </row>
    <row r="563" spans="1:10" x14ac:dyDescent="0.2">
      <c r="A563" s="8" t="s">
        <v>1950</v>
      </c>
      <c r="B563" s="7" t="s">
        <v>1949</v>
      </c>
      <c r="C563" s="7" t="s">
        <v>1948</v>
      </c>
      <c r="D563" s="6">
        <v>15300</v>
      </c>
      <c r="E563" s="5">
        <v>5</v>
      </c>
      <c r="F563" s="4" t="str">
        <f ca="1">IFERROR(__xludf.DUMMYFUNCTION("LOWER(REGEXREPLACE(B563&amp;"" ""&amp;C563,""[^а-яa-z0-9 ]"","" ""))")," абор доктора   олшебная аптечка  в чемоданчике  25 предметов   южетно ролевой набор предназначен для организации игр медицинской тематики в дошкольном учреждении   спользуется для развития воображения  речи  эмоциональной отзывчивости и формирования перв"&amp;"ичных представлений о профессии врача    комплект входят игровые медицинские инструменты и аксессуары  имитирующие работу врача   се элементы размещаются в удобном пластиковом чемоданчике с ручкой  что облегчает хранение и переноску   етали изготовлены из"&amp;" прочного безопасного пластика  не имеют острых кра в и адаптированы для детских игр ")</f>
        <v xml:space="preserve"> абор доктора   олшебная аптечка  в чемоданчике  25 предметов   южетно ролевой набор предназначен для организации игр медицинской тематики в дошкольном учреждении   спользуется для развития воображения  речи  эмоциональной отзывчивости и формирования первичных представлений о профессии врача    комплект входят игровые медицинские инструменты и аксессуары  имитирующие работу врача   се элементы размещаются в удобном пластиковом чемоданчике с ручкой  что облегчает хранение и переноску   етали изготовлены из прочного безопасного пластика  не имеют острых кра в и адаптированы для детских игр </v>
      </c>
      <c r="G563" s="4" t="str">
        <f ca="1">IFERROR(__xludf.DUMMYFUNCTION("TEXTJOIN(""|"",TRUE,UNIQUE(FILTER(SPLIT(F563,"" ""),LEN(SPLIT(F563,"" ""))&gt;2)))"),"абор|доктора|олшебная|аптечка|чемоданчике|предметов|южетно|ролевой|набор|предназначен|для|организации|игр|медицинской|тематики|дошкольном|учреждении|спользуется|для|развития|воображения|речи|эмоциональной|отзывчивости|формирования|первичных|представлений|"&amp;"профессии|врача|комплект|входят|игровые|медицинские|инструменты|аксессуары|имитирующие|работу|врача|элементы|размещаются|удобном|пластиковом|чемоданчике|ручкой|что|облегчает|хранение|переноску|етали|изготовлены|прочного|безопасного|пластика|имеют|острых|к"&amp;"ра|адаптированы|для|детских|игр")</f>
        <v>абор|доктора|олшебная|аптечка|чемоданчике|предметов|южетно|ролевой|набор|предназначен|для|организации|игр|медицинской|тематики|дошкольном|учреждении|спользуется|для|развития|воображения|речи|эмоциональной|отзывчивости|формирования|первичных|представлений|профессии|врача|комплект|входят|игровые|медицинские|инструменты|аксессуары|имитирующие|работу|врача|элементы|размещаются|удобном|пластиковом|чемоданчике|ручкой|что|облегчает|хранение|переноску|етали|изготовлены|прочного|безопасного|пластика|имеют|острых|кра|адаптированы|для|детских|игр</v>
      </c>
      <c r="I563" s="1"/>
      <c r="J563" s="1"/>
    </row>
    <row r="564" spans="1:10" x14ac:dyDescent="0.2">
      <c r="A564" s="8" t="s">
        <v>1947</v>
      </c>
      <c r="B564" s="7" t="s">
        <v>1946</v>
      </c>
      <c r="C564" s="7" t="s">
        <v>1945</v>
      </c>
      <c r="D564" s="6">
        <v>9500</v>
      </c>
      <c r="E564" s="5">
        <v>1</v>
      </c>
      <c r="F564" s="4" t="str">
        <f ca="1">IFERROR(__xludf.DUMMYFUNCTION("LOWER(REGEXREPLACE(B564&amp;"" ""&amp;C564,""[^а-яa-z0-9 ]"","" ""))")," абор домашних животных  гровой набор фигурок домашних животных предназначен для познавательных и сюжетно ролевых игр   спользуется для ознакомления с животным миром  развития речи  классификации и формирования элементарных представлений об окружающей сре"&amp;"де   игурки выполнены из эластичного безопасного материала  удобны для детской руки и подходят для систематического использования в условиях     ")</f>
        <v xml:space="preserve"> абор домашних животных  гровой набор фигурок домашних животных предназначен для познавательных и сюжетно ролевых игр   спользуется для ознакомления с животным миром  развития речи  классификации и формирования элементарных представлений об окружающей среде   игурки выполнены из эластичного безопасного материала  удобны для детской руки и подходят для систематического использования в условиях     </v>
      </c>
      <c r="G564" s="4" t="str">
        <f ca="1">IFERROR(__xludf.DUMMYFUNCTION("TEXTJOIN(""|"",TRUE,UNIQUE(FILTER(SPLIT(F564,"" ""),LEN(SPLIT(F564,"" ""))&gt;2)))"),"абор|домашних|животных|гровой|набор|фигурок|домашних|животных|предназначен|для|познавательных|сюжетно|ролевых|игр|спользуется|для|ознакомления|животным|миром|развития|речи|классификации|формирования|элементарных|представлений|окружающей|среде|игурки|выпол"&amp;"нены|эластичного|безопасного|материала|удобны|для|детской|руки|подходят|для|систематического|использования|условиях")</f>
        <v>абор|домашних|животных|гровой|набор|фигурок|домашних|животных|предназначен|для|познавательных|сюжетно|ролевых|игр|спользуется|для|ознакомления|животным|миром|развития|речи|классификации|формирования|элементарных|представлений|окружающей|среде|игурки|выполнены|эластичного|безопасного|материала|удобны|для|детской|руки|подходят|для|систематического|использования|условиях</v>
      </c>
      <c r="I564" s="1"/>
      <c r="J564" s="1"/>
    </row>
    <row r="565" spans="1:10" x14ac:dyDescent="0.2">
      <c r="A565" s="8" t="s">
        <v>1944</v>
      </c>
      <c r="B565" s="7" t="s">
        <v>1943</v>
      </c>
      <c r="C565" s="7" t="s">
        <v>1942</v>
      </c>
      <c r="D565" s="6">
        <v>5600</v>
      </c>
      <c r="E565" s="5">
        <v>5</v>
      </c>
      <c r="F565" s="4" t="str">
        <f ca="1">IFERROR(__xludf.DUMMYFUNCTION("LOWER(REGEXREPLACE(B565&amp;"" ""&amp;C565,""[^а-яa-z0-9 ]"","" ""))")," абор домашних животных    играю в зоопарк   6 фигур   ематический набор предназначен для сюжетно ролевых и познавательных игр   спользуется для расширения знаний о домашних животных  развития речи  воображения и навыков сравнения    набор входят фигурки "&amp;"животных среднего размера  что делает их удобными для демонстрации и самостоятельной игры детьми   одходит для занятий по ознакомлению с окружающим миром ")</f>
        <v xml:space="preserve"> абор домашних животных    играю в зоопарк   6 фигур   ематический набор предназначен для сюжетно ролевых и познавательных игр   спользуется для расширения знаний о домашних животных  развития речи  воображения и навыков сравнения    набор входят фигурки животных среднего размера  что делает их удобными для демонстрации и самостоятельной игры детьми   одходит для занятий по ознакомлению с окружающим миром </v>
      </c>
      <c r="G565" s="4" t="str">
        <f ca="1">IFERROR(__xludf.DUMMYFUNCTION("TEXTJOIN(""|"",TRUE,UNIQUE(FILTER(SPLIT(F565,"" ""),LEN(SPLIT(F565,"" ""))&gt;2)))"),"абор|домашних|животных|играю|зоопарк|фигур|ематический|набор|предназначен|для|сюжетно|ролевых|познавательных|игр|спользуется|для|расширения|знаний|домашних|животных|развития|речи|воображения|навыков|сравнения|набор|входят|фигурки|животных|среднего|размера"&amp;"|что|делает|удобными|для|демонстрации|самостоятельной|игры|детьми|одходит|для|занятий|ознакомлению|окружающим|миром")</f>
        <v>абор|домашних|животных|играю|зоопарк|фигур|ематический|набор|предназначен|для|сюжетно|ролевых|познавательных|игр|спользуется|для|расширения|знаний|домашних|животных|развития|речи|воображения|навыков|сравнения|набор|входят|фигурки|животных|среднего|размера|что|делает|удобными|для|демонстрации|самостоятельной|игры|детьми|одходит|для|занятий|ознакомлению|окружающим|миром</v>
      </c>
      <c r="I565" s="1"/>
      <c r="J565" s="1"/>
    </row>
    <row r="566" spans="1:10" x14ac:dyDescent="0.2">
      <c r="A566" s="8" t="s">
        <v>1941</v>
      </c>
      <c r="B566" s="7" t="s">
        <v>1940</v>
      </c>
      <c r="C566" s="7" t="s">
        <v>1939</v>
      </c>
      <c r="D566" s="6">
        <v>1900</v>
      </c>
      <c r="E566" s="5">
        <v>5</v>
      </c>
      <c r="F566" s="4" t="str">
        <f ca="1">IFERROR(__xludf.DUMMYFUNCTION("LOWER(REGEXREPLACE(B566&amp;"" ""&amp;C566,""[^а-яa-z0-9 ]"","" ""))")," абор дорожных знаков детских напольных  75 см   бучающий игровой набор предназначен для формирования у детей первоначальных знаний о правилах дорожного движения   спользуется в образовательной и игровой деятельности для моделирования дорожных ситуаций  р"&amp;"азвития внимания  логического мышления и навыков безопасного поведения   апольное исполнение знаков позволяет использовать набор в подвижных и сюжетных играх  а также при проведении тематических занятий в     ")</f>
        <v xml:space="preserve"> абор дорожных знаков детских напольных  75 см   бучающий игровой набор предназначен для формирования у детей первоначальных знаний о правилах дорожного движения   спользуется в образовательной и игровой деятельности для моделирования дорожных ситуаций  развития внимания  логического мышления и навыков безопасного поведения   апольное исполнение знаков позволяет использовать набор в подвижных и сюжетных играх  а также при проведении тематических занятий в     </v>
      </c>
      <c r="G566" s="4" t="str">
        <f ca="1">IFERROR(__xludf.DUMMYFUNCTION("TEXTJOIN(""|"",TRUE,UNIQUE(FILTER(SPLIT(F566,"" ""),LEN(SPLIT(F566,"" ""))&gt;2)))"),"абор|дорожных|знаков|детских|напольных|бучающий|игровой|набор|предназначен|для|формирования|детей|первоначальных|знаний|правилах|дорожного|движения|спользуется|образовательной|игровой|деятельности|для|моделирования|дорожных|ситуаций|развития|внимания|логи"&amp;"ческого|мышления|навыков|безопасного|поведения|апольное|исполнение|знаков|позволяет|использовать|набор|подвижных|сюжетных|играх|также|при|проведении|тематических|занятий")</f>
        <v>абор|дорожных|знаков|детских|напольных|бучающий|игровой|набор|предназначен|для|формирования|детей|первоначальных|знаний|правилах|дорожного|движения|спользуется|образовательной|игровой|деятельности|для|моделирования|дорожных|ситуаций|развития|внимания|логического|мышления|навыков|безопасного|поведения|апольное|исполнение|знаков|позволяет|использовать|набор|подвижных|сюжетных|играх|также|при|проведении|тематических|занятий</v>
      </c>
      <c r="I566" s="1"/>
      <c r="J566" s="1"/>
    </row>
    <row r="567" spans="1:10" x14ac:dyDescent="0.2">
      <c r="A567" s="8" t="s">
        <v>1938</v>
      </c>
      <c r="B567" s="7" t="s">
        <v>1937</v>
      </c>
      <c r="C567" s="7" t="s">
        <v>1936</v>
      </c>
      <c r="D567" s="6">
        <v>19800</v>
      </c>
      <c r="E567" s="5">
        <v>5</v>
      </c>
      <c r="F567" s="4" t="str">
        <f ca="1">IFERROR(__xludf.DUMMYFUNCTION("LOWER(REGEXREPLACE(B567&amp;"" ""&amp;C567,""[^а-яa-z0-9 ]"","" ""))")," абор игровой   инозавры   6 предметов   абор фигурок динозавров предназначен для сюжетно ролевых игр и занятий по окружающему миру   омогает развивать воображение  связную речь  умение описывать и сравнивать объекты   одходит для работы в мини группах и "&amp;"индивидуально   атериал  пластик полимер  по комплекту    омплектация  6 предметов ")</f>
        <v xml:space="preserve"> абор игровой   инозавры   6 предметов   абор фигурок динозавров предназначен для сюжетно ролевых игр и занятий по окружающему миру   омогает развивать воображение  связную речь  умение описывать и сравнивать объекты   одходит для работы в мини группах и индивидуально   атериал  пластик полимер  по комплекту    омплектация  6 предметов </v>
      </c>
      <c r="G567" s="4" t="str">
        <f ca="1">IFERROR(__xludf.DUMMYFUNCTION("TEXTJOIN(""|"",TRUE,UNIQUE(FILTER(SPLIT(F567,"" ""),LEN(SPLIT(F567,"" ""))&gt;2)))"),"абор|игровой|инозавры|предметов|абор|фигурок|динозавров|предназначен|для|сюжетно|ролевых|игр|занятий|окружающему|миру|омогает|развивать|воображение|связную|речь|умение|описывать|сравнивать|объекты|одходит|для|работы|мини|группах|индивидуально|атериал|плас"&amp;"тик|полимер|комплекту|омплектация|предметов")</f>
        <v>абор|игровой|инозавры|предметов|абор|фигурок|динозавров|предназначен|для|сюжетно|ролевых|игр|занятий|окружающему|миру|омогает|развивать|воображение|связную|речь|умение|описывать|сравнивать|объекты|одходит|для|работы|мини|группах|индивидуально|атериал|пластик|полимер|комплекту|омплектация|предметов</v>
      </c>
      <c r="I567" s="1"/>
      <c r="J567" s="1"/>
    </row>
    <row r="568" spans="1:10" x14ac:dyDescent="0.2">
      <c r="A568" s="8" t="s">
        <v>1935</v>
      </c>
      <c r="B568" s="7" t="s">
        <v>1934</v>
      </c>
      <c r="C568" s="7" t="s">
        <v>1933</v>
      </c>
      <c r="D568" s="6">
        <v>13300</v>
      </c>
      <c r="E568" s="5">
        <v>6</v>
      </c>
      <c r="F568" s="4" t="str">
        <f ca="1">IFERROR(__xludf.DUMMYFUNCTION("LOWER(REGEXREPLACE(B568&amp;"" ""&amp;C568,""[^а-яa-z0-9 ]"","" ""))")," абор игровой   ожарная станция   гровой набор для сюжетов  службы спасения  развивает социальные навыки  умение договариваться  проигрывать ситуации помощи и безопасности   одходит для групповой игры  включает элементы станции и аксессуары  по комплекту "&amp;"   атериал  дерево и пластик  по набору  ")</f>
        <v xml:space="preserve"> абор игровой   ожарная станция   гровой набор для сюжетов  службы спасения  развивает социальные навыки  умение договариваться  проигрывать ситуации помощи и безопасности   одходит для групповой игры  включает элементы станции и аксессуары  по комплекту    атериал  дерево и пластик  по набору  </v>
      </c>
      <c r="G568" s="4" t="str">
        <f ca="1">IFERROR(__xludf.DUMMYFUNCTION("TEXTJOIN(""|"",TRUE,UNIQUE(FILTER(SPLIT(F568,"" ""),LEN(SPLIT(F568,"" ""))&gt;2)))"),"абор|игровой|ожарная|станция|гровой|набор|для|сюжетов|службы|спасения|развивает|социальные|навыки|умение|договариваться|проигрывать|ситуации|помощи|безопасности|одходит|для|групповой|игры|включает|элементы|станции|аксессуары|комплекту|атериал|дерево|пласт"&amp;"ик|набору")</f>
        <v>абор|игровой|ожарная|станция|гровой|набор|для|сюжетов|службы|спасения|развивает|социальные|навыки|умение|договариваться|проигрывать|ситуации|помощи|безопасности|одходит|для|групповой|игры|включает|элементы|станции|аксессуары|комплекту|атериал|дерево|пластик|набору</v>
      </c>
      <c r="I568" s="1"/>
      <c r="J568" s="1"/>
    </row>
    <row r="569" spans="1:10" x14ac:dyDescent="0.2">
      <c r="A569" s="8" t="s">
        <v>1932</v>
      </c>
      <c r="B569" s="7" t="s">
        <v>1931</v>
      </c>
      <c r="C569" s="7" t="s">
        <v>1930</v>
      </c>
      <c r="D569" s="6">
        <v>10500</v>
      </c>
      <c r="E569" s="5">
        <v>7</v>
      </c>
      <c r="F569" s="4" t="str">
        <f ca="1">IFERROR(__xludf.DUMMYFUNCTION("LOWER(REGEXREPLACE(B569&amp;"" ""&amp;C569,""[^а-яa-z0-9 ]"","" ""))")," абор игровой   олицейская машина кейс   южетно ролевой набор в формате кейса используется для игры  полиция патруль   развития коммуникативных навыков и понимания социальных ролей   ормат  кейс  удобен для хранения и переноски  помогает поддерживать поря"&amp;"док в игровой зоне   атериал  пластик ")</f>
        <v xml:space="preserve"> абор игровой   олицейская машина кейс   южетно ролевой набор в формате кейса используется для игры  полиция патруль   развития коммуникативных навыков и понимания социальных ролей   ормат  кейс  удобен для хранения и переноски  помогает поддерживать порядок в игровой зоне   атериал  пластик </v>
      </c>
      <c r="G569" s="4" t="str">
        <f ca="1">IFERROR(__xludf.DUMMYFUNCTION("TEXTJOIN(""|"",TRUE,UNIQUE(FILTER(SPLIT(F569,"" ""),LEN(SPLIT(F569,"" ""))&gt;2)))"),"абор|игровой|олицейская|машина|кейс|южетно|ролевой|набор|формате|кейса|используется|для|игры|полиция|патруль|развития|коммуникативных|навыков|понимания|социальных|ролей|ормат|кейс|удобен|для|хранения|переноски|помогает|поддерживать|порядок|игровой|зоне|ат"&amp;"ериал|пластик")</f>
        <v>абор|игровой|олицейская|машина|кейс|южетно|ролевой|набор|формате|кейса|используется|для|игры|полиция|патруль|развития|коммуникативных|навыков|понимания|социальных|ролей|ормат|кейс|удобен|для|хранения|переноски|помогает|поддерживать|порядок|игровой|зоне|атериал|пластик</v>
      </c>
      <c r="I569" s="1"/>
      <c r="J569" s="1"/>
    </row>
    <row r="570" spans="1:10" x14ac:dyDescent="0.2">
      <c r="A570" s="8" t="s">
        <v>1929</v>
      </c>
      <c r="B570" s="7" t="s">
        <v>1928</v>
      </c>
      <c r="C570" s="7" t="s">
        <v>1927</v>
      </c>
      <c r="D570" s="6">
        <v>319200</v>
      </c>
      <c r="E570" s="5">
        <v>7</v>
      </c>
      <c r="F570" s="4" t="str">
        <f ca="1">IFERROR(__xludf.DUMMYFUNCTION("LOWER(REGEXREPLACE(B570&amp;"" ""&amp;C570,""[^а-яa-z0-9 ]"","" ""))")," абор игровой   рта и е  убранство   ематический игровой набор предназначен для сюжетно ролевых игр и знакомства с элементами традиционного быта   озволяет развивать речь  культурные представления  воображение и навыки построения сюжета   онструкция устой"&amp;"чивая  элементы адаптированы для детской игры   атериал  дерево   омплектация  юрта и элементы убранства  по набору  ")</f>
        <v xml:space="preserve"> абор игровой   рта и е  убранство   ематический игровой набор предназначен для сюжетно ролевых игр и знакомства с элементами традиционного быта   озволяет развивать речь  культурные представления  воображение и навыки построения сюжета   онструкция устойчивая  элементы адаптированы для детской игры   атериал  дерево   омплектация  юрта и элементы убранства  по набору  </v>
      </c>
      <c r="G570" s="4" t="str">
        <f ca="1">IFERROR(__xludf.DUMMYFUNCTION("TEXTJOIN(""|"",TRUE,UNIQUE(FILTER(SPLIT(F570,"" ""),LEN(SPLIT(F570,"" ""))&gt;2)))"),"абор|игровой|рта|убранство|ематический|игровой|набор|предназначен|для|сюжетно|ролевых|игр|знакомства|элементами|традиционного|быта|озволяет|развивать|речь|культурные|представления|воображение|навыки|построения|сюжета|онструкция|устойчивая|элементы|адаптир"&amp;"ованы|для|детской|игры|атериал|дерево|омплектация|юрта|элементы|убранства|набору")</f>
        <v>абор|игровой|рта|убранство|ематический|игровой|набор|предназначен|для|сюжетно|ролевых|игр|знакомства|элементами|традиционного|быта|озволяет|развивать|речь|культурные|представления|воображение|навыки|построения|сюжета|онструкция|устойчивая|элементы|адаптированы|для|детской|игры|атериал|дерево|омплектация|юрта|элементы|убранства|набору</v>
      </c>
      <c r="I570" s="1"/>
      <c r="J570" s="1"/>
    </row>
    <row r="571" spans="1:10" x14ac:dyDescent="0.2">
      <c r="A571" s="8" t="s">
        <v>1926</v>
      </c>
      <c r="B571" s="7" t="s">
        <v>1925</v>
      </c>
      <c r="C571" s="7" t="s">
        <v>1924</v>
      </c>
      <c r="D571" s="6">
        <v>23400</v>
      </c>
      <c r="E571" s="5">
        <v>15</v>
      </c>
      <c r="F571" s="4" t="str">
        <f ca="1">IFERROR(__xludf.DUMMYFUNCTION("LOWER(REGEXREPLACE(B571&amp;"" ""&amp;C571,""[^а-яa-z0-9 ]"","" ""))")," абор игровых элементов с бусинами на шнурках  абор включает игровые элементы с бусинами  размещ нными на шнурках  предназначенные для выполнения действий по нанизыванию и сортировке    процессе работы выполняется подбор элементов по форме и цвету  а такж"&amp;"е последовательное перемещение бусин по шнурку   акие действия способствуют развитию мелкой моторики  координации движений и навыков классификации    комплект входит не менее 70 элементов  а также шнурки и сумка для хранения ")</f>
        <v xml:space="preserve"> абор игровых элементов с бусинами на шнурках  абор включает игровые элементы с бусинами  размещ нными на шнурках  предназначенные для выполнения действий по нанизыванию и сортировке    процессе работы выполняется подбор элементов по форме и цвету  а также последовательное перемещение бусин по шнурку   акие действия способствуют развитию мелкой моторики  координации движений и навыков классификации    комплект входит не менее 70 элементов  а также шнурки и сумка для хранения </v>
      </c>
      <c r="G571" s="4" t="str">
        <f ca="1">IFERROR(__xludf.DUMMYFUNCTION("TEXTJOIN(""|"",TRUE,UNIQUE(FILTER(SPLIT(F571,"" ""),LEN(SPLIT(F571,"" ""))&gt;2)))"),"абор|игровых|элементов|бусинами|шнурках|абор|включает|игровые|элементы|бусинами|размещ|нными|шнурках|предназначенные|для|выполнения|действий|нанизыванию|сортировке|процессе|работы|выполняется|подбор|элементов|форме|цвету|также|последовательное|перемещение"&amp;"|бусин|шнурку|акие|действия|способствуют|развитию|мелкой|моторики|координации|движений|навыков|классификации|комплект|входит|менее|элементов|также|шнурки|сумка|для|хранения")</f>
        <v>абор|игровых|элементов|бусинами|шнурках|абор|включает|игровые|элементы|бусинами|размещ|нными|шнурках|предназначенные|для|выполнения|действий|нанизыванию|сортировке|процессе|работы|выполняется|подбор|элементов|форме|цвету|также|последовательное|перемещение|бусин|шнурку|акие|действия|способствуют|развитию|мелкой|моторики|координации|движений|навыков|классификации|комплект|входит|менее|элементов|также|шнурки|сумка|для|хранения</v>
      </c>
      <c r="I571" s="1"/>
      <c r="J571" s="1"/>
    </row>
    <row r="572" spans="1:10" x14ac:dyDescent="0.2">
      <c r="A572" s="8" t="s">
        <v>1923</v>
      </c>
      <c r="B572" s="7" t="s">
        <v>1922</v>
      </c>
      <c r="C572" s="7" t="s">
        <v>1921</v>
      </c>
      <c r="D572" s="6">
        <v>89300</v>
      </c>
      <c r="E572" s="5">
        <v>4</v>
      </c>
      <c r="F572" s="4" t="str">
        <f ca="1">IFERROR(__xludf.DUMMYFUNCTION("LOWER(REGEXREPLACE(B572&amp;"" ""&amp;C572,""[^а-яa-z0-9 ]"","" ""))")," ревно гимнастическое напольное мягкое  имнастическое бревно используется для выполнения упражнений на равновесие и координацию движений   редставляет собой низкую напольную конструкцию с мягким покрытием   ерхняя часть выполнена из деревянного бруса с ам"&amp;"ортизирующим слоем и винилискожей   лина изделия составляет не менее 5 м   онструкция рассчитана на использование в помещениях ")</f>
        <v xml:space="preserve"> ревно гимнастическое напольное мягкое  имнастическое бревно используется для выполнения упражнений на равновесие и координацию движений   редставляет собой низкую напольную конструкцию с мягким покрытием   ерхняя часть выполнена из деревянного бруса с амортизирующим слоем и винилискожей   лина изделия составляет не менее 5 м   онструкция рассчитана на использование в помещениях </v>
      </c>
      <c r="G572" s="4" t="str">
        <f ca="1">IFERROR(__xludf.DUMMYFUNCTION("TEXTJOIN(""|"",TRUE,UNIQUE(FILTER(SPLIT(F572,"" ""),LEN(SPLIT(F572,"" ""))&gt;2)))"),"ревно|гимнастическое|напольное|мягкое|имнастическое|бревно|используется|для|выполнения|упражнений|равновесие|координацию|движений|редставляет|собой|низкую|напольную|конструкцию|мягким|покрытием|ерхняя|часть|выполнена|деревянного|бруса|амортизирующим|слоем"&amp;"|винилискожей|лина|изделия|составляет|менее|онструкция|рассчитана|использование|помещениях")</f>
        <v>ревно|гимнастическое|напольное|мягкое|имнастическое|бревно|используется|для|выполнения|упражнений|равновесие|координацию|движений|редставляет|собой|низкую|напольную|конструкцию|мягким|покрытием|ерхняя|часть|выполнена|деревянного|бруса|амортизирующим|слоем|винилискожей|лина|изделия|составляет|менее|онструкция|рассчитана|использование|помещениях</v>
      </c>
      <c r="I572" s="1"/>
      <c r="J572" s="1"/>
    </row>
    <row r="573" spans="1:10" x14ac:dyDescent="0.2">
      <c r="A573" s="8" t="s">
        <v>1920</v>
      </c>
      <c r="B573" s="7" t="s">
        <v>1919</v>
      </c>
      <c r="C573" s="7" t="s">
        <v>1918</v>
      </c>
      <c r="D573" s="6">
        <v>91200</v>
      </c>
      <c r="E573" s="5">
        <v>7</v>
      </c>
      <c r="F573" s="4" t="str">
        <f ca="1">IFERROR(__xludf.DUMMYFUNCTION("LOWER(REGEXREPLACE(B573&amp;"" ""&amp;C573,""[^а-яa-z0-9 ]"","" ""))")," абор игрушек   ольшие игровые фигурки животных   абор из 46 крупных фигурок животных в контейнере с крышкой   ключает фигурки обитателей океана  домашних животных  животных джунглей  фермы  леса  зоопарка  насекомых  рептилий и амфибий   спользуется для "&amp;"познавательных занятий  сюжетно ролевых игр и изучения окружающего мира ")</f>
        <v xml:space="preserve"> абор игрушек   ольшие игровые фигурки животных   абор из 46 крупных фигурок животных в контейнере с крышкой   ключает фигурки обитателей океана  домашних животных  животных джунглей  фермы  леса  зоопарка  насекомых  рептилий и амфибий   спользуется для познавательных занятий  сюжетно ролевых игр и изучения окружающего мира </v>
      </c>
      <c r="G573" s="4" t="str">
        <f ca="1">IFERROR(__xludf.DUMMYFUNCTION("TEXTJOIN(""|"",TRUE,UNIQUE(FILTER(SPLIT(F573,"" ""),LEN(SPLIT(F573,"" ""))&gt;2)))"),"абор|игрушек|ольшие|игровые|фигурки|животных|абор|крупных|фигурок|животных|контейнере|крышкой|ключает|фигурки|обитателей|океана|домашних|животных|животных|джунглей|фермы|леса|зоопарка|насекомых|рептилий|амфибий|спользуется|для|познавательных|занятий|сюжет"&amp;"но|ролевых|игр|изучения|окружающего|мира")</f>
        <v>абор|игрушек|ольшие|игровые|фигурки|животных|абор|крупных|фигурок|животных|контейнере|крышкой|ключает|фигурки|обитателей|океана|домашних|животных|животных|джунглей|фермы|леса|зоопарка|насекомых|рептилий|амфибий|спользуется|для|познавательных|занятий|сюжетно|ролевых|игр|изучения|окружающего|мира</v>
      </c>
      <c r="I573" s="1"/>
      <c r="J573" s="1"/>
    </row>
    <row r="574" spans="1:10" x14ac:dyDescent="0.2">
      <c r="A574" s="8" t="s">
        <v>1917</v>
      </c>
      <c r="B574" s="7" t="s">
        <v>1916</v>
      </c>
      <c r="C574" s="7" t="s">
        <v>1915</v>
      </c>
      <c r="D574" s="6">
        <v>9500</v>
      </c>
      <c r="E574" s="5">
        <v>1</v>
      </c>
      <c r="F574" s="4" t="str">
        <f ca="1">IFERROR(__xludf.DUMMYFUNCTION("LOWER(REGEXREPLACE(B574&amp;"" ""&amp;C574,""[^а-яa-z0-9 ]"","" ""))")," абор игрушек   тицы   абор фигурок птиц предназначен для познавательных и сюжетно ролевых игр  а также для занятий по ознакомлению с окружающим миром   спользуется для расширения представлений о животном мире  развития речи  классификации и сравнения объ"&amp;"ектов   игурки выполнены в реалистичной форме  удобны для детской руки  подходят для индивидуальной и групповой работы ")</f>
        <v xml:space="preserve"> абор игрушек   тицы   абор фигурок птиц предназначен для познавательных и сюжетно ролевых игр  а также для занятий по ознакомлению с окружающим миром   спользуется для расширения представлений о животном мире  развития речи  классификации и сравнения объектов   игурки выполнены в реалистичной форме  удобны для детской руки  подходят для индивидуальной и групповой работы </v>
      </c>
      <c r="G574" s="4" t="str">
        <f ca="1">IFERROR(__xludf.DUMMYFUNCTION("TEXTJOIN(""|"",TRUE,UNIQUE(FILTER(SPLIT(F574,"" ""),LEN(SPLIT(F574,"" ""))&gt;2)))"),"абор|игрушек|тицы|абор|фигурок|птиц|предназначен|для|познавательных|сюжетно|ролевых|игр|также|для|занятий|ознакомлению|окружающим|миром|спользуется|для|расширения|представлений|животном|мире|развития|речи|классификации|сравнения|объектов|игурки|выполнены|"&amp;"реалистичной|форме|удобны|для|детской|руки|подходят|для|индивидуальной|групповой|работы")</f>
        <v>абор|игрушек|тицы|абор|фигурок|птиц|предназначен|для|познавательных|сюжетно|ролевых|игр|также|для|занятий|ознакомлению|окружающим|миром|спользуется|для|расширения|представлений|животном|мире|развития|речи|классификации|сравнения|объектов|игурки|выполнены|реалистичной|форме|удобны|для|детской|руки|подходят|для|индивидуальной|групповой|работы</v>
      </c>
      <c r="I574" s="1"/>
      <c r="J574" s="1"/>
    </row>
    <row r="575" spans="1:10" x14ac:dyDescent="0.2">
      <c r="A575" s="8" t="s">
        <v>1914</v>
      </c>
      <c r="B575" s="7" t="s">
        <v>1913</v>
      </c>
      <c r="C575" s="7" t="s">
        <v>1912</v>
      </c>
      <c r="D575" s="6">
        <v>23200</v>
      </c>
      <c r="E575" s="5">
        <v>1</v>
      </c>
      <c r="F575" s="4" t="str">
        <f ca="1">IFERROR(__xludf.DUMMYFUNCTION("LOWER(REGEXREPLACE(B575&amp;"" ""&amp;C575,""[^а-яa-z0-9 ]"","" ""))")," абор игрушек для игры с песком  гровой набор предназначен для организации игр с песком в помещении и на открытом воздухе   спользуется для развития мелкой моторики  координации движений  тактильных ощущений и элементарных трудовых навыков   ключает основ"&amp;"ные инструменты для пересыпания  просеивания и переливания песка   лементы набора удобны для детской руки  изготовлены из безопасных материалов  устойчивы к влаге и частому использованию в условиях дошкольного учреждения ")</f>
        <v xml:space="preserve"> абор игрушек для игры с песком  гровой набор предназначен для организации игр с песком в помещении и на открытом воздухе   спользуется для развития мелкой моторики  координации движений  тактильных ощущений и элементарных трудовых навыков   ключает основные инструменты для пересыпания  просеивания и переливания песка   лементы набора удобны для детской руки  изготовлены из безопасных материалов  устойчивы к влаге и частому использованию в условиях дошкольного учреждения </v>
      </c>
      <c r="G575" s="4" t="str">
        <f ca="1">IFERROR(__xludf.DUMMYFUNCTION("TEXTJOIN(""|"",TRUE,UNIQUE(FILTER(SPLIT(F575,"" ""),LEN(SPLIT(F575,"" ""))&gt;2)))"),"абор|игрушек|для|игры|песком|гровой|набор|предназначен|для|организации|игр|песком|помещении|открытом|воздухе|спользуется|для|развития|мелкой|моторики|координации|движений|тактильных|ощущений|элементарных|трудовых|навыков|ключает|основные|инструменты|для|п"&amp;"ересыпания|просеивания|переливания|песка|лементы|набора|удобны|для|детской|руки|изготовлены|безопасных|материалов|устойчивы|влаге|частому|использованию|условиях|дошкольного|учреждения")</f>
        <v>абор|игрушек|для|игры|песком|гровой|набор|предназначен|для|организации|игр|песком|помещении|открытом|воздухе|спользуется|для|развития|мелкой|моторики|координации|движений|тактильных|ощущений|элементарных|трудовых|навыков|ключает|основные|инструменты|для|пересыпания|просеивания|переливания|песка|лементы|набора|удобны|для|детской|руки|изготовлены|безопасных|материалов|устойчивы|влаге|частому|использованию|условиях|дошкольного|учреждения</v>
      </c>
      <c r="I575" s="1"/>
      <c r="J575" s="1"/>
    </row>
    <row r="576" spans="1:10" x14ac:dyDescent="0.2">
      <c r="A576" s="8" t="s">
        <v>1911</v>
      </c>
      <c r="B576" s="7" t="s">
        <v>1910</v>
      </c>
      <c r="C576" s="7" t="s">
        <v>1909</v>
      </c>
      <c r="D576" s="6">
        <v>7200</v>
      </c>
      <c r="E576" s="5">
        <v>35</v>
      </c>
      <c r="F576" s="4" t="str">
        <f ca="1">IFERROR(__xludf.DUMMYFUNCTION("LOWER(REGEXREPLACE(B576&amp;"" ""&amp;C576,""[^а-яa-z0-9 ]"","" ""))")," абор игрушек для песка и воды  омбинированный игровой набор предназначен для игр с песком и водой   спользуется для сенсорного развития  экспериментирования с сыпучими и жидкими материалами  формирования причинно следственных связей и развития познавател"&amp;"ьного интереса   одходит для организации сюжетных и исследовательских игр   атериалы устойчивы к воздействию воды  легко очищаются и безопасны для детей ")</f>
        <v xml:space="preserve"> абор игрушек для песка и воды  омбинированный игровой набор предназначен для игр с песком и водой   спользуется для сенсорного развития  экспериментирования с сыпучими и жидкими материалами  формирования причинно следственных связей и развития познавательного интереса   одходит для организации сюжетных и исследовательских игр   атериалы устойчивы к воздействию воды  легко очищаются и безопасны для детей </v>
      </c>
      <c r="G576" s="4" t="str">
        <f ca="1">IFERROR(__xludf.DUMMYFUNCTION("TEXTJOIN(""|"",TRUE,UNIQUE(FILTER(SPLIT(F576,"" ""),LEN(SPLIT(F576,"" ""))&gt;2)))"),"абор|игрушек|для|песка|воды|омбинированный|игровой|набор|предназначен|для|игр|песком|водой|спользуется|для|сенсорного|развития|экспериментирования|сыпучими|жидкими|материалами|формирования|причинно|следственных|связей|развития|познавательного|интереса|одх"&amp;"одит|для|организации|сюжетных|исследовательских|игр|атериалы|устойчивы|воздействию|воды|легко|очищаются|безопасны|для|детей")</f>
        <v>абор|игрушек|для|песка|воды|омбинированный|игровой|набор|предназначен|для|игр|песком|водой|спользуется|для|сенсорного|развития|экспериментирования|сыпучими|жидкими|материалами|формирования|причинно|следственных|связей|развития|познавательного|интереса|одходит|для|организации|сюжетных|исследовательских|игр|атериалы|устойчивы|воздействию|воды|легко|очищаются|безопасны|для|детей</v>
      </c>
      <c r="I576" s="1"/>
      <c r="J576" s="1"/>
    </row>
    <row r="577" spans="1:10" x14ac:dyDescent="0.2">
      <c r="A577" s="8" t="s">
        <v>1908</v>
      </c>
      <c r="B577" s="7" t="s">
        <v>1907</v>
      </c>
      <c r="C577" s="7" t="s">
        <v>1906</v>
      </c>
      <c r="D577" s="6">
        <v>66500</v>
      </c>
      <c r="E577" s="5">
        <v>21</v>
      </c>
      <c r="F577" s="4" t="str">
        <f ca="1">IFERROR(__xludf.DUMMYFUNCTION("LOWER(REGEXREPLACE(B577&amp;"" ""&amp;C577,""[^а-яa-z0-9 ]"","" ""))")," абор игрушечной посуды  гровой набор предназначен для организации сюжетно ролевых игр бытовой направленности    ухня     емья     афе     спользуется для развития социальных навыков  речи  воображения и навыков взаимодействия   одходит для систематическо"&amp;"го использования в предметно пространственной среде       атериалы безопасны  устойчивы к активной эксплуатации и легко поддаются санитарной обработке ")</f>
        <v xml:space="preserve"> абор игрушечной посуды  гровой набор предназначен для организации сюжетно ролевых игр бытовой направленности    ухня     емья     афе     спользуется для развития социальных навыков  речи  воображения и навыков взаимодействия   одходит для систематического использования в предметно пространственной среде       атериалы безопасны  устойчивы к активной эксплуатации и легко поддаются санитарной обработке </v>
      </c>
      <c r="G577" s="4" t="str">
        <f ca="1">IFERROR(__xludf.DUMMYFUNCTION("TEXTJOIN(""|"",TRUE,UNIQUE(FILTER(SPLIT(F577,"" ""),LEN(SPLIT(F577,"" ""))&gt;2)))"),"абор|игрушечной|посуды|гровой|набор|предназначен|для|организации|сюжетно|ролевых|игр|бытовой|направленности|ухня|емья|афе|спользуется|для|развития|социальных|навыков|речи|воображения|навыков|взаимодействия|одходит|для|систематического|использования|предме"&amp;"тно|пространственной|среде|атериалы|безопасны|устойчивы|активной|эксплуатации|легко|поддаются|санитарной|обработке")</f>
        <v>абор|игрушечной|посуды|гровой|набор|предназначен|для|организации|сюжетно|ролевых|игр|бытовой|направленности|ухня|емья|афе|спользуется|для|развития|социальных|навыков|речи|воображения|навыков|взаимодействия|одходит|для|систематического|использования|предметно|пространственной|среде|атериалы|безопасны|устойчивы|активной|эксплуатации|легко|поддаются|санитарной|обработке</v>
      </c>
      <c r="I577" s="1"/>
      <c r="J577" s="1"/>
    </row>
    <row r="578" spans="1:10" x14ac:dyDescent="0.2">
      <c r="A578" s="8" t="s">
        <v>1905</v>
      </c>
      <c r="B578" s="7" t="s">
        <v>1904</v>
      </c>
      <c r="C578" s="7" t="s">
        <v>1903</v>
      </c>
      <c r="D578" s="6">
        <v>10200</v>
      </c>
      <c r="E578" s="5">
        <v>5</v>
      </c>
      <c r="F578" s="4" t="str">
        <f ca="1">IFERROR(__xludf.DUMMYFUNCTION("LOWER(REGEXREPLACE(B578&amp;"" ""&amp;C578,""[^а-яa-z0-9 ]"","" ""))")," абор игрушечных продуктов   леб   абор муляжей предназначен для сюжетно ролевых игр  моделирования бытовых ситуаций и ознакомления детей с продуктами питания   спользуется в играх   агазин     ухня     емья    пособствует развитию речи  воображения и соц"&amp;"иально коммуникативных навыков   азмер изделий адаптирован для детской руки  материал эластичный и безопасный ")</f>
        <v xml:space="preserve"> абор игрушечных продуктов   леб   абор муляжей предназначен для сюжетно ролевых игр  моделирования бытовых ситуаций и ознакомления детей с продуктами питания   спользуется в играх   агазин     ухня     емья    пособствует развитию речи  воображения и социально коммуникативных навыков   азмер изделий адаптирован для детской руки  материал эластичный и безопасный </v>
      </c>
      <c r="G578" s="4" t="str">
        <f ca="1">IFERROR(__xludf.DUMMYFUNCTION("TEXTJOIN(""|"",TRUE,UNIQUE(FILTER(SPLIT(F578,"" ""),LEN(SPLIT(F578,"" ""))&gt;2)))"),"абор|игрушечных|продуктов|леб|абор|муляжей|предназначен|для|сюжетно|ролевых|игр|моделирования|бытовых|ситуаций|ознакомления|детей|продуктами|питания|спользуется|играх|агазин|ухня|емья|пособствует|развитию|речи|воображения|социально|коммуникативных|навыков"&amp;"|азмер|изделий|адаптирован|для|детской|руки|материал|эластичный|безопасный")</f>
        <v>абор|игрушечных|продуктов|леб|абор|муляжей|предназначен|для|сюжетно|ролевых|игр|моделирования|бытовых|ситуаций|ознакомления|детей|продуктами|питания|спользуется|играх|агазин|ухня|емья|пособствует|развитию|речи|воображения|социально|коммуникативных|навыков|азмер|изделий|адаптирован|для|детской|руки|материал|эластичный|безопасный</v>
      </c>
      <c r="I578" s="1"/>
      <c r="J578" s="1"/>
    </row>
    <row r="579" spans="1:10" x14ac:dyDescent="0.2">
      <c r="A579" s="8" t="s">
        <v>1902</v>
      </c>
      <c r="B579" s="7" t="s">
        <v>1901</v>
      </c>
      <c r="C579" s="7" t="s">
        <v>1900</v>
      </c>
      <c r="D579" s="6">
        <v>4400</v>
      </c>
      <c r="E579" s="5">
        <v>5</v>
      </c>
      <c r="F579" s="4" t="str">
        <f ca="1">IFERROR(__xludf.DUMMYFUNCTION("LOWER(REGEXREPLACE(B579&amp;"" ""&amp;C579,""[^а-яa-z0-9 ]"","" ""))")," абор из 20 игрушечных машинок  гровой набор предназначен для сюжетных  конструктивных и подвижных игр   спользуется для развития воображения  пространственного мышления  координации движений и навыков совместной игры   азнообразие моделей позволяет созда"&amp;"вать игровые сценарии  связанные с транспортом и городской средой   одходит для хранения в контейнере или коробе ")</f>
        <v xml:space="preserve"> абор из 20 игрушечных машинок  гровой набор предназначен для сюжетных  конструктивных и подвижных игр   спользуется для развития воображения  пространственного мышления  координации движений и навыков совместной игры   азнообразие моделей позволяет создавать игровые сценарии  связанные с транспортом и городской средой   одходит для хранения в контейнере или коробе </v>
      </c>
      <c r="G579" s="4" t="str">
        <f ca="1">IFERROR(__xludf.DUMMYFUNCTION("TEXTJOIN(""|"",TRUE,UNIQUE(FILTER(SPLIT(F579,"" ""),LEN(SPLIT(F579,"" ""))&gt;2)))"),"абор|игрушечных|машинок|гровой|набор|предназначен|для|сюжетных|конструктивных|подвижных|игр|спользуется|для|развития|воображения|пространственного|мышления|координации|движений|навыков|совместной|игры|азнообразие|моделей|позволяет|создавать|игровые|сценар"&amp;"ии|связанные|транспортом|городской|средой|одходит|для|хранения|контейнере|или|коробе")</f>
        <v>абор|игрушечных|машинок|гровой|набор|предназначен|для|сюжетных|конструктивных|подвижных|игр|спользуется|для|развития|воображения|пространственного|мышления|координации|движений|навыков|совместной|игры|азнообразие|моделей|позволяет|создавать|игровые|сценарии|связанные|транспортом|городской|средой|одходит|для|хранения|контейнере|или|коробе</v>
      </c>
      <c r="I579" s="1"/>
      <c r="J579" s="1"/>
    </row>
    <row r="580" spans="1:10" x14ac:dyDescent="0.2">
      <c r="A580" s="8" t="s">
        <v>1899</v>
      </c>
      <c r="B580" s="7" t="s">
        <v>1898</v>
      </c>
      <c r="C580" s="7" t="s">
        <v>1897</v>
      </c>
      <c r="D580" s="6">
        <v>43700</v>
      </c>
      <c r="E580" s="5">
        <v>1</v>
      </c>
      <c r="F580" s="4" t="str">
        <f ca="1">IFERROR(__xludf.DUMMYFUNCTION("LOWER(REGEXREPLACE(B580&amp;"" ""&amp;C580,""[^а-яa-z0-9 ]"","" ""))")," абор из двух зеркал для опытов с симметрией  абор предназначен для проведения познавательных и экспериментальных занятий  изучения симметрии и отражения   спользуется в образовательной деятельности и исследовательских играх   онструкция обеспечивает усто"&amp;"йчивую фиксацию зеркал   атериалы безопасны и подходят для использования детьми под контролем педагога ")</f>
        <v xml:space="preserve"> абор из двух зеркал для опытов с симметрией  абор предназначен для проведения познавательных и экспериментальных занятий  изучения симметрии и отражения   спользуется в образовательной деятельности и исследовательских играх   онструкция обеспечивает устойчивую фиксацию зеркал   атериалы безопасны и подходят для использования детьми под контролем педагога </v>
      </c>
      <c r="G580" s="4" t="str">
        <f ca="1">IFERROR(__xludf.DUMMYFUNCTION("TEXTJOIN(""|"",TRUE,UNIQUE(FILTER(SPLIT(F580,"" ""),LEN(SPLIT(F580,"" ""))&gt;2)))"),"абор|двух|зеркал|для|опытов|симметрией|абор|предназначен|для|проведения|познавательных|экспериментальных|занятий|изучения|симметрии|отражения|спользуется|образовательной|деятельности|исследовательских|играх|онструкция|обеспечивает|устойчивую|фиксацию|зерк"&amp;"ал|атериалы|безопасны|подходят|для|использования|детьми|под|контролем|педагога")</f>
        <v>абор|двух|зеркал|для|опытов|симметрией|абор|предназначен|для|проведения|познавательных|экспериментальных|занятий|изучения|симметрии|отражения|спользуется|образовательной|деятельности|исследовательских|играх|онструкция|обеспечивает|устойчивую|фиксацию|зеркал|атериалы|безопасны|подходят|для|использования|детьми|под|контролем|педагога</v>
      </c>
      <c r="I580" s="1"/>
      <c r="J580" s="1"/>
    </row>
    <row r="581" spans="1:10" x14ac:dyDescent="0.2">
      <c r="A581" s="8" t="s">
        <v>1896</v>
      </c>
      <c r="B581" s="7" t="s">
        <v>1895</v>
      </c>
      <c r="C581" s="7" t="s">
        <v>1894</v>
      </c>
      <c r="D581" s="6">
        <v>13600</v>
      </c>
      <c r="E581" s="5">
        <v>5</v>
      </c>
      <c r="F581" s="4" t="str">
        <f ca="1">IFERROR(__xludf.DUMMYFUNCTION("LOWER(REGEXREPLACE(B581&amp;"" ""&amp;C581,""[^а-яa-z0-9 ]"","" ""))")," абор камней   инералы   ознавательный набор предназначен для ознакомления с минералами и основами естественных наук   спользуется в исследовательской деятельности  формирует интерес к геологии и окружающему миру   одходит для демонстраций  опытов и темат"&amp;"ических занятий ")</f>
        <v xml:space="preserve"> абор камней   инералы   ознавательный набор предназначен для ознакомления с минералами и основами естественных наук   спользуется в исследовательской деятельности  формирует интерес к геологии и окружающему миру   одходит для демонстраций  опытов и тематических занятий </v>
      </c>
      <c r="G581" s="4" t="str">
        <f ca="1">IFERROR(__xludf.DUMMYFUNCTION("TEXTJOIN(""|"",TRUE,UNIQUE(FILTER(SPLIT(F581,"" ""),LEN(SPLIT(F581,"" ""))&gt;2)))"),"абор|камней|инералы|ознавательный|набор|предназначен|для|ознакомления|минералами|основами|естественных|наук|спользуется|исследовательской|деятельности|формирует|интерес|геологии|окружающему|миру|одходит|для|демонстраций|опытов|тематических|занятий")</f>
        <v>абор|камней|инералы|ознавательный|набор|предназначен|для|ознакомления|минералами|основами|естественных|наук|спользуется|исследовательской|деятельности|формирует|интерес|геологии|окружающему|миру|одходит|для|демонстраций|опытов|тематических|занятий</v>
      </c>
      <c r="I581" s="1"/>
      <c r="J581" s="1"/>
    </row>
    <row r="582" spans="1:10" x14ac:dyDescent="0.2">
      <c r="A582" s="8" t="s">
        <v>1893</v>
      </c>
      <c r="B582" s="7" t="s">
        <v>1892</v>
      </c>
      <c r="C582" s="7" t="s">
        <v>1891</v>
      </c>
      <c r="D582" s="6">
        <v>20900</v>
      </c>
      <c r="E582" s="5">
        <v>1</v>
      </c>
      <c r="F582" s="4" t="str">
        <f ca="1">IFERROR(__xludf.DUMMYFUNCTION("LOWER(REGEXREPLACE(B582&amp;"" ""&amp;C582,""[^а-яa-z0-9 ]"","" ""))")," абор камней для балансировки  азвивающий набор предназначен для упражнений на равновесие  координацию и развитие крупной моторики   спользуется в подвижных играх и сенсомоторных упражнениях   лементы устойчивы  имеют безопасную форму и подходят для испол"&amp;"ьзования в помещении ")</f>
        <v xml:space="preserve"> абор камней для балансировки  азвивающий набор предназначен для упражнений на равновесие  координацию и развитие крупной моторики   спользуется в подвижных играх и сенсомоторных упражнениях   лементы устойчивы  имеют безопасную форму и подходят для использования в помещении </v>
      </c>
      <c r="G582" s="4" t="str">
        <f ca="1">IFERROR(__xludf.DUMMYFUNCTION("TEXTJOIN(""|"",TRUE,UNIQUE(FILTER(SPLIT(F582,"" ""),LEN(SPLIT(F582,"" ""))&gt;2)))"),"абор|камней|для|балансировки|азвивающий|набор|предназначен|для|упражнений|равновесие|координацию|развитие|крупной|моторики|спользуется|подвижных|играх|сенсомоторных|упражнениях|лементы|устойчивы|имеют|безопасную|форму|подходят|для|использования|помещении")</f>
        <v>абор|камней|для|балансировки|азвивающий|набор|предназначен|для|упражнений|равновесие|координацию|развитие|крупной|моторики|спользуется|подвижных|играх|сенсомоторных|упражнениях|лементы|устойчивы|имеют|безопасную|форму|подходят|для|использования|помещении</v>
      </c>
      <c r="I582" s="1"/>
      <c r="J582" s="1"/>
    </row>
    <row r="583" spans="1:10" x14ac:dyDescent="0.2">
      <c r="A583" s="8" t="s">
        <v>1890</v>
      </c>
      <c r="B583" s="7" t="s">
        <v>1889</v>
      </c>
      <c r="C583" s="7" t="s">
        <v>1888</v>
      </c>
      <c r="D583" s="6">
        <v>9500</v>
      </c>
      <c r="E583" s="5">
        <v>7</v>
      </c>
      <c r="F583" s="4" t="str">
        <f ca="1">IFERROR(__xludf.DUMMYFUNCTION("LOWER(REGEXREPLACE(B583&amp;"" ""&amp;C583,""[^а-яa-z0-9 ]"","" ""))")," абор картонных книг   ивотные   4 шт   абор включает 4 картонные книжки по теме животных   спользуется для чтения коротких текстов и рассматривания иллюстраций   лотные страницы устойчивы к частому перелистыванию   одходит для спокойной деятельности и со"&amp;"вместного чтения ")</f>
        <v xml:space="preserve"> абор картонных книг   ивотные   4 шт   абор включает 4 картонные книжки по теме животных   спользуется для чтения коротких текстов и рассматривания иллюстраций   лотные страницы устойчивы к частому перелистыванию   одходит для спокойной деятельности и совместного чтения </v>
      </c>
      <c r="G583" s="4" t="str">
        <f ca="1">IFERROR(__xludf.DUMMYFUNCTION("TEXTJOIN(""|"",TRUE,UNIQUE(FILTER(SPLIT(F583,"" ""),LEN(SPLIT(F583,"" ""))&gt;2)))"),"абор|картонных|книг|ивотные|абор|включает|картонные|книжки|теме|животных|спользуется|для|чтения|коротких|текстов|рассматривания|иллюстраций|лотные|страницы|устойчивы|частому|перелистыванию|одходит|для|спокойной|деятельности|совместного|чтения")</f>
        <v>абор|картонных|книг|ивотные|абор|включает|картонные|книжки|теме|животных|спользуется|для|чтения|коротких|текстов|рассматривания|иллюстраций|лотные|страницы|устойчивы|частому|перелистыванию|одходит|для|спокойной|деятельности|совместного|чтения</v>
      </c>
      <c r="I583" s="1"/>
      <c r="J583" s="1"/>
    </row>
    <row r="584" spans="1:10" x14ac:dyDescent="0.2">
      <c r="A584" s="8" t="s">
        <v>1887</v>
      </c>
      <c r="B584" s="7" t="s">
        <v>1886</v>
      </c>
      <c r="C584" s="7" t="s">
        <v>1885</v>
      </c>
      <c r="D584" s="6">
        <v>28500</v>
      </c>
      <c r="E584" s="5">
        <v>1</v>
      </c>
      <c r="F584" s="4" t="str">
        <f ca="1">IFERROR(__xludf.DUMMYFUNCTION("LOWER(REGEXREPLACE(B584&amp;"" ""&amp;C584,""[^а-яa-z0-9 ]"","" ""))")," абор карточек   ифры и цвета   идактический набор предназначен для запуска и развития речи  формирования навыков коммуникации и обучения базовым понятиям   спользуется в индивидуальной и групповой логопедической работе   арточки ламинированы  устойчивы к"&amp;" износу и удобны для частого использования ")</f>
        <v xml:space="preserve"> абор карточек   ифры и цвета   идактический набор предназначен для запуска и развития речи  формирования навыков коммуникации и обучения базовым понятиям   спользуется в индивидуальной и групповой логопедической работе   арточки ламинированы  устойчивы к износу и удобны для частого использования </v>
      </c>
      <c r="G584" s="4" t="str">
        <f ca="1">IFERROR(__xludf.DUMMYFUNCTION("TEXTJOIN(""|"",TRUE,UNIQUE(FILTER(SPLIT(F584,"" ""),LEN(SPLIT(F584,"" ""))&gt;2)))"),"абор|карточек|ифры|цвета|идактический|набор|предназначен|для|запуска|развития|речи|формирования|навыков|коммуникации|обучения|базовым|понятиям|спользуется|индивидуальной|групповой|логопедической|работе|арточки|ламинированы|устойчивы|износу|удобны|для|част"&amp;"ого|использования")</f>
        <v>абор|карточек|ифры|цвета|идактический|набор|предназначен|для|запуска|развития|речи|формирования|навыков|коммуникации|обучения|базовым|понятиям|спользуется|индивидуальной|групповой|логопедической|работе|арточки|ламинированы|устойчивы|износу|удобны|для|частого|использования</v>
      </c>
      <c r="I584" s="1"/>
      <c r="J584" s="1"/>
    </row>
    <row r="585" spans="1:10" x14ac:dyDescent="0.2">
      <c r="A585" s="8" t="s">
        <v>1884</v>
      </c>
      <c r="B585" s="7" t="s">
        <v>1883</v>
      </c>
      <c r="C585" s="7" t="s">
        <v>1882</v>
      </c>
      <c r="D585" s="6">
        <v>38700</v>
      </c>
      <c r="E585" s="5">
        <v>5</v>
      </c>
      <c r="F585" s="4" t="str">
        <f ca="1">IFERROR(__xludf.DUMMYFUNCTION("LOWER(REGEXREPLACE(B585&amp;"" ""&amp;C585,""[^а-яa-z0-9 ]"","" ""))")," абор кеглей  гровой набор предназначен для подвижных и координационных игр   спользуется для развития меткости  ловкости  координации движений и командного взаимодействия   одходит для использования в спортивных и игровых зонах     ")</f>
        <v xml:space="preserve"> абор кеглей  гровой набор предназначен для подвижных и координационных игр   спользуется для развития меткости  ловкости  координации движений и командного взаимодействия   одходит для использования в спортивных и игровых зонах     </v>
      </c>
      <c r="G585" s="4" t="str">
        <f ca="1">IFERROR(__xludf.DUMMYFUNCTION("TEXTJOIN(""|"",TRUE,UNIQUE(FILTER(SPLIT(F585,"" ""),LEN(SPLIT(F585,"" ""))&gt;2)))"),"абор|кеглей|гровой|набор|предназначен|для|подвижных|координационных|игр|спользуется|для|развития|меткости|ловкости|координации|движений|командного|взаимодействия|одходит|для|использования|спортивных|игровых|зонах")</f>
        <v>абор|кеглей|гровой|набор|предназначен|для|подвижных|координационных|игр|спользуется|для|развития|меткости|ловкости|координации|движений|командного|взаимодействия|одходит|для|использования|спортивных|игровых|зонах</v>
      </c>
      <c r="I585" s="1"/>
      <c r="J585" s="1"/>
    </row>
    <row r="586" spans="1:10" x14ac:dyDescent="0.2">
      <c r="A586" s="8" t="s">
        <v>1881</v>
      </c>
      <c r="B586" s="7" t="s">
        <v>1880</v>
      </c>
      <c r="C586" s="7" t="s">
        <v>1879</v>
      </c>
      <c r="D586" s="6">
        <v>13700</v>
      </c>
      <c r="E586" s="5">
        <v>5</v>
      </c>
      <c r="F586" s="4" t="str">
        <f ca="1">IFERROR(__xludf.DUMMYFUNCTION("LOWER(REGEXREPLACE(B586&amp;"" ""&amp;C586,""[^а-яa-z0-9 ]"","" ""))")," абор керамических горшков в виде животных  абор предназначен для оформления уголка природы  экологического воспитания и ухода за растениями   спользуется для посадки суккулентов и декоративных растений   аличие дренажных отверстий обеспечивает правильный"&amp;" уход за растениями   орма изделий способствует формированию интереса к природе и эстетического вкуса ")</f>
        <v xml:space="preserve"> абор керамических горшков в виде животных  абор предназначен для оформления уголка природы  экологического воспитания и ухода за растениями   спользуется для посадки суккулентов и декоративных растений   аличие дренажных отверстий обеспечивает правильный уход за растениями   орма изделий способствует формированию интереса к природе и эстетического вкуса </v>
      </c>
      <c r="G586" s="4" t="str">
        <f ca="1">IFERROR(__xludf.DUMMYFUNCTION("TEXTJOIN(""|"",TRUE,UNIQUE(FILTER(SPLIT(F586,"" ""),LEN(SPLIT(F586,"" ""))&gt;2)))"),"абор|керамических|горшков|виде|животных|абор|предназначен|для|оформления|уголка|природы|экологического|воспитания|ухода|растениями|спользуется|для|посадки|суккулентов|декоративных|растений|аличие|дренажных|отверстий|обеспечивает|правильный|уход|растениями"&amp;"|орма|изделий|способствует|формированию|интереса|природе|эстетического|вкуса")</f>
        <v>абор|керамических|горшков|виде|животных|абор|предназначен|для|оформления|уголка|природы|экологического|воспитания|ухода|растениями|спользуется|для|посадки|суккулентов|декоративных|растений|аличие|дренажных|отверстий|обеспечивает|правильный|уход|растениями|орма|изделий|способствует|формированию|интереса|природе|эстетического|вкуса</v>
      </c>
      <c r="I586" s="1"/>
      <c r="J586" s="1"/>
    </row>
    <row r="587" spans="1:10" x14ac:dyDescent="0.2">
      <c r="A587" s="8" t="s">
        <v>1878</v>
      </c>
      <c r="B587" s="7" t="s">
        <v>1877</v>
      </c>
      <c r="C587" s="7" t="s">
        <v>1876</v>
      </c>
      <c r="D587" s="6">
        <v>8300</v>
      </c>
      <c r="E587" s="5">
        <v>7</v>
      </c>
      <c r="F587" s="4" t="str">
        <f ca="1">IFERROR(__xludf.DUMMYFUNCTION("LOWER(REGEXREPLACE(B587&amp;"" ""&amp;C587,""[^а-яa-z0-9 ]"","" ""))")," абор книг для малышей   рохе   6 шт   абор включает 6 книг по темам режимных и эмоциональных ситуаций  укачивание  пробуждение  игры  кормление  купание  утешение    спользуется для чтения и проговаривания коротких текстов   одходит для совместного чтени"&amp;"я и спокойной деятельности   омплект рассчитан на регулярное использование ")</f>
        <v xml:space="preserve"> абор книг для малышей   рохе   6 шт   абор включает 6 книг по темам режимных и эмоциональных ситуаций  укачивание  пробуждение  игры  кормление  купание  утешение    спользуется для чтения и проговаривания коротких текстов   одходит для совместного чтения и спокойной деятельности   омплект рассчитан на регулярное использование </v>
      </c>
      <c r="G587" s="4" t="str">
        <f ca="1">IFERROR(__xludf.DUMMYFUNCTION("TEXTJOIN(""|"",TRUE,UNIQUE(FILTER(SPLIT(F587,"" ""),LEN(SPLIT(F587,"" ""))&gt;2)))"),"абор|книг|для|малышей|рохе|абор|включает|книг|темам|режимных|эмоциональных|ситуаций|укачивание|пробуждение|игры|кормление|купание|утешение|спользуется|для|чтения|проговаривания|коротких|текстов|одходит|для|совместного|чтения|спокойной|деятельности|омплект"&amp;"|рассчитан|регулярное|использование")</f>
        <v>абор|книг|для|малышей|рохе|абор|включает|книг|темам|режимных|эмоциональных|ситуаций|укачивание|пробуждение|игры|кормление|купание|утешение|спользуется|для|чтения|проговаривания|коротких|текстов|одходит|для|совместного|чтения|спокойной|деятельности|омплект|рассчитан|регулярное|использование</v>
      </c>
      <c r="I587" s="1"/>
      <c r="J587" s="1"/>
    </row>
    <row r="588" spans="1:10" x14ac:dyDescent="0.2">
      <c r="A588" s="8" t="s">
        <v>1875</v>
      </c>
      <c r="B588" s="7" t="s">
        <v>1874</v>
      </c>
      <c r="C588" s="7" t="s">
        <v>1873</v>
      </c>
      <c r="D588" s="6">
        <v>7800</v>
      </c>
      <c r="E588" s="5">
        <v>1</v>
      </c>
      <c r="F588" s="4" t="str">
        <f ca="1">IFERROR(__xludf.DUMMYFUNCTION("LOWER(REGEXREPLACE(B588&amp;"" ""&amp;C588,""[^а-яa-z0-9 ]"","" ""))")," абор книг с глазками  абор предназначен для раннего чтения и развития познавательного интереса   спользуется для формирования речи  внимания и эмоционального отклика у детей младшего возраста   ниги выполнены из плотных материалов  удобны для самостоятел"&amp;"ьного рассматривания ")</f>
        <v xml:space="preserve"> абор книг с глазками  абор предназначен для раннего чтения и развития познавательного интереса   спользуется для формирования речи  внимания и эмоционального отклика у детей младшего возраста   ниги выполнены из плотных материалов  удобны для самостоятельного рассматривания </v>
      </c>
      <c r="G588" s="4" t="str">
        <f ca="1">IFERROR(__xludf.DUMMYFUNCTION("TEXTJOIN(""|"",TRUE,UNIQUE(FILTER(SPLIT(F588,"" ""),LEN(SPLIT(F588,"" ""))&gt;2)))"),"абор|книг|глазками|абор|предназначен|для|раннего|чтения|развития|познавательного|интереса|спользуется|для|формирования|речи|внимания|эмоционального|отклика|детей|младшего|возраста|ниги|выполнены|плотных|материалов|удобны|для|самостоятельного|рассматривани"&amp;"я")</f>
        <v>абор|книг|глазками|абор|предназначен|для|раннего|чтения|развития|познавательного|интереса|спользуется|для|формирования|речи|внимания|эмоционального|отклика|детей|младшего|возраста|ниги|выполнены|плотных|материалов|удобны|для|самостоятельного|рассматривания</v>
      </c>
      <c r="I588" s="1"/>
      <c r="J588" s="1"/>
    </row>
    <row r="589" spans="1:10" x14ac:dyDescent="0.2">
      <c r="A589" s="8" t="s">
        <v>1872</v>
      </c>
      <c r="B589" s="7" t="s">
        <v>1871</v>
      </c>
      <c r="C589" s="7" t="s">
        <v>1870</v>
      </c>
      <c r="D589" s="6">
        <v>24900</v>
      </c>
      <c r="E589" s="5">
        <v>5</v>
      </c>
      <c r="F589" s="4" t="str">
        <f ca="1">IFERROR(__xludf.DUMMYFUNCTION("LOWER(REGEXREPLACE(B589&amp;"" ""&amp;C589,""[^а-яa-z0-9 ]"","" ""))")," абор костюма   еловек паук   арнавальный набор предназначен для сюжетно ролевых и театрализованных игр  утренников и праздничных мероприятий   спользуется для развития воображения  эмоциональной выразительности и уверенности в себе   атериалы л гкие и бе"&amp;"зопасные  не сковывают движения реб нка ")</f>
        <v xml:space="preserve"> абор костюма   еловек паук   арнавальный набор предназначен для сюжетно ролевых и театрализованных игр  утренников и праздничных мероприятий   спользуется для развития воображения  эмоциональной выразительности и уверенности в себе   атериалы л гкие и безопасные  не сковывают движения реб нка </v>
      </c>
      <c r="G589" s="4" t="str">
        <f ca="1">IFERROR(__xludf.DUMMYFUNCTION("TEXTJOIN(""|"",TRUE,UNIQUE(FILTER(SPLIT(F589,"" ""),LEN(SPLIT(F589,"" ""))&gt;2)))"),"абор|костюма|еловек|паук|арнавальный|набор|предназначен|для|сюжетно|ролевых|театрализованных|игр|утренников|праздничных|мероприятий|спользуется|для|развития|воображения|эмоциональной|выразительности|уверенности|себе|атериалы|гкие|безопасные|сковывают|движ"&amp;"ения|реб|нка")</f>
        <v>абор|костюма|еловек|паук|арнавальный|набор|предназначен|для|сюжетно|ролевых|театрализованных|игр|утренников|праздничных|мероприятий|спользуется|для|развития|воображения|эмоциональной|выразительности|уверенности|себе|атериалы|гкие|безопасные|сковывают|движения|реб|нка</v>
      </c>
      <c r="I589" s="1"/>
      <c r="J589" s="1"/>
    </row>
    <row r="590" spans="1:10" x14ac:dyDescent="0.2">
      <c r="A590" s="8" t="s">
        <v>1869</v>
      </c>
      <c r="B590" s="7" t="s">
        <v>1868</v>
      </c>
      <c r="C590" s="7" t="s">
        <v>1867</v>
      </c>
      <c r="D590" s="6">
        <v>9500</v>
      </c>
      <c r="E590" s="5">
        <v>2</v>
      </c>
      <c r="F590" s="4" t="str">
        <f ca="1">IFERROR(__xludf.DUMMYFUNCTION("LOWER(REGEXREPLACE(B590&amp;"" ""&amp;C590,""[^а-яa-z0-9 ]"","" ""))")," абор кубиков   лфавит с цифрами   абор деревянных кубиков предназначен для обучения детей алфавиту и цифрам   спользуется для развития логики  памяти  мелкой моторики  навыков сч та и цветоразличения   атериал безопасный  подходит для дошкольного возраст"&amp;"а ")</f>
        <v xml:space="preserve"> абор кубиков   лфавит с цифрами   абор деревянных кубиков предназначен для обучения детей алфавиту и цифрам   спользуется для развития логики  памяти  мелкой моторики  навыков сч та и цветоразличения   атериал безопасный  подходит для дошкольного возраста </v>
      </c>
      <c r="G590" s="4" t="str">
        <f ca="1">IFERROR(__xludf.DUMMYFUNCTION("TEXTJOIN(""|"",TRUE,UNIQUE(FILTER(SPLIT(F590,"" ""),LEN(SPLIT(F590,"" ""))&gt;2)))"),"абор|кубиков|лфавит|цифрами|абор|деревянных|кубиков|предназначен|для|обучения|детей|алфавиту|цифрам|спользуется|для|развития|логики|памяти|мелкой|моторики|навыков|цветоразличения|атериал|безопасный|подходит|для|дошкольного|возраста")</f>
        <v>абор|кубиков|лфавит|цифрами|абор|деревянных|кубиков|предназначен|для|обучения|детей|алфавиту|цифрам|спользуется|для|развития|логики|памяти|мелкой|моторики|навыков|цветоразличения|атериал|безопасный|подходит|для|дошкольного|возраста</v>
      </c>
      <c r="I590" s="1"/>
      <c r="J590" s="1"/>
    </row>
    <row r="591" spans="1:10" x14ac:dyDescent="0.2">
      <c r="A591" s="8" t="s">
        <v>1866</v>
      </c>
      <c r="B591" s="7" t="s">
        <v>1865</v>
      </c>
      <c r="C591" s="7" t="s">
        <v>1864</v>
      </c>
      <c r="D591" s="6">
        <v>81300</v>
      </c>
      <c r="E591" s="5">
        <v>7</v>
      </c>
      <c r="F591" s="4" t="str">
        <f ca="1">IFERROR(__xludf.DUMMYFUNCTION("LOWER(REGEXREPLACE(B591&amp;"" ""&amp;C591,""[^а-яa-z0-9 ]"","" ""))")," абор кукол  семья  7 фигур   гровой набор предназначен для сюжетно ролевых игр семейной тематики   спользуется для моделирования социальных ситуаций  развития речи  эмпатии и воображения   игурки выполнены из дерева  устойчивы и безопасны ")</f>
        <v xml:space="preserve"> абор кукол  семья  7 фигур   гровой набор предназначен для сюжетно ролевых игр семейной тематики   спользуется для моделирования социальных ситуаций  развития речи  эмпатии и воображения   игурки выполнены из дерева  устойчивы и безопасны </v>
      </c>
      <c r="G591" s="4" t="str">
        <f ca="1">IFERROR(__xludf.DUMMYFUNCTION("TEXTJOIN(""|"",TRUE,UNIQUE(FILTER(SPLIT(F591,"" ""),LEN(SPLIT(F591,"" ""))&gt;2)))"),"абор|кукол|семья|фигур|гровой|набор|предназначен|для|сюжетно|ролевых|игр|семейной|тематики|спользуется|для|моделирования|социальных|ситуаций|развития|речи|эмпатии|воображения|игурки|выполнены|дерева|устойчивы|безопасны")</f>
        <v>абор|кукол|семья|фигур|гровой|набор|предназначен|для|сюжетно|ролевых|игр|семейной|тематики|спользуется|для|моделирования|социальных|ситуаций|развития|речи|эмпатии|воображения|игурки|выполнены|дерева|устойчивы|безопасны</v>
      </c>
      <c r="I591" s="1"/>
      <c r="J591" s="1"/>
    </row>
    <row r="592" spans="1:10" x14ac:dyDescent="0.2">
      <c r="A592" s="8" t="s">
        <v>1863</v>
      </c>
      <c r="B592" s="7" t="s">
        <v>1862</v>
      </c>
      <c r="C592" s="7" t="s">
        <v>1861</v>
      </c>
      <c r="D592" s="6">
        <v>6500</v>
      </c>
      <c r="E592" s="5">
        <v>7</v>
      </c>
      <c r="F592" s="4" t="str">
        <f ca="1">IFERROR(__xludf.DUMMYFUNCTION("LOWER(REGEXREPLACE(B592&amp;"" ""&amp;C592,""[^а-яa-z0-9 ]"","" ""))")," абор кукол на шарнирах  абор предназначен для сюжетных и ролевых игр   спользуется для развития мелкой моторики  воображения и навыков взаимодействия   омпактный размер позволяет использовать набор в индивидуальной и групповой игре ")</f>
        <v xml:space="preserve"> абор кукол на шарнирах  абор предназначен для сюжетных и ролевых игр   спользуется для развития мелкой моторики  воображения и навыков взаимодействия   омпактный размер позволяет использовать набор в индивидуальной и групповой игре </v>
      </c>
      <c r="G592" s="4" t="str">
        <f ca="1">IFERROR(__xludf.DUMMYFUNCTION("TEXTJOIN(""|"",TRUE,UNIQUE(FILTER(SPLIT(F592,"" ""),LEN(SPLIT(F592,"" ""))&gt;2)))"),"абор|кукол|шарнирах|абор|предназначен|для|сюжетных|ролевых|игр|спользуется|для|развития|мелкой|моторики|воображения|навыков|взаимодействия|омпактный|размер|позволяет|использовать|набор|индивидуальной|групповой|игре")</f>
        <v>абор|кукол|шарнирах|абор|предназначен|для|сюжетных|ролевых|игр|спользуется|для|развития|мелкой|моторики|воображения|навыков|взаимодействия|омпактный|размер|позволяет|использовать|набор|индивидуальной|групповой|игре</v>
      </c>
      <c r="I592" s="1"/>
      <c r="J592" s="1"/>
    </row>
    <row r="593" spans="1:10" x14ac:dyDescent="0.2">
      <c r="A593" s="8" t="s">
        <v>1860</v>
      </c>
      <c r="B593" s="7" t="s">
        <v>1859</v>
      </c>
      <c r="C593" s="7" t="s">
        <v>1858</v>
      </c>
      <c r="D593" s="6">
        <v>9700</v>
      </c>
      <c r="E593" s="5">
        <v>20</v>
      </c>
      <c r="F593" s="4" t="str">
        <f ca="1">IFERROR(__xludf.DUMMYFUNCTION("LOWER(REGEXREPLACE(B593&amp;"" ""&amp;C593,""[^а-яa-z0-9 ]"","" ""))")," умага цветная для творческих и аппликационных работ  ветная бумага предназначена для выполнения аппликаций  поделок и простых художественных работ   спользуется при вырезании  складывании и комбинировании элементов   абота с бумагой способствует формиров"&amp;"анию аккуратности и координации движений рук    комплект входит не менее 200 листов   лотность бумаги   не менее 80 г м    вета включают ж лтый и фиолетовый ")</f>
        <v xml:space="preserve"> умага цветная для творческих и аппликационных работ  ветная бумага предназначена для выполнения аппликаций  поделок и простых художественных работ   спользуется при вырезании  складывании и комбинировании элементов   абота с бумагой способствует формированию аккуратности и координации движений рук    комплект входит не менее 200 листов   лотность бумаги   не менее 80 г м    вета включают ж лтый и фиолетовый </v>
      </c>
      <c r="G593" s="4" t="str">
        <f ca="1">IFERROR(__xludf.DUMMYFUNCTION("TEXTJOIN(""|"",TRUE,UNIQUE(FILTER(SPLIT(F593,"" ""),LEN(SPLIT(F593,"" ""))&gt;2)))"),"умага|цветная|для|творческих|аппликационных|работ|ветная|бумага|предназначена|для|выполнения|аппликаций|поделок|простых|художественных|работ|спользуется|при|вырезании|складывании|комбинировании|элементов|абота|бумагой|способствует|формированию|аккуратност"&amp;"и|координации|движений|рук|комплект|входит|менее|200|листов|лотность|бумаги|менее|вета|включают|лтый|фиолетовый")</f>
        <v>умага|цветная|для|творческих|аппликационных|работ|ветная|бумага|предназначена|для|выполнения|аппликаций|поделок|простых|художественных|работ|спользуется|при|вырезании|складывании|комбинировании|элементов|абота|бумагой|способствует|формированию|аккуратности|координации|движений|рук|комплект|входит|менее|200|листов|лотность|бумаги|менее|вета|включают|лтый|фиолетовый</v>
      </c>
      <c r="I593" s="1"/>
      <c r="J593" s="1"/>
    </row>
    <row r="594" spans="1:10" x14ac:dyDescent="0.2">
      <c r="A594" s="8" t="s">
        <v>1857</v>
      </c>
      <c r="B594" s="7" t="s">
        <v>1856</v>
      </c>
      <c r="C594" s="7" t="s">
        <v>1855</v>
      </c>
      <c r="D594" s="6">
        <v>9900</v>
      </c>
      <c r="E594" s="5">
        <v>7</v>
      </c>
      <c r="F594" s="4" t="str">
        <f ca="1">IFERROR(__xludf.DUMMYFUNCTION("LOWER(REGEXREPLACE(B594&amp;"" ""&amp;C594,""[^а-яa-z0-9 ]"","" ""))")," абор кукольного театра  еатральный набор предназначен для постановки мини спектаклей и инсценировок   спользуется для развития речи  эмоционального интеллекта  памяти и артистических навыков   одходит для занятий в группе и индивидуальной работы ")</f>
        <v xml:space="preserve"> абор кукольного театра  еатральный набор предназначен для постановки мини спектаклей и инсценировок   спользуется для развития речи  эмоционального интеллекта  памяти и артистических навыков   одходит для занятий в группе и индивидуальной работы </v>
      </c>
      <c r="G594" s="4" t="str">
        <f ca="1">IFERROR(__xludf.DUMMYFUNCTION("TEXTJOIN(""|"",TRUE,UNIQUE(FILTER(SPLIT(F594,"" ""),LEN(SPLIT(F594,"" ""))&gt;2)))"),"абор|кукольного|театра|еатральный|набор|предназначен|для|постановки|мини|спектаклей|инсценировок|спользуется|для|развития|речи|эмоционального|интеллекта|памяти|артистических|навыков|одходит|для|занятий|группе|индивидуальной|работы")</f>
        <v>абор|кукольного|театра|еатральный|набор|предназначен|для|постановки|мини|спектаклей|инсценировок|спользуется|для|развития|речи|эмоционального|интеллекта|памяти|артистических|навыков|одходит|для|занятий|группе|индивидуальной|работы</v>
      </c>
      <c r="I594" s="1"/>
      <c r="J594" s="1"/>
    </row>
    <row r="595" spans="1:10" x14ac:dyDescent="0.2">
      <c r="A595" s="8" t="s">
        <v>1854</v>
      </c>
      <c r="B595" s="7" t="s">
        <v>1853</v>
      </c>
      <c r="C595" s="7" t="s">
        <v>1852</v>
      </c>
      <c r="D595" s="6">
        <v>3800</v>
      </c>
      <c r="E595" s="5">
        <v>5</v>
      </c>
      <c r="F595" s="4" t="str">
        <f ca="1">IFERROR(__xludf.DUMMYFUNCTION("LOWER(REGEXREPLACE(B595&amp;"" ""&amp;C595,""[^а-яa-z0-9 ]"","" ""))")," абор мерных  мкостей   аэстро   абор предназначен для опытов  сенсорных и бытовых игр   спользуется для формирования представлений о количестве  объ ме и мерах   одходит для занятий по экспериментированию и практической деятельности ")</f>
        <v xml:space="preserve"> абор мерных  мкостей   аэстро   абор предназначен для опытов  сенсорных и бытовых игр   спользуется для формирования представлений о количестве  объ ме и мерах   одходит для занятий по экспериментированию и практической деятельности </v>
      </c>
      <c r="G595" s="4" t="str">
        <f ca="1">IFERROR(__xludf.DUMMYFUNCTION("TEXTJOIN(""|"",TRUE,UNIQUE(FILTER(SPLIT(F595,"" ""),LEN(SPLIT(F595,"" ""))&gt;2)))"),"абор|мерных|мкостей|аэстро|абор|предназначен|для|опытов|сенсорных|бытовых|игр|спользуется|для|формирования|представлений|количестве|объ|мерах|одходит|для|занятий|экспериментированию|практической|деятельности")</f>
        <v>абор|мерных|мкостей|аэстро|абор|предназначен|для|опытов|сенсорных|бытовых|игр|спользуется|для|формирования|представлений|количестве|объ|мерах|одходит|для|занятий|экспериментированию|практической|деятельности</v>
      </c>
      <c r="I595" s="1"/>
      <c r="J595" s="1"/>
    </row>
    <row r="596" spans="1:10" x14ac:dyDescent="0.2">
      <c r="A596" s="8" t="s">
        <v>1851</v>
      </c>
      <c r="B596" s="7" t="s">
        <v>1850</v>
      </c>
      <c r="C596" s="7" t="s">
        <v>1849</v>
      </c>
      <c r="D596" s="6">
        <v>49400</v>
      </c>
      <c r="E596" s="5">
        <v>7</v>
      </c>
      <c r="F596" s="4" t="str">
        <f ca="1">IFERROR(__xludf.DUMMYFUNCTION("LOWER(REGEXREPLACE(B596&amp;"" ""&amp;C596,""[^а-яa-z0-9 ]"","" ""))")," абор мини блоков для конструирования  100 элементов  абор мини блоков предназначен для настольного конструирования и создания простых моделей в игровой деятельности детей дошкольного возраста    комплект входит не менее 100 деталей разной формы  обеспечи"&amp;"вающих вариативную сборку  простые постройки  предметы  элементы транспорта    атериал деталей   прочный безопасный пластик  допускающий влажную обработку  поверхность гладкая  без заусенцев и острых кромок   азмер элементов обеспечивает точное соединение"&amp;" и развитие пальцевого захвата  что полезно для тренировки мелкой моторики и координации рук   гра с набором поддерживает развитие пространственного мышления  умения планировать последовательность действий и доводить конструкцию до результата   ля хранени"&amp;"я предусмотрена упаковка контейнер не менее 1 шт   позволяющая поддерживать порядок в группе ")</f>
        <v xml:space="preserve"> абор мини блоков для конструирования  100 элементов  абор мини блоков предназначен для настольного конструирования и создания простых моделей в игровой деятельности детей дошкольного возраста    комплект входит не менее 100 деталей разной формы  обеспечивающих вариативную сборку  простые постройки  предметы  элементы транспорта    атериал деталей   прочный безопасный пластик  допускающий влажную обработку  поверхность гладкая  без заусенцев и острых кромок   азмер элементов обеспечивает точное соединение и развитие пальцевого захвата  что полезно для тренировки мелкой моторики и координации рук   гра с набором поддерживает развитие пространственного мышления  умения планировать последовательность действий и доводить конструкцию до результата   ля хранения предусмотрена упаковка контейнер не менее 1 шт   позволяющая поддерживать порядок в группе </v>
      </c>
      <c r="G596" s="4" t="str">
        <f ca="1">IFERROR(__xludf.DUMMYFUNCTION("TEXTJOIN(""|"",TRUE,UNIQUE(FILTER(SPLIT(F596,"" ""),LEN(SPLIT(F596,"" ""))&gt;2)))"),"абор|мини|блоков|для|конструирования|100|элементов|абор|мини|блоков|предназначен|для|настольного|конструирования|создания|простых|моделей|игровой|деятельности|детей|дошкольного|возраста|комплект|входит|менее|100|деталей|разной|формы|обеспечивающих|вариати"&amp;"вную|сборку|простые|постройки|предметы|элементы|транспорта|атериал|деталей|прочный|безопасный|пластик|допускающий|влажную|обработку|поверхность|гладкая|без|заусенцев|острых|кромок|азмер|элементов|обеспечивает|точное|соединение|развитие|пальцевого|захвата|"&amp;"что|полезно|для|тренировки|мелкой|моторики|координации|рук|гра|набором|поддерживает|развитие|пространственного|мышления|умения|планировать|последовательность|действий|доводить|конструкцию|результата|хранения|предусмотрена|упаковка|контейнер|менее|позволяю"&amp;"щая|поддерживать|порядок|группе")</f>
        <v>абор|мини|блоков|для|конструирования|100|элементов|абор|мини|блоков|предназначен|для|настольного|конструирования|создания|простых|моделей|игровой|деятельности|детей|дошкольного|возраста|комплект|входит|менее|100|деталей|разной|формы|обеспечивающих|вариативную|сборку|простые|постройки|предметы|элементы|транспорта|атериал|деталей|прочный|безопасный|пластик|допускающий|влажную|обработку|поверхность|гладкая|без|заусенцев|острых|кромок|азмер|элементов|обеспечивает|точное|соединение|развитие|пальцевого|захвата|что|полезно|для|тренировки|мелкой|моторики|координации|рук|гра|набором|поддерживает|развитие|пространственного|мышления|умения|планировать|последовательность|действий|доводить|конструкцию|результата|хранения|предусмотрена|упаковка|контейнер|менее|позволяющая|поддерживать|порядок|группе</v>
      </c>
      <c r="I596" s="1"/>
      <c r="J596" s="1"/>
    </row>
    <row r="597" spans="1:10" x14ac:dyDescent="0.2">
      <c r="A597" s="8" t="s">
        <v>1848</v>
      </c>
      <c r="B597" s="7" t="s">
        <v>1847</v>
      </c>
      <c r="C597" s="7" t="s">
        <v>1846</v>
      </c>
      <c r="D597" s="6">
        <v>47700</v>
      </c>
      <c r="E597" s="5">
        <v>1</v>
      </c>
      <c r="F597" s="4" t="str">
        <f ca="1">IFERROR(__xludf.DUMMYFUNCTION("LOWER(REGEXREPLACE(B597&amp;"" ""&amp;C597,""[^а-яa-z0-9 ]"","" ""))")," абор мини домиков для сюжетно ролевых игр  абор мини домиков используется как игровое пособие для построения сюжетов  город    семья    улица    путешествие  и для моделирования жизненных ситуаций    комплект входит не менее 5 домиков различной формы  вы"&amp;"сотой не менее 5 см каждый  чтобы их было удобно держать и переставлять реб нку   атериал   дерево или безопасный пластик с гладкой обработкой поверхности и закругл нными углами   омики применяются в совместных играх  дети распределяют роли  договариваютс"&amp;"я о правилах и выстраивают последовательность событий  что развивает коммуникацию и связную речь   абор помогает формировать пространственные представления  рядом далеко  слева справа   а также навыки организации игрового пространства   ранение возможно в"&amp;" коробке контейнере  пригодном для регулярной санитарной обработки ")</f>
        <v xml:space="preserve"> абор мини домиков для сюжетно ролевых игр  абор мини домиков используется как игровое пособие для построения сюжетов  город    семья    улица    путешествие  и для моделирования жизненных ситуаций    комплект входит не менее 5 домиков различной формы  высотой не менее 5 см каждый  чтобы их было удобно держать и переставлять реб нку   атериал   дерево или безопасный пластик с гладкой обработкой поверхности и закругл нными углами   омики применяются в совместных играх  дети распределяют роли  договариваются о правилах и выстраивают последовательность событий  что развивает коммуникацию и связную речь   абор помогает формировать пространственные представления  рядом далеко  слева справа   а также навыки организации игрового пространства   ранение возможно в коробке контейнере  пригодном для регулярной санитарной обработки </v>
      </c>
      <c r="G597" s="4" t="str">
        <f ca="1">IFERROR(__xludf.DUMMYFUNCTION("TEXTJOIN(""|"",TRUE,UNIQUE(FILTER(SPLIT(F597,"" ""),LEN(SPLIT(F597,"" ""))&gt;2)))"),"абор|мини|домиков|для|сюжетно|ролевых|игр|абор|мини|домиков|используется|как|игровое|пособие|для|построения|сюжетов|город|семья|улица|путешествие|для|моделирования|жизненных|ситуаций|комплект|входит|менее|домиков|различной|формы|высотой|менее|каждый|чтобы"&amp;"|было|удобно|держать|переставлять|реб|нку|атериал|дерево|или|безопасный|пластик|гладкой|обработкой|поверхности|закругл|нными|углами|омики|применяются|совместных|играх|дети|распределяют|роли|договариваются|правилах|выстраивают|последовательность|событий|чт"&amp;"о|развивает|коммуникацию|связную|речь|абор|помогает|формировать|пространственные|представления|рядом|далеко|слева|справа|также|навыки|организации|игрового|пространства|ранение|возможно|коробке|контейнере|пригодном|для|регулярной|санитарной|обработки")</f>
        <v>абор|мини|домиков|для|сюжетно|ролевых|игр|абор|мини|домиков|используется|как|игровое|пособие|для|построения|сюжетов|город|семья|улица|путешествие|для|моделирования|жизненных|ситуаций|комплект|входит|менее|домиков|различной|формы|высотой|менее|каждый|чтобы|было|удобно|держать|переставлять|реб|нку|атериал|дерево|или|безопасный|пластик|гладкой|обработкой|поверхности|закругл|нными|углами|омики|применяются|совместных|играх|дети|распределяют|роли|договариваются|правилах|выстраивают|последовательность|событий|что|развивает|коммуникацию|связную|речь|абор|помогает|формировать|пространственные|представления|рядом|далеко|слева|справа|также|навыки|организации|игрового|пространства|ранение|возможно|коробке|контейнере|пригодном|для|регулярной|санитарной|обработки</v>
      </c>
      <c r="I597" s="1"/>
      <c r="J597" s="1"/>
    </row>
    <row r="598" spans="1:10" x14ac:dyDescent="0.2">
      <c r="A598" s="8" t="s">
        <v>1845</v>
      </c>
      <c r="B598" s="7" t="s">
        <v>1844</v>
      </c>
      <c r="C598" s="7" t="s">
        <v>1843</v>
      </c>
      <c r="D598" s="6">
        <v>4800</v>
      </c>
      <c r="E598" s="5">
        <v>5</v>
      </c>
      <c r="F598" s="4" t="str">
        <f ca="1">IFERROR(__xludf.DUMMYFUNCTION("LOWER(REGEXREPLACE(B598&amp;"" ""&amp;C598,""[^а-яa-z0-9 ]"","" ""))")," абор мини насекомых   абор миниатюрных фигурок предназначен для познавательных занятий  наблюдений и тематических игр   спользуется при изучении окружающего мира  развития речи  внимания и классификационных навыков   игурки безопасны  компактны  удобны д"&amp;"ля демонстрации и самостоятельной игры детьми ")</f>
        <v xml:space="preserve"> абор мини насекомых   абор миниатюрных фигурок предназначен для познавательных занятий  наблюдений и тематических игр   спользуется при изучении окружающего мира  развития речи  внимания и классификационных навыков   игурки безопасны  компактны  удобны для демонстрации и самостоятельной игры детьми </v>
      </c>
      <c r="G598" s="4" t="str">
        <f ca="1">IFERROR(__xludf.DUMMYFUNCTION("TEXTJOIN(""|"",TRUE,UNIQUE(FILTER(SPLIT(F598,"" ""),LEN(SPLIT(F598,"" ""))&gt;2)))"),"абор|мини|насекомых|абор|миниатюрных|фигурок|предназначен|для|познавательных|занятий|наблюдений|тематических|игр|спользуется|при|изучении|окружающего|мира|развития|речи|внимания|классификационных|навыков|игурки|безопасны|компактны|удобны|для|демонстрации|"&amp;"самостоятельной|игры|детьми")</f>
        <v>абор|мини|насекомых|абор|миниатюрных|фигурок|предназначен|для|познавательных|занятий|наблюдений|тематических|игр|спользуется|при|изучении|окружающего|мира|развития|речи|внимания|классификационных|навыков|игурки|безопасны|компактны|удобны|для|демонстрации|самостоятельной|игры|детьми</v>
      </c>
      <c r="I598" s="1"/>
      <c r="J598" s="1"/>
    </row>
    <row r="599" spans="1:10" x14ac:dyDescent="0.2">
      <c r="A599" s="8" t="s">
        <v>1842</v>
      </c>
      <c r="B599" s="7" t="s">
        <v>1841</v>
      </c>
      <c r="C599" s="7" t="s">
        <v>1840</v>
      </c>
      <c r="D599" s="6">
        <v>4500</v>
      </c>
      <c r="E599" s="5">
        <v>4</v>
      </c>
      <c r="F599" s="4" t="str">
        <f ca="1">IFERROR(__xludf.DUMMYFUNCTION("LOWER(REGEXREPLACE(B599&amp;"" ""&amp;C599,""[^а-яa-z0-9 ]"","" ""))")," абор мини фигур человека для ролевых и проективных игр  абор мини фигур человека предназначен для сюжетно ролевых  коммуникативных и проективных игр  семья  детский сад  дружба  правила поведения     комплект входит не менее 5 фигурок и не более 10  высо"&amp;"той не менее 8 см каждая  чтобы их можно было устойчиво размещать на поверхности   атериал   безопасный пластик дерево силикон с гладкими краями  допускающий регулярную очистку   игуры используются для разыгрывания ситуаций  реб нок описывает действия пер"&amp;"сонажей  учится выражать эмоции словами и обсуждать решения   гровые сценарии помогают формировать навыки взаимодействия  понимание социальных ролей и развитие связной речи   абор удобен для занятий с педагогом психологом  так как позволяет мягко обсуждат"&amp;"ь поведение и чувства через персонажей ")</f>
        <v xml:space="preserve"> абор мини фигур человека для ролевых и проективных игр  абор мини фигур человека предназначен для сюжетно ролевых  коммуникативных и проективных игр  семья  детский сад  дружба  правила поведения     комплект входит не менее 5 фигурок и не более 10  высотой не менее 8 см каждая  чтобы их можно было устойчиво размещать на поверхности   атериал   безопасный пластик дерево силикон с гладкими краями  допускающий регулярную очистку   игуры используются для разыгрывания ситуаций  реб нок описывает действия персонажей  учится выражать эмоции словами и обсуждать решения   гровые сценарии помогают формировать навыки взаимодействия  понимание социальных ролей и развитие связной речи   абор удобен для занятий с педагогом психологом  так как позволяет мягко обсуждать поведение и чувства через персонажей </v>
      </c>
      <c r="G599" s="4" t="str">
        <f ca="1">IFERROR(__xludf.DUMMYFUNCTION("TEXTJOIN(""|"",TRUE,UNIQUE(FILTER(SPLIT(F599,"" ""),LEN(SPLIT(F599,"" ""))&gt;2)))"),"абор|мини|фигур|человека|для|ролевых|проективных|игр|абор|мини|фигур|человека|предназначен|для|сюжетно|ролевых|коммуникативных|проективных|игр|семья|детский|сад|дружба|правила|поведения|комплект|входит|менее|фигурок|более|высотой|менее|каждая|чтобы|можно|"&amp;"было|устойчиво|размещать|поверхности|атериал|безопасный|пластик|дерево|силикон|гладкими|краями|допускающий|регулярную|очистку|игуры|используются|для|разыгрывания|ситуаций|реб|нок|описывает|действия|персонажей|учится|выражать|эмоции|словами|обсуждать|решен"&amp;"ия|гровые|сценарии|помогают|формировать|навыки|взаимодействия|понимание|социальных|ролей|развитие|связной|речи|абор|удобен|для|занятий|педагогом|психологом|так|как|позволяет|мягко|обсуждать|поведение|чувства|через|персонажей")</f>
        <v>абор|мини|фигур|человека|для|ролевых|проективных|игр|абор|мини|фигур|человека|предназначен|для|сюжетно|ролевых|коммуникативных|проективных|игр|семья|детский|сад|дружба|правила|поведения|комплект|входит|менее|фигурок|более|высотой|менее|каждая|чтобы|можно|было|устойчиво|размещать|поверхности|атериал|безопасный|пластик|дерево|силикон|гладкими|краями|допускающий|регулярную|очистку|игуры|используются|для|разыгрывания|ситуаций|реб|нок|описывает|действия|персонажей|учится|выражать|эмоции|словами|обсуждать|решения|гровые|сценарии|помогают|формировать|навыки|взаимодействия|понимание|социальных|ролей|развитие|связной|речи|абор|удобен|для|занятий|педагогом|психологом|так|как|позволяет|мягко|обсуждать|поведение|чувства|через|персонажей</v>
      </c>
      <c r="I599" s="1"/>
      <c r="J599" s="1"/>
    </row>
    <row r="600" spans="1:10" x14ac:dyDescent="0.2">
      <c r="A600" s="8" t="s">
        <v>1839</v>
      </c>
      <c r="B600" s="7" t="s">
        <v>1838</v>
      </c>
      <c r="C600" s="7" t="s">
        <v>1837</v>
      </c>
      <c r="D600" s="6">
        <v>34200</v>
      </c>
      <c r="E600" s="5">
        <v>1</v>
      </c>
      <c r="F600" s="4" t="str">
        <f ca="1">IFERROR(__xludf.DUMMYFUNCTION("LOWER(REGEXREPLACE(B600&amp;"" ""&amp;C600,""[^а-яa-z0-9 ]"","" ""))")," абор мини фигурок животных в коробках для игровых и классификационных заданий  абор мини фигурок животных предназначен для сюжетных игр  классификации и тематических занятий  домашние дикие  среда обитания  питание     комплект входит не менее 10 фигурок"&amp;" животных размером не менее 3 см каждая и не более 8 см  удобных для детской руки   игурки выполнены из безопасного пластика дерева  устойчивого к влажной обработке  без острых выступов   аличие отдельных коробочек контейнеров  не менее 1 комплекта для хр"&amp;"анения  упрощает сортировку и приучает реб нка к порядку   каждому животному   сво  место     игре дети составляют истории  описывают признаки и действия животных  что развивает словарь и связную речь   абор также подходит для упражнений на внимание и пам"&amp;"ять  найди пару  назови по описанию  разложи по группам  ")</f>
        <v xml:space="preserve"> абор мини фигурок животных в коробках для игровых и классификационных заданий  абор мини фигурок животных предназначен для сюжетных игр  классификации и тематических занятий  домашние дикие  среда обитания  питание     комплект входит не менее 10 фигурок животных размером не менее 3 см каждая и не более 8 см  удобных для детской руки   игурки выполнены из безопасного пластика дерева  устойчивого к влажной обработке  без острых выступов   аличие отдельных коробочек контейнеров  не менее 1 комплекта для хранения  упрощает сортировку и приучает реб нка к порядку   каждому животному   сво  место     игре дети составляют истории  описывают признаки и действия животных  что развивает словарь и связную речь   абор также подходит для упражнений на внимание и память  найди пару  назови по описанию  разложи по группам  </v>
      </c>
      <c r="G600" s="4" t="str">
        <f ca="1">IFERROR(__xludf.DUMMYFUNCTION("TEXTJOIN(""|"",TRUE,UNIQUE(FILTER(SPLIT(F600,"" ""),LEN(SPLIT(F600,"" ""))&gt;2)))"),"абор|мини|фигурок|животных|коробках|для|игровых|классификационных|заданий|абор|мини|фигурок|животных|предназначен|для|сюжетных|игр|классификации|тематических|занятий|домашние|дикие|среда|обитания|питание|комплект|входит|менее|фигурок|животных|размером|мен"&amp;"ее|каждая|более|удобных|для|детской|руки|игурки|выполнены|безопасного|пластика|дерева|устойчивого|влажной|обработке|без|острых|выступов|аличие|отдельных|коробочек|контейнеров|менее|комплекта|для|хранения|упрощает|сортировку|приучает|реб|нка|порядку|каждом"&amp;"у|животному|сво|место|игре|дети|составляют|истории|описывают|признаки|действия|животных|что|развивает|словарь|связную|речь|абор|также|подходит|для|упражнений|внимание|память|найди|пару|назови|описанию|разложи|группам")</f>
        <v>абор|мини|фигурок|животных|коробках|для|игровых|классификационных|заданий|абор|мини|фигурок|животных|предназначен|для|сюжетных|игр|классификации|тематических|занятий|домашние|дикие|среда|обитания|питание|комплект|входит|менее|фигурок|животных|размером|менее|каждая|более|удобных|для|детской|руки|игурки|выполнены|безопасного|пластика|дерева|устойчивого|влажной|обработке|без|острых|выступов|аличие|отдельных|коробочек|контейнеров|менее|комплекта|для|хранения|упрощает|сортировку|приучает|реб|нка|порядку|каждому|животному|сво|место|игре|дети|составляют|истории|описывают|признаки|действия|животных|что|развивает|словарь|связную|речь|абор|также|подходит|для|упражнений|внимание|память|найди|пару|назови|описанию|разложи|группам</v>
      </c>
      <c r="I600" s="1"/>
      <c r="J600" s="1"/>
    </row>
    <row r="601" spans="1:10" x14ac:dyDescent="0.2">
      <c r="A601" s="8" t="s">
        <v>1836</v>
      </c>
      <c r="B601" s="7" t="s">
        <v>1835</v>
      </c>
      <c r="C601" s="7" t="s">
        <v>1834</v>
      </c>
      <c r="D601" s="6">
        <v>14300</v>
      </c>
      <c r="E601" s="5">
        <v>5</v>
      </c>
      <c r="F601" s="4" t="str">
        <f ca="1">IFERROR(__xludf.DUMMYFUNCTION("LOWER(REGEXREPLACE(B601&amp;"" ""&amp;C601,""[^а-яa-z0-9 ]"","" ""))")," абор миниатюрных фигурок   рофессии   комплект 7 шт   абор миниатюрных фигурок   рофессии  используется для знакомства детей с трудом взрослых и расширения представлений о социальной жизни    комплект входит не менее 7 фигурок  например  повар  доктор  п"&amp;"ожарный  почтальон  полицейский  пилот и др    высотой не менее 5 см каждая   атериал фигур   безопасный полимер       или аналогичный  с гладкой поверхностью и без острых выступов  пригодный для регулярной обработки   игурки применяются в сюжетно ролевых"&amp;" играх  город    службы помощи    больница    кафе   где реб нок учится распределять роли  договариваться и соблюдать правила игры   абор помогает развивать словарь по теме профессий  умение описывать действия и инструменты специалистов   акже подходит дл"&amp;"я дидактических заданий   кто что делает    кому что нужно    что лишнее   что развивает логическое мышление и внимание ")</f>
        <v xml:space="preserve"> абор миниатюрных фигурок   рофессии   комплект 7 шт   абор миниатюрных фигурок   рофессии  используется для знакомства детей с трудом взрослых и расширения представлений о социальной жизни    комплект входит не менее 7 фигурок  например  повар  доктор  пожарный  почтальон  полицейский  пилот и др    высотой не менее 5 см каждая   атериал фигур   безопасный полимер       или аналогичный  с гладкой поверхностью и без острых выступов  пригодный для регулярной обработки   игурки применяются в сюжетно ролевых играх  город    службы помощи    больница    кафе   где реб нок учится распределять роли  договариваться и соблюдать правила игры   абор помогает развивать словарь по теме профессий  умение описывать действия и инструменты специалистов   акже подходит для дидактических заданий   кто что делает    кому что нужно    что лишнее   что развивает логическое мышление и внимание </v>
      </c>
      <c r="G601" s="4" t="str">
        <f ca="1">IFERROR(__xludf.DUMMYFUNCTION("TEXTJOIN(""|"",TRUE,UNIQUE(FILTER(SPLIT(F601,"" ""),LEN(SPLIT(F601,"" ""))&gt;2)))"),"абор|миниатюрных|фигурок|рофессии|комплект|абор|миниатюрных|фигурок|рофессии|используется|для|знакомства|детей|трудом|взрослых|расширения|представлений|социальной|жизни|комплект|входит|менее|фигурок|например|повар|доктор|пожарный|почтальон|полицейский|пил"&amp;"от|высотой|менее|каждая|атериал|фигур|безопасный|полимер|или|аналогичный|гладкой|поверхностью|без|острых|выступов|пригодный|для|регулярной|обработки|игурки|применяются|сюжетно|ролевых|играх|город|службы|помощи|больница|кафе|где|реб|нок|учится|распределять"&amp;"|роли|договариваться|соблюдать|правила|игры|абор|помогает|развивать|словарь|теме|профессий|умение|описывать|действия|инструменты|специалистов|акже|подходит|для|дидактических|заданий|кто|что|делает|кому|что|нужно|что|лишнее|что|развивает|логическое|мышлени"&amp;"е|внимание")</f>
        <v>абор|миниатюрных|фигурок|рофессии|комплект|абор|миниатюрных|фигурок|рофессии|используется|для|знакомства|детей|трудом|взрослых|расширения|представлений|социальной|жизни|комплект|входит|менее|фигурок|например|повар|доктор|пожарный|почтальон|полицейский|пилот|высотой|менее|каждая|атериал|фигур|безопасный|полимер|или|аналогичный|гладкой|поверхностью|без|острых|выступов|пригодный|для|регулярной|обработки|игурки|применяются|сюжетно|ролевых|играх|город|службы|помощи|больница|кафе|где|реб|нок|учится|распределять|роли|договариваться|соблюдать|правила|игры|абор|помогает|развивать|словарь|теме|профессий|умение|описывать|действия|инструменты|специалистов|акже|подходит|для|дидактических|заданий|кто|что|делает|кому|что|нужно|что|лишнее|что|развивает|логическое|мышление|внимание</v>
      </c>
      <c r="I601" s="1"/>
      <c r="J601" s="1"/>
    </row>
    <row r="602" spans="1:10" x14ac:dyDescent="0.2">
      <c r="A602" s="8" t="s">
        <v>1833</v>
      </c>
      <c r="B602" s="7" t="s">
        <v>1832</v>
      </c>
      <c r="C602" s="7" t="s">
        <v>1831</v>
      </c>
      <c r="D602" s="6">
        <v>4900</v>
      </c>
      <c r="E602" s="5">
        <v>5</v>
      </c>
      <c r="F602" s="4" t="str">
        <f ca="1">IFERROR(__xludf.DUMMYFUNCTION("LOWER(REGEXREPLACE(B602&amp;"" ""&amp;C602,""[^а-яa-z0-9 ]"","" ""))")," абор миниатюрных фигурок домашних птиц  ознавательный набор предназначен для ознакомления с животным миром   спользуется в образовательной деятельности  тематических играх и наблюдениях   игурки безопасны и устойчивы к частому использованию ")</f>
        <v xml:space="preserve"> абор миниатюрных фигурок домашних птиц  ознавательный набор предназначен для ознакомления с животным миром   спользуется в образовательной деятельности  тематических играх и наблюдениях   игурки безопасны и устойчивы к частому использованию </v>
      </c>
      <c r="G602" s="4" t="str">
        <f ca="1">IFERROR(__xludf.DUMMYFUNCTION("TEXTJOIN(""|"",TRUE,UNIQUE(FILTER(SPLIT(F602,"" ""),LEN(SPLIT(F602,"" ""))&gt;2)))"),"абор|миниатюрных|фигурок|домашних|птиц|ознавательный|набор|предназначен|для|ознакомления|животным|миром|спользуется|образовательной|деятельности|тематических|играх|наблюдениях|игурки|безопасны|устойчивы|частому|использованию")</f>
        <v>абор|миниатюрных|фигурок|домашних|птиц|ознавательный|набор|предназначен|для|ознакомления|животным|миром|спользуется|образовательной|деятельности|тематических|играх|наблюдениях|игурки|безопасны|устойчивы|частому|использованию</v>
      </c>
      <c r="I602" s="1"/>
      <c r="J602" s="1"/>
    </row>
    <row r="603" spans="1:10" x14ac:dyDescent="0.2">
      <c r="A603" s="8" t="s">
        <v>1830</v>
      </c>
      <c r="B603" s="7" t="s">
        <v>1829</v>
      </c>
      <c r="C603" s="7" t="s">
        <v>1828</v>
      </c>
      <c r="D603" s="6">
        <v>63200</v>
      </c>
      <c r="E603" s="5">
        <v>4</v>
      </c>
      <c r="F603" s="4" t="str">
        <f ca="1">IFERROR(__xludf.DUMMYFUNCTION("LOWER(REGEXREPLACE(B603&amp;"" ""&amp;C603,""[^а-яa-z0-9 ]"","" ""))")," абор мишеней на липучках для метательных упражнений  ишень на липучках предназначена для подвижных игр и упражнений на меткость  координацию и контроль силы броска   омплект включает мишень  основа  диаметром стороной не менее 30 см и набор мягких метате"&amp;"льных элементов  не менее 3 шт   с липучками   атериал основы   плотный текстиль  полиэстер  или аналогичный  устойчивый к многократному креплению и снятию элементов   ишень может крепиться на стену или устанавливаться на опору  обеспечивая безопасную игр"&amp;"овую дистанцию в помещении   гра формирует глазомер  развивает внимание и способность следовать правилам  очередность  подсч т попаданий  соблюдение дистанции    ягкие элементы исключают травмоопасность при случайном падении или промахе при соблюдении пра"&amp;"вил игры ")</f>
        <v xml:space="preserve"> абор мишеней на липучках для метательных упражнений  ишень на липучках предназначена для подвижных игр и упражнений на меткость  координацию и контроль силы броска   омплект включает мишень  основа  диаметром стороной не менее 30 см и набор мягких метательных элементов  не менее 3 шт   с липучками   атериал основы   плотный текстиль  полиэстер  или аналогичный  устойчивый к многократному креплению и снятию элементов   ишень может крепиться на стену или устанавливаться на опору  обеспечивая безопасную игровую дистанцию в помещении   гра формирует глазомер  развивает внимание и способность следовать правилам  очередность  подсч т попаданий  соблюдение дистанции    ягкие элементы исключают травмоопасность при случайном падении или промахе при соблюдении правил игры </v>
      </c>
      <c r="G603" s="4" t="str">
        <f ca="1">IFERROR(__xludf.DUMMYFUNCTION("TEXTJOIN(""|"",TRUE,UNIQUE(FILTER(SPLIT(F603,"" ""),LEN(SPLIT(F603,"" ""))&gt;2)))"),"абор|мишеней|липучках|для|метательных|упражнений|ишень|липучках|предназначена|для|подвижных|игр|упражнений|меткость|координацию|контроль|силы|броска|омплект|включает|мишень|основа|диаметром|стороной|менее|набор|мягких|метательных|элементов|менее|липучками"&amp;"|атериал|основы|плотный|текстиль|полиэстер|или|аналогичный|устойчивый|многократному|креплению|снятию|элементов|ишень|может|крепиться|стену|или|устанавливаться|опору|обеспечивая|безопасную|игровую|дистанцию|помещении|гра|формирует|глазомер|развивает|вниман"&amp;"ие|способность|следовать|правилам|очередность|подсч|попаданий|соблюдение|дистанции|ягкие|элементы|исключают|травмоопасность|при|случайном|падении|или|промахе|при|соблюдении|правил|игры")</f>
        <v>абор|мишеней|липучках|для|метательных|упражнений|ишень|липучках|предназначена|для|подвижных|игр|упражнений|меткость|координацию|контроль|силы|броска|омплект|включает|мишень|основа|диаметром|стороной|менее|набор|мягких|метательных|элементов|менее|липучками|атериал|основы|плотный|текстиль|полиэстер|или|аналогичный|устойчивый|многократному|креплению|снятию|элементов|ишень|может|крепиться|стену|или|устанавливаться|опору|обеспечивая|безопасную|игровую|дистанцию|помещении|гра|формирует|глазомер|развивает|внимание|способность|следовать|правилам|очередность|подсч|попаданий|соблюдение|дистанции|ягкие|элементы|исключают|травмоопасность|при|случайном|падении|или|промахе|при|соблюдении|правил|игры</v>
      </c>
      <c r="I603" s="1"/>
      <c r="J603" s="1"/>
    </row>
    <row r="604" spans="1:10" x14ac:dyDescent="0.2">
      <c r="A604" s="8" t="s">
        <v>1827</v>
      </c>
      <c r="B604" s="7" t="s">
        <v>1826</v>
      </c>
      <c r="C604" s="7" t="s">
        <v>1825</v>
      </c>
      <c r="D604" s="6">
        <v>1800</v>
      </c>
      <c r="E604" s="5">
        <v>25</v>
      </c>
      <c r="F604" s="4" t="str">
        <f ca="1">IFERROR(__xludf.DUMMYFUNCTION("LOWER(REGEXREPLACE(B604&amp;"" ""&amp;C604,""[^а-яa-z0-9 ]"","" ""))")," умага цветная формата  4  ветная бумага используется для выполнения аппликаций  поделок и графических работ   рименяется при вырезании  складывании и комбинировании элементов   одходит для использования с различными изобразительными материалами   оставля"&amp;"ется в формате  4 в виде набора листов ")</f>
        <v xml:space="preserve"> умага цветная формата  4  ветная бумага используется для выполнения аппликаций  поделок и графических работ   рименяется при вырезании  складывании и комбинировании элементов   одходит для использования с различными изобразительными материалами   оставляется в формате  4 в виде набора листов </v>
      </c>
      <c r="G604" s="4" t="str">
        <f ca="1">IFERROR(__xludf.DUMMYFUNCTION("TEXTJOIN(""|"",TRUE,UNIQUE(FILTER(SPLIT(F604,"" ""),LEN(SPLIT(F604,"" ""))&gt;2)))"),"умага|цветная|формата|ветная|бумага|используется|для|выполнения|аппликаций|поделок|графических|работ|рименяется|при|вырезании|складывании|комбинировании|элементов|одходит|для|использования|различными|изобразительными|материалами|оставляется|формате|виде|н"&amp;"абора|листов")</f>
        <v>умага|цветная|формата|ветная|бумага|используется|для|выполнения|аппликаций|поделок|графических|работ|рименяется|при|вырезании|складывании|комбинировании|элементов|одходит|для|использования|различными|изобразительными|материалами|оставляется|формате|виде|набора|листов</v>
      </c>
      <c r="I604" s="1"/>
      <c r="J604" s="1"/>
    </row>
    <row r="605" spans="1:10" x14ac:dyDescent="0.2">
      <c r="A605" s="8" t="s">
        <v>1824</v>
      </c>
      <c r="B605" s="7" t="s">
        <v>1823</v>
      </c>
      <c r="C605" s="7" t="s">
        <v>1822</v>
      </c>
      <c r="D605" s="6">
        <v>39900</v>
      </c>
      <c r="E605" s="5">
        <v>5</v>
      </c>
      <c r="F605" s="4" t="str">
        <f ca="1">IFERROR(__xludf.DUMMYFUNCTION("LOWER(REGEXREPLACE(B605&amp;"" ""&amp;C605,""[^а-яa-z0-9 ]"","" ""))")," абор обучающих игрушек  фетровая доска   бучающий набор предназначен для комплексного развития навыков  речи  мышления  самообслуживания и ориентации в окружающем мире   спользуется в индивидуальной и групповой работе  удобен для путешествий и занятий вн"&amp;"е группы ")</f>
        <v xml:space="preserve"> абор обучающих игрушек  фетровая доска   бучающий набор предназначен для комплексного развития навыков  речи  мышления  самообслуживания и ориентации в окружающем мире   спользуется в индивидуальной и групповой работе  удобен для путешествий и занятий вне группы </v>
      </c>
      <c r="G605" s="4" t="str">
        <f ca="1">IFERROR(__xludf.DUMMYFUNCTION("TEXTJOIN(""|"",TRUE,UNIQUE(FILTER(SPLIT(F605,"" ""),LEN(SPLIT(F605,"" ""))&gt;2)))"),"абор|обучающих|игрушек|фетровая|доска|бучающий|набор|предназначен|для|комплексного|развития|навыков|речи|мышления|самообслуживания|ориентации|окружающем|мире|спользуется|индивидуальной|групповой|работе|удобен|для|путешествий|занятий|вне|группы")</f>
        <v>абор|обучающих|игрушек|фетровая|доска|бучающий|набор|предназначен|для|комплексного|развития|навыков|речи|мышления|самообслуживания|ориентации|окружающем|мире|спользуется|индивидуальной|групповой|работе|удобен|для|путешествий|занятий|вне|группы</v>
      </c>
      <c r="I605" s="1"/>
      <c r="J605" s="1"/>
    </row>
    <row r="606" spans="1:10" x14ac:dyDescent="0.2">
      <c r="A606" s="8" t="s">
        <v>1821</v>
      </c>
      <c r="B606" s="7" t="s">
        <v>1820</v>
      </c>
      <c r="C606" s="7" t="s">
        <v>1819</v>
      </c>
      <c r="D606" s="6">
        <v>19000</v>
      </c>
      <c r="E606" s="5">
        <v>5</v>
      </c>
      <c r="F606" s="4" t="str">
        <f ca="1">IFERROR(__xludf.DUMMYFUNCTION("LOWER(REGEXREPLACE(B606&amp;"" ""&amp;C606,""[^а-яa-z0-9 ]"","" ""))")," абор обучающих карточек   роки экологии   рименяется для формирования экологических представлений  развития познавательного интереса и расширения словарного запаса детей в образовательной деятельности ")</f>
        <v xml:space="preserve"> абор обучающих карточек   роки экологии   рименяется для формирования экологических представлений  развития познавательного интереса и расширения словарного запаса детей в образовательной деятельности </v>
      </c>
      <c r="G606" s="4" t="str">
        <f ca="1">IFERROR(__xludf.DUMMYFUNCTION("TEXTJOIN(""|"",TRUE,UNIQUE(FILTER(SPLIT(F606,"" ""),LEN(SPLIT(F606,"" ""))&gt;2)))"),"абор|обучающих|карточек|роки|экологии|рименяется|для|формирования|экологических|представлений|развития|познавательного|интереса|расширения|словарного|запаса|детей|образовательной|деятельности")</f>
        <v>абор|обучающих|карточек|роки|экологии|рименяется|для|формирования|экологических|представлений|развития|познавательного|интереса|расширения|словарного|запаса|детей|образовательной|деятельности</v>
      </c>
      <c r="I606" s="1"/>
      <c r="J606" s="1"/>
    </row>
    <row r="607" spans="1:10" x14ac:dyDescent="0.2">
      <c r="A607" s="8" t="s">
        <v>1818</v>
      </c>
      <c r="B607" s="7" t="s">
        <v>1817</v>
      </c>
      <c r="C607" s="7" t="s">
        <v>1816</v>
      </c>
      <c r="D607" s="6">
        <v>34000</v>
      </c>
      <c r="E607" s="5">
        <v>10</v>
      </c>
      <c r="F607" s="4" t="str">
        <f ca="1">IFERROR(__xludf.DUMMYFUNCTION("LOWER(REGEXREPLACE(B607&amp;"" ""&amp;C607,""[^а-яa-z0-9 ]"","" ""))")," абор парикмахера детский  южетно ролевой набор предназначен для игр салонной тематики   спользуется для развития мелкой моторики  воображения  эстетического вкуса и коммуникативных навыков   лементы безопасны и адаптированы для детских рук ")</f>
        <v xml:space="preserve"> абор парикмахера детский  южетно ролевой набор предназначен для игр салонной тематики   спользуется для развития мелкой моторики  воображения  эстетического вкуса и коммуникативных навыков   лементы безопасны и адаптированы для детских рук </v>
      </c>
      <c r="G607" s="4" t="str">
        <f ca="1">IFERROR(__xludf.DUMMYFUNCTION("TEXTJOIN(""|"",TRUE,UNIQUE(FILTER(SPLIT(F607,"" ""),LEN(SPLIT(F607,"" ""))&gt;2)))"),"абор|парикмахера|детский|южетно|ролевой|набор|предназначен|для|игр|салонной|тематики|спользуется|для|развития|мелкой|моторики|воображения|эстетического|вкуса|коммуникативных|навыков|лементы|безопасны|адаптированы|для|детских|рук")</f>
        <v>абор|парикмахера|детский|южетно|ролевой|набор|предназначен|для|игр|салонной|тематики|спользуется|для|развития|мелкой|моторики|воображения|эстетического|вкуса|коммуникативных|навыков|лементы|безопасны|адаптированы|для|детских|рук</v>
      </c>
      <c r="I607" s="1"/>
      <c r="J607" s="1"/>
    </row>
    <row r="608" spans="1:10" x14ac:dyDescent="0.2">
      <c r="A608" s="8" t="s">
        <v>1815</v>
      </c>
      <c r="B608" s="7" t="s">
        <v>1814</v>
      </c>
      <c r="C608" s="7" t="s">
        <v>1813</v>
      </c>
      <c r="D608" s="6">
        <v>11400</v>
      </c>
      <c r="E608" s="5">
        <v>1</v>
      </c>
      <c r="F608" s="4" t="str">
        <f ca="1">IFERROR(__xludf.DUMMYFUNCTION("LOWER(REGEXREPLACE(B608&amp;"" ""&amp;C608,""[^а-яa-z0-9 ]"","" ""))")," абор плакатов для малыша  0 3 года   идактический набор предназначен для раннего развития  знакомства с базовыми понятиями и расширения словарного запаса   спользуется в наглядной форме при работе с детьми раннего возраста ")</f>
        <v xml:space="preserve"> абор плакатов для малыша  0 3 года   идактический набор предназначен для раннего развития  знакомства с базовыми понятиями и расширения словарного запаса   спользуется в наглядной форме при работе с детьми раннего возраста </v>
      </c>
      <c r="G608" s="4" t="str">
        <f ca="1">IFERROR(__xludf.DUMMYFUNCTION("TEXTJOIN(""|"",TRUE,UNIQUE(FILTER(SPLIT(F608,"" ""),LEN(SPLIT(F608,"" ""))&gt;2)))"),"абор|плакатов|для|малыша|года|идактический|набор|предназначен|для|раннего|развития|знакомства|базовыми|понятиями|расширения|словарного|запаса|спользуется|наглядной|форме|при|работе|детьми|раннего|возраста")</f>
        <v>абор|плакатов|для|малыша|года|идактический|набор|предназначен|для|раннего|развития|знакомства|базовыми|понятиями|расширения|словарного|запаса|спользуется|наглядной|форме|при|работе|детьми|раннего|возраста</v>
      </c>
      <c r="I608" s="1"/>
      <c r="J608" s="1"/>
    </row>
    <row r="609" spans="1:10" x14ac:dyDescent="0.2">
      <c r="A609" s="8" t="s">
        <v>1812</v>
      </c>
      <c r="B609" s="7" t="s">
        <v>1811</v>
      </c>
      <c r="C609" s="7" t="s">
        <v>1810</v>
      </c>
      <c r="D609" s="6">
        <v>9700</v>
      </c>
      <c r="E609" s="5">
        <v>5</v>
      </c>
      <c r="F609" s="4" t="str">
        <f ca="1">IFERROR(__xludf.DUMMYFUNCTION("LOWER(REGEXREPLACE(B609&amp;"" ""&amp;C609,""[^а-яa-z0-9 ]"","" ""))")," абор повара детский  арнавально игровой набор предназначен для сюжетно ролевых игр  связанных с профессией повара   спользуется для развития социальных навыков  речи и воображения   атериалы л гкие  комфортные и безопасные для детей ")</f>
        <v xml:space="preserve"> абор повара детский  арнавально игровой набор предназначен для сюжетно ролевых игр  связанных с профессией повара   спользуется для развития социальных навыков  речи и воображения   атериалы л гкие  комфортные и безопасные для детей </v>
      </c>
      <c r="G609" s="4" t="str">
        <f ca="1">IFERROR(__xludf.DUMMYFUNCTION("TEXTJOIN(""|"",TRUE,UNIQUE(FILTER(SPLIT(F609,"" ""),LEN(SPLIT(F609,"" ""))&gt;2)))"),"абор|повара|детский|арнавально|игровой|набор|предназначен|для|сюжетно|ролевых|игр|связанных|профессией|повара|спользуется|для|развития|социальных|навыков|речи|воображения|атериалы|гкие|комфортные|безопасные|для|детей")</f>
        <v>абор|повара|детский|арнавально|игровой|набор|предназначен|для|сюжетно|ролевых|игр|связанных|профессией|повара|спользуется|для|развития|социальных|навыков|речи|воображения|атериалы|гкие|комфортные|безопасные|для|детей</v>
      </c>
      <c r="I609" s="1"/>
      <c r="J609" s="1"/>
    </row>
    <row r="610" spans="1:10" x14ac:dyDescent="0.2">
      <c r="A610" s="8" t="s">
        <v>1809</v>
      </c>
      <c r="B610" s="7" t="s">
        <v>1808</v>
      </c>
      <c r="C610" s="7" t="s">
        <v>1807</v>
      </c>
      <c r="D610" s="6">
        <v>28500</v>
      </c>
      <c r="E610" s="5">
        <v>7</v>
      </c>
      <c r="F610" s="4" t="str">
        <f ca="1">IFERROR(__xludf.DUMMYFUNCTION("LOWER(REGEXREPLACE(B610&amp;"" ""&amp;C610,""[^а-яa-z0-9 ]"","" ""))")," абор полезных ископаемых  абор из 4 38 шт  редких кристаллов  камень минерал  кристаллический кластер  отдельный кристаллический минеральный камень  ")</f>
        <v xml:space="preserve"> абор полезных ископаемых  абор из 4 38 шт  редких кристаллов  камень минерал  кристаллический кластер  отдельный кристаллический минеральный камень  </v>
      </c>
      <c r="G610" s="4" t="str">
        <f ca="1">IFERROR(__xludf.DUMMYFUNCTION("TEXTJOIN(""|"",TRUE,UNIQUE(FILTER(SPLIT(F610,"" ""),LEN(SPLIT(F610,"" ""))&gt;2)))"),"абор|полезных|ископаемых|абор|редких|кристаллов|камень|минерал|кристаллический|кластер|отдельный|кристаллический|минеральный|камень")</f>
        <v>абор|полезных|ископаемых|абор|редких|кристаллов|камень|минерал|кристаллический|кластер|отдельный|кристаллический|минеральный|камень</v>
      </c>
      <c r="I610" s="1"/>
      <c r="J610" s="1"/>
    </row>
    <row r="611" spans="1:10" x14ac:dyDescent="0.2">
      <c r="A611" s="8" t="s">
        <v>1806</v>
      </c>
      <c r="B611" s="7" t="s">
        <v>1805</v>
      </c>
      <c r="C611" s="7" t="s">
        <v>1804</v>
      </c>
      <c r="D611" s="6">
        <v>19000</v>
      </c>
      <c r="E611" s="5">
        <v>2</v>
      </c>
      <c r="F611" s="4" t="str">
        <f ca="1">IFERROR(__xludf.DUMMYFUNCTION("LOWER(REGEXREPLACE(B611&amp;"" ""&amp;C611,""[^а-яa-z0-9 ]"","" ""))")," абор посудок  гровой набор посудки  набор чайный   атериал металл ")</f>
        <v xml:space="preserve"> абор посудок  гровой набор посудки  набор чайный   атериал металл </v>
      </c>
      <c r="G611" s="4" t="str">
        <f ca="1">IFERROR(__xludf.DUMMYFUNCTION("TEXTJOIN(""|"",TRUE,UNIQUE(FILTER(SPLIT(F611,"" ""),LEN(SPLIT(F611,"" ""))&gt;2)))"),"абор|посудок|гровой|набор|посудки|набор|чайный|атериал|металл")</f>
        <v>абор|посудок|гровой|набор|посудки|набор|чайный|атериал|металл</v>
      </c>
      <c r="I611" s="1"/>
      <c r="J611" s="1"/>
    </row>
    <row r="612" spans="1:10" x14ac:dyDescent="0.2">
      <c r="A612" s="8" t="s">
        <v>1803</v>
      </c>
      <c r="B612" s="7" t="s">
        <v>1802</v>
      </c>
      <c r="C612" s="7" t="s">
        <v>1801</v>
      </c>
      <c r="D612" s="6">
        <v>14000</v>
      </c>
      <c r="E612" s="5">
        <v>12</v>
      </c>
      <c r="F612" s="4" t="str">
        <f ca="1">IFERROR(__xludf.DUMMYFUNCTION("LOWER(REGEXREPLACE(B612&amp;"" ""&amp;C612,""[^а-яa-z0-9 ]"","" ""))")," абор посуды в коробке  озрастное ограничение 3   материал метал  в наборе 13 предметов  размер упаковки 22 32 9 см  производство  итай ")</f>
        <v xml:space="preserve"> абор посуды в коробке  озрастное ограничение 3   материал метал  в наборе 13 предметов  размер упаковки 22 32 9 см  производство  итай </v>
      </c>
      <c r="G612" s="4" t="str">
        <f ca="1">IFERROR(__xludf.DUMMYFUNCTION("TEXTJOIN(""|"",TRUE,UNIQUE(FILTER(SPLIT(F612,"" ""),LEN(SPLIT(F612,"" ""))&gt;2)))"),"абор|посуды|коробке|озрастное|ограничение|материал|метал|наборе|предметов|размер|упаковки|производство|итай")</f>
        <v>абор|посуды|коробке|озрастное|ограничение|материал|метал|наборе|предметов|размер|упаковки|производство|итай</v>
      </c>
      <c r="I612" s="1"/>
      <c r="J612" s="1"/>
    </row>
    <row r="613" spans="1:10" x14ac:dyDescent="0.2">
      <c r="A613" s="8" t="s">
        <v>1800</v>
      </c>
      <c r="B613" s="7" t="s">
        <v>1799</v>
      </c>
      <c r="C613" s="7" t="s">
        <v>1798</v>
      </c>
      <c r="D613" s="6">
        <v>4200</v>
      </c>
      <c r="E613" s="5">
        <v>14</v>
      </c>
      <c r="F613" s="4" t="str">
        <f ca="1">IFERROR(__xludf.DUMMYFUNCTION("LOWER(REGEXREPLACE(B613&amp;"" ""&amp;C613,""[^а-яa-z0-9 ]"","" ""))")," абор предметных картинок по темам  идактический набор предметных картинок предназначен для использования в образовательной деятельности дошкольного учреждения   рименяется при проведении занятий по развитию речи  формированию словарного запаса  классифик"&amp;"ации предметов и ознакомлению с окружающим миром   спользуется в индивидуальной и групповой работе с детьми   артинки удобны для размещения в предметно пространственной среде      безопасны в эксплуатации и соответствуют требованиям использования в детски"&amp;"х учреждениях ")</f>
        <v xml:space="preserve"> абор предметных картинок по темам  идактический набор предметных картинок предназначен для использования в образовательной деятельности дошкольного учреждения   рименяется при проведении занятий по развитию речи  формированию словарного запаса  классификации предметов и ознакомлению с окружающим миром   спользуется в индивидуальной и групповой работе с детьми   артинки удобны для размещения в предметно пространственной среде      безопасны в эксплуатации и соответствуют требованиям использования в детских учреждениях </v>
      </c>
      <c r="G613" s="4" t="str">
        <f ca="1">IFERROR(__xludf.DUMMYFUNCTION("TEXTJOIN(""|"",TRUE,UNIQUE(FILTER(SPLIT(F613,"" ""),LEN(SPLIT(F613,"" ""))&gt;2)))"),"абор|предметных|картинок|темам|идактический|набор|предметных|картинок|предназначен|для|использования|образовательной|деятельности|дошкольного|учреждения|рименяется|при|проведении|занятий|развитию|речи|формированию|словарного|запаса|классификации|предметов"&amp;"|ознакомлению|окружающим|миром|спользуется|индивидуальной|групповой|работе|детьми|артинки|удобны|для|размещения|предметно|пространственной|среде|безопасны|эксплуатации|соответствуют|требованиям|использования|детских|учреждениях")</f>
        <v>абор|предметных|картинок|темам|идактический|набор|предметных|картинок|предназначен|для|использования|образовательной|деятельности|дошкольного|учреждения|рименяется|при|проведении|занятий|развитию|речи|формированию|словарного|запаса|классификации|предметов|ознакомлению|окружающим|миром|спользуется|индивидуальной|групповой|работе|детьми|артинки|удобны|для|размещения|предметно|пространственной|среде|безопасны|эксплуатации|соответствуют|требованиям|использования|детских|учреждениях</v>
      </c>
      <c r="I613" s="1"/>
      <c r="J613" s="1"/>
    </row>
    <row r="614" spans="1:10" x14ac:dyDescent="0.2">
      <c r="A614" s="8" t="s">
        <v>1797</v>
      </c>
      <c r="B614" s="7" t="s">
        <v>1796</v>
      </c>
      <c r="C614" s="7" t="s">
        <v>1795</v>
      </c>
      <c r="D614" s="6">
        <v>7000</v>
      </c>
      <c r="E614" s="5">
        <v>10</v>
      </c>
      <c r="F614" s="4" t="str">
        <f ca="1">IFERROR(__xludf.DUMMYFUNCTION("LOWER(REGEXREPLACE(B614&amp;"" ""&amp;C614,""[^а-яa-z0-9 ]"","" ""))")," абор принадлежностей для наблюдения за насекомыми и мелкими объектами  бразовательный набор предназначен для проведения опытов и наблюдений с детьми дошкольного возраста   спользуется для изучения насекомых и мелких природных объектов  развития познавате"&amp;"льного интереса  внимания  логического мышления  воображения и мелкой моторики    комплект входят смотровой ящик  ловушка для насекомых  пинцет и инструкция по эксплуатации   се элементы изготовлены из безопасных материалов и подходят для использования по"&amp;"д контролем педагога ")</f>
        <v xml:space="preserve"> абор принадлежностей для наблюдения за насекомыми и мелкими объектами  бразовательный набор предназначен для проведения опытов и наблюдений с детьми дошкольного возраста   спользуется для изучения насекомых и мелких природных объектов  развития познавательного интереса  внимания  логического мышления  воображения и мелкой моторики    комплект входят смотровой ящик  ловушка для насекомых  пинцет и инструкция по эксплуатации   се элементы изготовлены из безопасных материалов и подходят для использования под контролем педагога </v>
      </c>
      <c r="G614" s="4" t="str">
        <f ca="1">IFERROR(__xludf.DUMMYFUNCTION("TEXTJOIN(""|"",TRUE,UNIQUE(FILTER(SPLIT(F614,"" ""),LEN(SPLIT(F614,"" ""))&gt;2)))"),"абор|принадлежностей|для|наблюдения|насекомыми|мелкими|объектами|бразовательный|набор|предназначен|для|проведения|опытов|наблюдений|детьми|дошкольного|возраста|спользуется|для|изучения|насекомых|мелких|природных|объектов|развития|познавательного|интереса|"&amp;"внимания|логического|мышления|воображения|мелкой|моторики|комплект|входят|смотровой|ящик|ловушка|для|насекомых|пинцет|инструкция|эксплуатации|элементы|изготовлены|безопасных|материалов|подходят|для|использования|под|контролем|педагога")</f>
        <v>абор|принадлежностей|для|наблюдения|насекомыми|мелкими|объектами|бразовательный|набор|предназначен|для|проведения|опытов|наблюдений|детьми|дошкольного|возраста|спользуется|для|изучения|насекомых|мелких|природных|объектов|развития|познавательного|интереса|внимания|логического|мышления|воображения|мелкой|моторики|комплект|входят|смотровой|ящик|ловушка|для|насекомых|пинцет|инструкция|эксплуатации|элементы|изготовлены|безопасных|материалов|подходят|для|использования|под|контролем|педагога</v>
      </c>
      <c r="I614" s="1"/>
      <c r="J614" s="1"/>
    </row>
    <row r="615" spans="1:10" x14ac:dyDescent="0.2">
      <c r="A615" s="8" t="s">
        <v>1794</v>
      </c>
      <c r="B615" s="7" t="s">
        <v>1793</v>
      </c>
      <c r="C615" s="7"/>
      <c r="D615" s="6">
        <v>1800</v>
      </c>
      <c r="E615" s="5">
        <v>1</v>
      </c>
      <c r="F615" s="4" t="str">
        <f ca="1">IFERROR(__xludf.DUMMYFUNCTION("LOWER(REGEXREPLACE(B615&amp;"" ""&amp;C615,""[^а-яa-z0-9 ]"","" ""))"),"  з   жаса  оптамасы   абайы а дар   ерия   делай сам    омашние животные из картона ")</f>
        <v xml:space="preserve">  з   жаса  оптамасы   абайы а дар   ерия   делай сам    омашние животные из картона </v>
      </c>
      <c r="G615" s="4" t="str">
        <f ca="1">IFERROR(__xludf.DUMMYFUNCTION("TEXTJOIN(""|"",TRUE,UNIQUE(FILTER(SPLIT(F615,"" ""),LEN(SPLIT(F615,"" ""))&gt;2)))"),"жаса|оптамасы|абайы|дар|ерия|делай|сам|омашние|животные|картона")</f>
        <v>жаса|оптамасы|абайы|дар|ерия|делай|сам|омашние|животные|картона</v>
      </c>
      <c r="I615" s="1"/>
      <c r="J615" s="1"/>
    </row>
    <row r="616" spans="1:10" x14ac:dyDescent="0.2">
      <c r="A616" s="8" t="s">
        <v>1792</v>
      </c>
      <c r="B616" s="7" t="s">
        <v>1791</v>
      </c>
      <c r="C616" s="7"/>
      <c r="D616" s="6">
        <v>1400</v>
      </c>
      <c r="E616" s="5">
        <v>1</v>
      </c>
      <c r="F616" s="4" t="str">
        <f ca="1">IFERROR(__xludf.DUMMYFUNCTION("LOWER(REGEXREPLACE(B616&amp;"" ""&amp;C616,""[^а-яa-z0-9 ]"","" ""))"),"  л мен к  емес    апсырма   к тапша   ерма ")</f>
        <v xml:space="preserve">  л мен к  емес    апсырма   к тапша   ерма </v>
      </c>
      <c r="G616" s="4" t="str">
        <f ca="1">IFERROR(__xludf.DUMMYFUNCTION("TEXTJOIN(""|"",TRUE,UNIQUE(FILTER(SPLIT(F616,"" ""),LEN(SPLIT(F616,"" ""))&gt;2)))"),"мен|емес|апсырма|тапша|ерма")</f>
        <v>мен|емес|апсырма|тапша|ерма</v>
      </c>
      <c r="I616" s="1"/>
      <c r="J616" s="1"/>
    </row>
    <row r="617" spans="1:10" x14ac:dyDescent="0.2">
      <c r="A617" s="8" t="s">
        <v>1790</v>
      </c>
      <c r="B617" s="7" t="s">
        <v>1789</v>
      </c>
      <c r="C617" s="7" t="s">
        <v>1788</v>
      </c>
      <c r="D617" s="6">
        <v>12400</v>
      </c>
      <c r="E617" s="5">
        <v>1</v>
      </c>
      <c r="F617" s="4" t="str">
        <f ca="1">IFERROR(__xludf.DUMMYFUNCTION("LOWER(REGEXREPLACE(B617&amp;"" ""&amp;C617,""[^а-яa-z0-9 ]"","" ""))")," абор пупсов  гровой набор пупсов предназначен для сюжетно ролевых игр детей дошкольного возраста   спользуется для формирования навыков заботы  развития эмоциональной сферы  воображения и коммуникативных умений    набор входят 6 пупсов высотой около 11 с"&amp;"м   уклы выполнены из безопасного пластика  одежда изготовлена из текстильных материалов   одходит для групповых и индивидуальных игр ")</f>
        <v xml:space="preserve"> абор пупсов  гровой набор пупсов предназначен для сюжетно ролевых игр детей дошкольного возраста   спользуется для формирования навыков заботы  развития эмоциональной сферы  воображения и коммуникативных умений    набор входят 6 пупсов высотой около 11 см   уклы выполнены из безопасного пластика  одежда изготовлена из текстильных материалов   одходит для групповых и индивидуальных игр </v>
      </c>
      <c r="G617" s="4" t="str">
        <f ca="1">IFERROR(__xludf.DUMMYFUNCTION("TEXTJOIN(""|"",TRUE,UNIQUE(FILTER(SPLIT(F617,"" ""),LEN(SPLIT(F617,"" ""))&gt;2)))"),"абор|пупсов|гровой|набор|пупсов|предназначен|для|сюжетно|ролевых|игр|детей|дошкольного|возраста|спользуется|для|формирования|навыков|заботы|развития|эмоциональной|сферы|воображения|коммуникативных|умений|набор|входят|пупсов|высотой|около|уклы|выполнены|бе"&amp;"зопасного|пластика|одежда|изготовлена|текстильных|материалов|одходит|для|групповых|индивидуальных|игр")</f>
        <v>абор|пупсов|гровой|набор|пупсов|предназначен|для|сюжетно|ролевых|игр|детей|дошкольного|возраста|спользуется|для|формирования|навыков|заботы|развития|эмоциональной|сферы|воображения|коммуникативных|умений|набор|входят|пупсов|высотой|около|уклы|выполнены|безопасного|пластика|одежда|изготовлена|текстильных|материалов|одходит|для|групповых|индивидуальных|игр</v>
      </c>
      <c r="I617" s="1"/>
      <c r="J617" s="1"/>
    </row>
    <row r="618" spans="1:10" x14ac:dyDescent="0.2">
      <c r="A618" s="8" t="s">
        <v>1787</v>
      </c>
      <c r="B618" s="7" t="s">
        <v>1786</v>
      </c>
      <c r="C618" s="7" t="s">
        <v>1785</v>
      </c>
      <c r="D618" s="6">
        <v>28500</v>
      </c>
      <c r="E618" s="5">
        <v>1</v>
      </c>
      <c r="F618" s="4" t="str">
        <f ca="1">IFERROR(__xludf.DUMMYFUNCTION("LOWER(REGEXREPLACE(B618&amp;"" ""&amp;C618,""[^а-яa-z0-9 ]"","" ""))")," абор стекаемых пластиковых корзин для хранения  рганайзер предназначен для систематизации и хранения игрушек  дидактических материалов и пособий   спользуется в групповых помещениях и кабинетах       орзины компактно складываются  устойчивы  л гкие и без"&amp;"опасные   беспечивают порядок и доступность материалов для детей ")</f>
        <v xml:space="preserve"> абор стекаемых пластиковых корзин для хранения  рганайзер предназначен для систематизации и хранения игрушек  дидактических материалов и пособий   спользуется в групповых помещениях и кабинетах       орзины компактно складываются  устойчивы  л гкие и безопасные   беспечивают порядок и доступность материалов для детей </v>
      </c>
      <c r="G618" s="4" t="str">
        <f ca="1">IFERROR(__xludf.DUMMYFUNCTION("TEXTJOIN(""|"",TRUE,UNIQUE(FILTER(SPLIT(F618,"" ""),LEN(SPLIT(F618,"" ""))&gt;2)))"),"абор|стекаемых|пластиковых|корзин|для|хранения|рганайзер|предназначен|для|систематизации|хранения|игрушек|дидактических|материалов|пособий|спользуется|групповых|помещениях|кабинетах|орзины|компактно|складываются|устойчивы|гкие|безопасные|беспечивают|поряд"&amp;"ок|доступность|материалов|для|детей")</f>
        <v>абор|стекаемых|пластиковых|корзин|для|хранения|рганайзер|предназначен|для|систематизации|хранения|игрушек|дидактических|материалов|пособий|спользуется|групповых|помещениях|кабинетах|орзины|компактно|складываются|устойчивы|гкие|безопасные|беспечивают|порядок|доступность|материалов|для|детей</v>
      </c>
      <c r="I618" s="1"/>
      <c r="J618" s="1"/>
    </row>
    <row r="619" spans="1:10" x14ac:dyDescent="0.2">
      <c r="A619" s="8" t="s">
        <v>1784</v>
      </c>
      <c r="B619" s="7" t="s">
        <v>1783</v>
      </c>
      <c r="C619" s="7" t="s">
        <v>1782</v>
      </c>
      <c r="D619" s="6">
        <v>11400</v>
      </c>
      <c r="E619" s="5">
        <v>7</v>
      </c>
      <c r="F619" s="4" t="str">
        <f ca="1">IFERROR(__xludf.DUMMYFUNCTION("LOWER(REGEXREPLACE(B619&amp;"" ""&amp;C619,""[^а-яa-z0-9 ]"","" ""))")," абор строительных блоков с крупными элементами для конструирования   крупные строительные блоки   абор строительных блоков с крупными элементами для конструирования   спользуется для развития пространственного мышления  логики  мелкой моторики и воображе"&amp;"ния   одходит для самостоятельной и совместной игровой деятельности ")</f>
        <v xml:space="preserve"> абор строительных блоков с крупными элементами для конструирования   крупные строительные блоки   абор строительных блоков с крупными элементами для конструирования   спользуется для развития пространственного мышления  логики  мелкой моторики и воображения   одходит для самостоятельной и совместной игровой деятельности </v>
      </c>
      <c r="G619" s="4" t="str">
        <f ca="1">IFERROR(__xludf.DUMMYFUNCTION("TEXTJOIN(""|"",TRUE,UNIQUE(FILTER(SPLIT(F619,"" ""),LEN(SPLIT(F619,"" ""))&gt;2)))"),"абор|строительных|блоков|крупными|элементами|для|конструирования|крупные|строительные|блоки|абор|строительных|блоков|крупными|элементами|для|конструирования|спользуется|для|развития|пространственного|мышления|логики|мелкой|моторики|воображения|одходит|для"&amp;"|самостоятельной|совместной|игровой|деятельности")</f>
        <v>абор|строительных|блоков|крупными|элементами|для|конструирования|крупные|строительные|блоки|абор|строительных|блоков|крупными|элементами|для|конструирования|спользуется|для|развития|пространственного|мышления|логики|мелкой|моторики|воображения|одходит|для|самостоятельной|совместной|игровой|деятельности</v>
      </c>
      <c r="I619" s="1"/>
      <c r="J619" s="1"/>
    </row>
    <row r="620" spans="1:10" x14ac:dyDescent="0.2">
      <c r="A620" s="8" t="s">
        <v>1781</v>
      </c>
      <c r="B620" s="7" t="s">
        <v>1780</v>
      </c>
      <c r="C620" s="7" t="s">
        <v>1779</v>
      </c>
      <c r="D620" s="6">
        <v>32100</v>
      </c>
      <c r="E620" s="5">
        <v>5</v>
      </c>
      <c r="F620" s="4" t="str">
        <f ca="1">IFERROR(__xludf.DUMMYFUNCTION("LOWER(REGEXREPLACE(B620&amp;"" ""&amp;C620,""[^а-яa-z0-9 ]"","" ""))")," абор супергероев  5 фигурок   гровой набор фигурок предназначен для сюжетно ролевых и творческих игр   спользуется для развития воображения  речи  навыков взаимодействия и проигрывания социальных ситуаций    набор входят 5 статичных фигурок супергероев в"&amp;"ысотой около 12 см  выполненных в ярком цветовом оформлении   одходит для свободной игровой деятельности детей ")</f>
        <v xml:space="preserve"> абор супергероев  5 фигурок   гровой набор фигурок предназначен для сюжетно ролевых и творческих игр   спользуется для развития воображения  речи  навыков взаимодействия и проигрывания социальных ситуаций    набор входят 5 статичных фигурок супергероев высотой около 12 см  выполненных в ярком цветовом оформлении   одходит для свободной игровой деятельности детей </v>
      </c>
      <c r="G620" s="4" t="str">
        <f ca="1">IFERROR(__xludf.DUMMYFUNCTION("TEXTJOIN(""|"",TRUE,UNIQUE(FILTER(SPLIT(F620,"" ""),LEN(SPLIT(F620,"" ""))&gt;2)))"),"абор|супергероев|фигурок|гровой|набор|фигурок|предназначен|для|сюжетно|ролевых|творческих|игр|спользуется|для|развития|воображения|речи|навыков|взаимодействия|проигрывания|социальных|ситуаций|набор|входят|статичных|фигурок|супергероев|высотой|около|выполн"&amp;"енных|ярком|цветовом|оформлении|одходит|для|свободной|игровой|деятельности|детей")</f>
        <v>абор|супергероев|фигурок|гровой|набор|фигурок|предназначен|для|сюжетно|ролевых|творческих|игр|спользуется|для|развития|воображения|речи|навыков|взаимодействия|проигрывания|социальных|ситуаций|набор|входят|статичных|фигурок|супергероев|высотой|около|выполненных|ярком|цветовом|оформлении|одходит|для|свободной|игровой|деятельности|детей</v>
      </c>
      <c r="I620" s="1"/>
      <c r="J620" s="1"/>
    </row>
    <row r="621" spans="1:10" x14ac:dyDescent="0.2">
      <c r="A621" s="8" t="s">
        <v>1778</v>
      </c>
      <c r="B621" s="7" t="s">
        <v>1777</v>
      </c>
      <c r="C621" s="7" t="s">
        <v>1776</v>
      </c>
      <c r="D621" s="6">
        <v>21900</v>
      </c>
      <c r="E621" s="5">
        <v>35</v>
      </c>
      <c r="F621" s="4" t="str">
        <f ca="1">IFERROR(__xludf.DUMMYFUNCTION("LOWER(REGEXREPLACE(B621&amp;"" ""&amp;C621,""[^а-яa-z0-9 ]"","" ""))")," абор транспорта  легковой  грузовой  воздушный  водный  специальный   ематический игровой набор предназначен для использования в образовательной и игровой деятельности дошкольного учреждения   рименяется для ознакомления детей с различными видами транспо"&amp;"рта  развития классификации  логического мышления и сюжетно ролевых навыков   одходит для организации предметно пространственной среды       атериалы и конструкция обеспечивают безопасную и удобную эксплуатацию в детских учреждениях ")</f>
        <v xml:space="preserve"> абор транспорта  легковой  грузовой  воздушный  водный  специальный   ематический игровой набор предназначен для использования в образовательной и игровой деятельности дошкольного учреждения   рименяется для ознакомления детей с различными видами транспорта  развития классификации  логического мышления и сюжетно ролевых навыков   одходит для организации предметно пространственной среды       атериалы и конструкция обеспечивают безопасную и удобную эксплуатацию в детских учреждениях </v>
      </c>
      <c r="G621" s="4" t="str">
        <f ca="1">IFERROR(__xludf.DUMMYFUNCTION("TEXTJOIN(""|"",TRUE,UNIQUE(FILTER(SPLIT(F621,"" ""),LEN(SPLIT(F621,"" ""))&gt;2)))"),"абор|транспорта|легковой|грузовой|воздушный|водный|специальный|ематический|игровой|набор|предназначен|для|использования|образовательной|игровой|деятельности|дошкольного|учреждения|рименяется|для|ознакомления|детей|различными|видами|транспорта|развития|кла"&amp;"ссификации|логического|мышления|сюжетно|ролевых|навыков|одходит|для|организации|предметно|пространственной|среды|атериалы|конструкция|обеспечивают|безопасную|удобную|эксплуатацию|детских|учреждениях")</f>
        <v>абор|транспорта|легковой|грузовой|воздушный|водный|специальный|ематический|игровой|набор|предназначен|для|использования|образовательной|игровой|деятельности|дошкольного|учреждения|рименяется|для|ознакомления|детей|различными|видами|транспорта|развития|классификации|логического|мышления|сюжетно|ролевых|навыков|одходит|для|организации|предметно|пространственной|среды|атериалы|конструкция|обеспечивают|безопасную|удобную|эксплуатацию|детских|учреждениях</v>
      </c>
      <c r="I621" s="1"/>
      <c r="J621" s="1"/>
    </row>
    <row r="622" spans="1:10" x14ac:dyDescent="0.2">
      <c r="A622" s="8" t="s">
        <v>1775</v>
      </c>
      <c r="B622" s="7" t="s">
        <v>1774</v>
      </c>
      <c r="C622" s="7" t="s">
        <v>1773</v>
      </c>
      <c r="D622" s="6">
        <v>38000</v>
      </c>
      <c r="E622" s="5">
        <v>1</v>
      </c>
      <c r="F622" s="4" t="str">
        <f ca="1">IFERROR(__xludf.DUMMYFUNCTION("LOWER(REGEXREPLACE(B622&amp;"" ""&amp;C622,""[^а-яa-z0-9 ]"","" ""))")," абор фигурок животных  фрики   мерики   встралии   вропы и  зии  гровой и обучающий набор фигурок животных предназначен для ознакомления детей с животным миром разных континентов   спользуется в образовательной и сюжетно ролевой деятельности для формиров"&amp;"ания представлений о природе  расширения кругозора  развития речи и воображения   игурки выполнены с реалистичными пропорциями и внешним обликом  удобны для детской руки и безопасны при использовании в условиях дошкольного учреждения ")</f>
        <v xml:space="preserve"> абор фигурок животных  фрики   мерики   встралии   вропы и  зии  гровой и обучающий набор фигурок животных предназначен для ознакомления детей с животным миром разных континентов   спользуется в образовательной и сюжетно ролевой деятельности для формирования представлений о природе  расширения кругозора  развития речи и воображения   игурки выполнены с реалистичными пропорциями и внешним обликом  удобны для детской руки и безопасны при использовании в условиях дошкольного учреждения </v>
      </c>
      <c r="G622" s="4" t="str">
        <f ca="1">IFERROR(__xludf.DUMMYFUNCTION("TEXTJOIN(""|"",TRUE,UNIQUE(FILTER(SPLIT(F622,"" ""),LEN(SPLIT(F622,"" ""))&gt;2)))"),"абор|фигурок|животных|фрики|мерики|встралии|вропы|зии|гровой|обучающий|набор|фигурок|животных|предназначен|для|ознакомления|детей|животным|миром|разных|континентов|спользуется|образовательной|сюжетно|ролевой|деятельности|для|формирования|представлений|при"&amp;"роде|расширения|кругозора|развития|речи|воображения|игурки|выполнены|реалистичными|пропорциями|внешним|обликом|удобны|для|детской|руки|безопасны|при|использовании|условиях|дошкольного|учреждения")</f>
        <v>абор|фигурок|животных|фрики|мерики|встралии|вропы|зии|гровой|обучающий|набор|фигурок|животных|предназначен|для|ознакомления|детей|животным|миром|разных|континентов|спользуется|образовательной|сюжетно|ролевой|деятельности|для|формирования|представлений|природе|расширения|кругозора|развития|речи|воображения|игурки|выполнены|реалистичными|пропорциями|внешним|обликом|удобны|для|детской|руки|безопасны|при|использовании|условиях|дошкольного|учреждения</v>
      </c>
      <c r="I622" s="1"/>
      <c r="J622" s="1"/>
    </row>
    <row r="623" spans="1:10" x14ac:dyDescent="0.2">
      <c r="A623" s="8" t="s">
        <v>1772</v>
      </c>
      <c r="B623" s="7" t="s">
        <v>1771</v>
      </c>
      <c r="C623" s="7" t="s">
        <v>1770</v>
      </c>
      <c r="D623" s="6">
        <v>13100</v>
      </c>
      <c r="E623" s="5">
        <v>2</v>
      </c>
      <c r="F623" s="4" t="str">
        <f ca="1">IFERROR(__xludf.DUMMYFUNCTION("LOWER(REGEXREPLACE(B623&amp;"" ""&amp;C623,""[^а-яa-z0-9 ]"","" ""))")," абор фигурок насекомых с реалистичными изображениями и пропорциями  идактический набор предназначен для изучения мира насекомых в процессе игровых и познавательных занятий   спользуется для развития наблюдательности  внимания  логического мышления и позн"&amp;"авательного интереса    комплект входит 12 статичных фигурок насекомых  выполненных из прочного полимерного материала   одходит для индивидуальной и групповой работы в     ")</f>
        <v xml:space="preserve"> абор фигурок насекомых с реалистичными изображениями и пропорциями  идактический набор предназначен для изучения мира насекомых в процессе игровых и познавательных занятий   спользуется для развития наблюдательности  внимания  логического мышления и познавательного интереса    комплект входит 12 статичных фигурок насекомых  выполненных из прочного полимерного материала   одходит для индивидуальной и групповой работы в     </v>
      </c>
      <c r="G623" s="4" t="str">
        <f ca="1">IFERROR(__xludf.DUMMYFUNCTION("TEXTJOIN(""|"",TRUE,UNIQUE(FILTER(SPLIT(F623,"" ""),LEN(SPLIT(F623,"" ""))&gt;2)))"),"абор|фигурок|насекомых|реалистичными|изображениями|пропорциями|идактический|набор|предназначен|для|изучения|мира|насекомых|процессе|игровых|познавательных|занятий|спользуется|для|развития|наблюдательности|внимания|логического|мышления|познавательного|инте"&amp;"реса|комплект|входит|статичных|фигурок|насекомых|выполненных|прочного|полимерного|материала|одходит|для|индивидуальной|групповой|работы")</f>
        <v>абор|фигурок|насекомых|реалистичными|изображениями|пропорциями|идактический|набор|предназначен|для|изучения|мира|насекомых|процессе|игровых|познавательных|занятий|спользуется|для|развития|наблюдательности|внимания|логического|мышления|познавательного|интереса|комплект|входит|статичных|фигурок|насекомых|выполненных|прочного|полимерного|материала|одходит|для|индивидуальной|групповой|работы</v>
      </c>
      <c r="I623" s="1"/>
      <c r="J623" s="1"/>
    </row>
    <row r="624" spans="1:10" x14ac:dyDescent="0.2">
      <c r="A624" s="8" t="s">
        <v>1769</v>
      </c>
      <c r="B624" s="7" t="s">
        <v>1768</v>
      </c>
      <c r="C624" s="7" t="s">
        <v>1767</v>
      </c>
      <c r="D624" s="6">
        <v>9600</v>
      </c>
      <c r="E624" s="5">
        <v>7</v>
      </c>
      <c r="F624" s="4" t="str">
        <f ca="1">IFERROR(__xludf.DUMMYFUNCTION("LOWER(REGEXREPLACE(B624&amp;"" ""&amp;C624,""[^а-яa-z0-9 ]"","" ""))")," абор яиц  азвивающий набор предназначен для раннего      обучения и сенсорных игр   спользуется для развития логического мышления  навыков сортировки  сопоставления цветов и форм    комплект входят 12 яиц и 12 фигур в 6 различных цветах   лементы безопас"&amp;"ны для детей и подходят для использования в образовательной среде дошкольного учреждения ")</f>
        <v xml:space="preserve"> абор яиц  азвивающий набор предназначен для раннего      обучения и сенсорных игр   спользуется для развития логического мышления  навыков сортировки  сопоставления цветов и форм    комплект входят 12 яиц и 12 фигур в 6 различных цветах   лементы безопасны для детей и подходят для использования в образовательной среде дошкольного учреждения </v>
      </c>
      <c r="G624" s="4" t="str">
        <f ca="1">IFERROR(__xludf.DUMMYFUNCTION("TEXTJOIN(""|"",TRUE,UNIQUE(FILTER(SPLIT(F624,"" ""),LEN(SPLIT(F624,"" ""))&gt;2)))"),"абор|яиц|азвивающий|набор|предназначен|для|раннего|обучения|сенсорных|игр|спользуется|для|развития|логического|мышления|навыков|сортировки|сопоставления|цветов|форм|комплект|входят|яиц|фигур|различных|цветах|лементы|безопасны|для|детей|подходят|для|исполь"&amp;"зования|образовательной|среде|дошкольного|учреждения")</f>
        <v>абор|яиц|азвивающий|набор|предназначен|для|раннего|обучения|сенсорных|игр|спользуется|для|развития|логического|мышления|навыков|сортировки|сопоставления|цветов|форм|комплект|входят|яиц|фигур|различных|цветах|лементы|безопасны|для|детей|подходят|для|использования|образовательной|среде|дошкольного|учреждения</v>
      </c>
      <c r="I624" s="1"/>
      <c r="J624" s="1"/>
    </row>
    <row r="625" spans="1:10" x14ac:dyDescent="0.2">
      <c r="A625" s="8" t="s">
        <v>1766</v>
      </c>
      <c r="B625" s="7" t="s">
        <v>1765</v>
      </c>
      <c r="C625" s="7" t="s">
        <v>1764</v>
      </c>
      <c r="D625" s="6">
        <v>66900</v>
      </c>
      <c r="E625" s="5">
        <v>15</v>
      </c>
      <c r="F625" s="4" t="str">
        <f ca="1">IFERROR(__xludf.DUMMYFUNCTION("LOWER(REGEXREPLACE(B625&amp;"" ""&amp;C625,""[^а-яa-z0-9 ]"","" ""))")," абор конструктор робототехники для изучения простых механизмов  121 предмет   бразовательный набор предназначен для знакомства детей с основами конструирования и простых механизмов   спользуется в развивающих занятиях для формирования инженерного мышлени"&amp;"я  логики  навыков анализа и решения задач    комплект входит 121 элемент  позволяющий собирать различные модели механизмов   одходит для организованной образовательной деятельности под руководством педагога ")</f>
        <v xml:space="preserve"> абор конструктор робототехники для изучения простых механизмов  121 предмет   бразовательный набор предназначен для знакомства детей с основами конструирования и простых механизмов   спользуется в развивающих занятиях для формирования инженерного мышления  логики  навыков анализа и решения задач    комплект входит 121 элемент  позволяющий собирать различные модели механизмов   одходит для организованной образовательной деятельности под руководством педагога </v>
      </c>
      <c r="G625" s="4" t="str">
        <f ca="1">IFERROR(__xludf.DUMMYFUNCTION("TEXTJOIN(""|"",TRUE,UNIQUE(FILTER(SPLIT(F625,"" ""),LEN(SPLIT(F625,"" ""))&gt;2)))"),"абор|конструктор|робототехники|для|изучения|простых|механизмов|121|предмет|бразовательный|набор|предназначен|для|знакомства|детей|основами|конструирования|простых|механизмов|спользуется|развивающих|занятиях|для|формирования|инженерного|мышления|логики|нав"&amp;"ыков|анализа|решения|задач|комплект|входит|121|элемент|позволяющий|собирать|различные|модели|механизмов|одходит|для|организованной|образовательной|деятельности|под|руководством|педагога")</f>
        <v>абор|конструктор|робототехники|для|изучения|простых|механизмов|121|предмет|бразовательный|набор|предназначен|для|знакомства|детей|основами|конструирования|простых|механизмов|спользуется|развивающих|занятиях|для|формирования|инженерного|мышления|логики|навыков|анализа|решения|задач|комплект|входит|121|элемент|позволяющий|собирать|различные|модели|механизмов|одходит|для|организованной|образовательной|деятельности|под|руководством|педагога</v>
      </c>
      <c r="I625" s="1"/>
      <c r="J625" s="1"/>
    </row>
    <row r="626" spans="1:10" x14ac:dyDescent="0.2">
      <c r="A626" s="8" t="s">
        <v>1763</v>
      </c>
      <c r="B626" s="7" t="s">
        <v>1762</v>
      </c>
      <c r="C626" s="7" t="s">
        <v>1761</v>
      </c>
      <c r="D626" s="6">
        <v>3400</v>
      </c>
      <c r="E626" s="5">
        <v>7</v>
      </c>
      <c r="F626" s="4" t="str">
        <f ca="1">IFERROR(__xludf.DUMMYFUNCTION("LOWER(REGEXREPLACE(B626&amp;"" ""&amp;C626,""[^а-яa-z0-9 ]"","" ""))")," аглядный материал   артотека предметных картинок   рукты и овощи   особие используется для занятий по лексическим темам   рукты  и   вощи    ключает предметные изображения  которые применяются для называния  классификации и описания   атериал дополняется"&amp;" заданиями  загадки  игры   что позволяет проводить упражнения разной сложности   одходит для индивидуальной и подгрупповой работы   спользуется как демонстрационный и раздаточный материал ")</f>
        <v xml:space="preserve"> аглядный материал   артотека предметных картинок   рукты и овощи   особие используется для занятий по лексическим темам   рукты  и   вощи    ключает предметные изображения  которые применяются для называния  классификации и описания   атериал дополняется заданиями  загадки  игры   что позволяет проводить упражнения разной сложности   одходит для индивидуальной и подгрупповой работы   спользуется как демонстрационный и раздаточный материал </v>
      </c>
      <c r="G626" s="4" t="str">
        <f ca="1">IFERROR(__xludf.DUMMYFUNCTION("TEXTJOIN(""|"",TRUE,UNIQUE(FILTER(SPLIT(F626,"" ""),LEN(SPLIT(F626,"" ""))&gt;2)))"),"аглядный|материал|артотека|предметных|картинок|рукты|овощи|особие|используется|для|занятий|лексическим|темам|рукты|вощи|ключает|предметные|изображения|которые|применяются|для|называния|классификации|описания|атериал|дополняется|заданиями|загадки|игры|что|"&amp;"позволяет|проводить|упражнения|разной|сложности|одходит|для|индивидуальной|подгрупповой|работы|спользуется|как|демонстрационный|раздаточный|материал")</f>
        <v>аглядный|материал|артотека|предметных|картинок|рукты|овощи|особие|используется|для|занятий|лексическим|темам|рукты|вощи|ключает|предметные|изображения|которые|применяются|для|называния|классификации|описания|атериал|дополняется|заданиями|загадки|игры|что|позволяет|проводить|упражнения|разной|сложности|одходит|для|индивидуальной|подгрупповой|работы|спользуется|как|демонстрационный|раздаточный|материал</v>
      </c>
      <c r="I626" s="1"/>
      <c r="J626" s="1"/>
    </row>
    <row r="627" spans="1:10" x14ac:dyDescent="0.2">
      <c r="A627" s="8" t="s">
        <v>1760</v>
      </c>
      <c r="B627" s="7" t="s">
        <v>1759</v>
      </c>
      <c r="C627" s="7" t="s">
        <v>1758</v>
      </c>
      <c r="D627" s="6">
        <v>8000</v>
      </c>
      <c r="E627" s="5">
        <v>1</v>
      </c>
      <c r="F627" s="4" t="str">
        <f ca="1">IFERROR(__xludf.DUMMYFUNCTION("LOWER(REGEXREPLACE(B627&amp;"" ""&amp;C627,""[^а-яa-z0-9 ]"","" ""))"),"  л  те о ай   ызы ты химия    инстон")</f>
        <v xml:space="preserve">  л  те о ай   ызы ты химия    инстон</v>
      </c>
      <c r="G627" s="4" t="str">
        <f ca="1">IFERROR(__xludf.DUMMYFUNCTION("TEXTJOIN(""|"",TRUE,UNIQUE(FILTER(SPLIT(F627,"" ""),LEN(SPLIT(F627,"" ""))&gt;2)))"),"ызы|химия|инстон")</f>
        <v>ызы|химия|инстон</v>
      </c>
      <c r="I627" s="1"/>
      <c r="J627" s="1"/>
    </row>
    <row r="628" spans="1:10" x14ac:dyDescent="0.2">
      <c r="A628" s="8" t="s">
        <v>1757</v>
      </c>
      <c r="B628" s="7" t="s">
        <v>1756</v>
      </c>
      <c r="C628" s="7" t="s">
        <v>1755</v>
      </c>
      <c r="D628" s="6">
        <v>1300</v>
      </c>
      <c r="E628" s="5">
        <v>25</v>
      </c>
      <c r="F628" s="4" t="str">
        <f ca="1">IFERROR(__xludf.DUMMYFUNCTION("LOWER(REGEXREPLACE(B628&amp;"" ""&amp;C628,""[^а-яa-z0-9 ]"","" ""))")," ап рстки  етские нап рстки предназначены для использования в занятиях по ручному труду  шитью и развитию мелкой моторики   спользуются для защиты пальцев и формирования навыков аккуратной работы с иглой и нитками   одходят для применения в кружковой и тв"&amp;"орческой деятельности в     ")</f>
        <v xml:space="preserve"> ап рстки  етские нап рстки предназначены для использования в занятиях по ручному труду  шитью и развитию мелкой моторики   спользуются для защиты пальцев и формирования навыков аккуратной работы с иглой и нитками   одходят для применения в кружковой и творческой деятельности в     </v>
      </c>
      <c r="G628" s="4" t="str">
        <f ca="1">IFERROR(__xludf.DUMMYFUNCTION("TEXTJOIN(""|"",TRUE,UNIQUE(FILTER(SPLIT(F628,"" ""),LEN(SPLIT(F628,"" ""))&gt;2)))"),"рстки|етские|нап|рстки|предназначены|для|использования|занятиях|ручному|труду|шитью|развитию|мелкой|моторики|спользуются|для|защиты|пальцев|формирования|навыков|аккуратной|работы|иглой|нитками|одходят|для|применения|кружковой|творческой|деятельности")</f>
        <v>рстки|етские|нап|рстки|предназначены|для|использования|занятиях|ручному|труду|шитью|развитию|мелкой|моторики|спользуются|для|защиты|пальцев|формирования|навыков|аккуратной|работы|иглой|нитками|одходят|для|применения|кружковой|творческой|деятельности</v>
      </c>
      <c r="I628" s="1"/>
      <c r="J628" s="1"/>
    </row>
    <row r="629" spans="1:10" x14ac:dyDescent="0.2">
      <c r="A629" s="8" t="s">
        <v>1754</v>
      </c>
      <c r="B629" s="7" t="s">
        <v>1753</v>
      </c>
      <c r="C629" s="7" t="s">
        <v>1752</v>
      </c>
      <c r="D629" s="6">
        <v>3600</v>
      </c>
      <c r="E629" s="5">
        <v>1</v>
      </c>
      <c r="F629" s="4" t="str">
        <f ca="1">IFERROR(__xludf.DUMMYFUNCTION("LOWER(REGEXREPLACE(B629&amp;"" ""&amp;C629,""[^а-яa-z0-9 ]"","" ""))")," аполеон   apoleon  каз   рус   англ яз      едбридж  перевод  ужикова      санова     ")</f>
        <v xml:space="preserve"> аполеон   apoleon  каз   рус   англ яз      едбридж  перевод  ужикова      санова     </v>
      </c>
      <c r="G629" s="4" t="str">
        <f ca="1">IFERROR(__xludf.DUMMYFUNCTION("TEXTJOIN(""|"",TRUE,UNIQUE(FILTER(SPLIT(F629,"" ""),LEN(SPLIT(F629,"" ""))&gt;2)))"),"аполеон|apoleon|каз|рус|англ|едбридж|перевод|ужикова|санова")</f>
        <v>аполеон|apoleon|каз|рус|англ|едбридж|перевод|ужикова|санова</v>
      </c>
      <c r="I629" s="1"/>
      <c r="J629" s="1"/>
    </row>
    <row r="630" spans="1:10" x14ac:dyDescent="0.2">
      <c r="A630" s="8" t="s">
        <v>1751</v>
      </c>
      <c r="B630" s="7" t="s">
        <v>1750</v>
      </c>
      <c r="C630" s="7" t="s">
        <v>1749</v>
      </c>
      <c r="D630" s="6">
        <v>5700</v>
      </c>
      <c r="E630" s="5">
        <v>25</v>
      </c>
      <c r="F630" s="4" t="str">
        <f ca="1">IFERROR(__xludf.DUMMYFUNCTION("LOWER(REGEXREPLACE(B630&amp;"" ""&amp;C630,""[^а-яa-z0-9 ]"","" ""))")," арукавники тканевые  каневые нарукавники предназначены для защиты одежды детей во время занятий творчеством  изобразительной деятельностью и экспериментированием   снащены резинкой для удобной фиксации  выполнены из водоотталкивающего материала    компле"&amp;"кт входят два нарукавника и кармашек   одходят для использования детьми разного возраста ")</f>
        <v xml:space="preserve"> арукавники тканевые  каневые нарукавники предназначены для защиты одежды детей во время занятий творчеством  изобразительной деятельностью и экспериментированием   снащены резинкой для удобной фиксации  выполнены из водоотталкивающего материала    комплект входят два нарукавника и кармашек   одходят для использования детьми разного возраста </v>
      </c>
      <c r="G630" s="4" t="str">
        <f ca="1">IFERROR(__xludf.DUMMYFUNCTION("TEXTJOIN(""|"",TRUE,UNIQUE(FILTER(SPLIT(F630,"" ""),LEN(SPLIT(F630,"" ""))&gt;2)))"),"арукавники|тканевые|каневые|нарукавники|предназначены|для|защиты|одежды|детей|время|занятий|творчеством|изобразительной|деятельностью|экспериментированием|снащены|резинкой|для|удобной|фиксации|выполнены|водоотталкивающего|материала|комплект|входят|два|нар"&amp;"укавника|кармашек|одходят|для|использования|детьми|разного|возраста")</f>
        <v>арукавники|тканевые|каневые|нарукавники|предназначены|для|защиты|одежды|детей|время|занятий|творчеством|изобразительной|деятельностью|экспериментированием|снащены|резинкой|для|удобной|фиксации|выполнены|водоотталкивающего|материала|комплект|входят|два|нарукавника|кармашек|одходят|для|использования|детьми|разного|возраста</v>
      </c>
      <c r="I630" s="1"/>
      <c r="J630" s="1"/>
    </row>
    <row r="631" spans="1:10" x14ac:dyDescent="0.2">
      <c r="A631" s="8" t="s">
        <v>1748</v>
      </c>
      <c r="B631" s="7" t="s">
        <v>1747</v>
      </c>
      <c r="C631" s="7" t="s">
        <v>1746</v>
      </c>
      <c r="D631" s="6">
        <v>127300</v>
      </c>
      <c r="E631" s="5">
        <v>7</v>
      </c>
      <c r="F631" s="4" t="str">
        <f ca="1">IFERROR(__xludf.DUMMYFUNCTION("LOWER(REGEXREPLACE(B631&amp;"" ""&amp;C631,""[^а-яa-z0-9 ]"","" ""))")," астенный модуль   едведь   гровой настенный модуль предназначен для комплексного развития детей   анель выполнена в виде медвежонка и включает лабиринты  шестер нки  бусины и безопасное акриловое зеркало   спользуется для развития моторики  сенсорного во"&amp;"сприятия  внимания и координации движений   атериал   дерево ")</f>
        <v xml:space="preserve"> астенный модуль   едведь   гровой настенный модуль предназначен для комплексного развития детей   анель выполнена в виде медвежонка и включает лабиринты  шестер нки  бусины и безопасное акриловое зеркало   спользуется для развития моторики  сенсорного восприятия  внимания и координации движений   атериал   дерево </v>
      </c>
      <c r="G631" s="4" t="str">
        <f ca="1">IFERROR(__xludf.DUMMYFUNCTION("TEXTJOIN(""|"",TRUE,UNIQUE(FILTER(SPLIT(F631,"" ""),LEN(SPLIT(F631,"" ""))&gt;2)))"),"астенный|модуль|едведь|гровой|настенный|модуль|предназначен|для|комплексного|развития|детей|анель|выполнена|виде|медвежонка|включает|лабиринты|шестер|нки|бусины|безопасное|акриловое|зеркало|спользуется|для|развития|моторики|сенсорного|восприятия|внимания|"&amp;"координации|движений|атериал|дерево")</f>
        <v>астенный|модуль|едведь|гровой|настенный|модуль|предназначен|для|комплексного|развития|детей|анель|выполнена|виде|медвежонка|включает|лабиринты|шестер|нки|бусины|безопасное|акриловое|зеркало|спользуется|для|развития|моторики|сенсорного|восприятия|внимания|координации|движений|атериал|дерево</v>
      </c>
      <c r="I631" s="1"/>
      <c r="J631" s="1"/>
    </row>
    <row r="632" spans="1:10" x14ac:dyDescent="0.2">
      <c r="A632" s="8" t="s">
        <v>1745</v>
      </c>
      <c r="B632" s="7" t="s">
        <v>1744</v>
      </c>
      <c r="C632" s="7" t="s">
        <v>1743</v>
      </c>
      <c r="D632" s="6">
        <v>163400</v>
      </c>
      <c r="E632" s="5">
        <v>8</v>
      </c>
      <c r="F632" s="4" t="str">
        <f ca="1">IFERROR(__xludf.DUMMYFUNCTION("LOWER(REGEXREPLACE(B632&amp;"" ""&amp;C632,""[^а-яa-z0-9 ]"","" ""))")," астенный модуль для упражнений в развитии запястья  движение по прорези   азвивающий модуль предназначен для тренировки движений кисти и запястья  развития координации и мелкой моторики   спользуется в коррекционной и развивающей работе с детьми от 3 лет"&amp;"   зготовлен из дерева  имеет настенное крепление и устойчивую конструкцию  подходит для применения в     ")</f>
        <v xml:space="preserve"> астенный модуль для упражнений в развитии запястья  движение по прорези   азвивающий модуль предназначен для тренировки движений кисти и запястья  развития координации и мелкой моторики   спользуется в коррекционной и развивающей работе с детьми от 3 лет   зготовлен из дерева  имеет настенное крепление и устойчивую конструкцию  подходит для применения в     </v>
      </c>
      <c r="G632" s="4" t="str">
        <f ca="1">IFERROR(__xludf.DUMMYFUNCTION("TEXTJOIN(""|"",TRUE,UNIQUE(FILTER(SPLIT(F632,"" ""),LEN(SPLIT(F632,"" ""))&gt;2)))"),"астенный|модуль|для|упражнений|развитии|запястья|движение|прорези|азвивающий|модуль|предназначен|для|тренировки|движений|кисти|запястья|развития|координации|мелкой|моторики|спользуется|коррекционной|развивающей|работе|детьми|лет|зготовлен|дерева|имеет|нас"&amp;"тенное|крепление|устойчивую|конструкцию|подходит|для|применения")</f>
        <v>астенный|модуль|для|упражнений|развитии|запястья|движение|прорези|азвивающий|модуль|предназначен|для|тренировки|движений|кисти|запястья|развития|координации|мелкой|моторики|спользуется|коррекционной|развивающей|работе|детьми|лет|зготовлен|дерева|имеет|настенное|крепление|устойчивую|конструкцию|подходит|для|применения</v>
      </c>
      <c r="I632" s="1"/>
      <c r="J632" s="1"/>
    </row>
    <row r="633" spans="1:10" x14ac:dyDescent="0.2">
      <c r="A633" s="8" t="s">
        <v>1742</v>
      </c>
      <c r="B633" s="7" t="s">
        <v>1741</v>
      </c>
      <c r="C633" s="7" t="s">
        <v>1740</v>
      </c>
      <c r="D633" s="6">
        <v>67400</v>
      </c>
      <c r="E633" s="5">
        <v>1</v>
      </c>
      <c r="F633" s="4" t="str">
        <f ca="1">IFERROR(__xludf.DUMMYFUNCTION("LOWER(REGEXREPLACE(B633&amp;"" ""&amp;C633,""[^а-яa-z0-9 ]"","" ""))")," астенный флипчарт с бумажным блоком  астенный флипчарт предназначен для использования в кабинете детского психолога при диагностической  коррекционной и арт терапевтической работе   снащ н отрывным бумажным блоком  позволяющим детям рисовать  выполнять з"&amp;"адания и выражать эмоции   репление к стене обеспечивает устойчивость  безопасность и экономию пространства ")</f>
        <v xml:space="preserve"> астенный флипчарт с бумажным блоком  астенный флипчарт предназначен для использования в кабинете детского психолога при диагностической  коррекционной и арт терапевтической работе   снащ н отрывным бумажным блоком  позволяющим детям рисовать  выполнять задания и выражать эмоции   репление к стене обеспечивает устойчивость  безопасность и экономию пространства </v>
      </c>
      <c r="G633" s="4" t="str">
        <f ca="1">IFERROR(__xludf.DUMMYFUNCTION("TEXTJOIN(""|"",TRUE,UNIQUE(FILTER(SPLIT(F633,"" ""),LEN(SPLIT(F633,"" ""))&gt;2)))"),"астенный|флипчарт|бумажным|блоком|астенный|флипчарт|предназначен|для|использования|кабинете|детского|психолога|при|диагностической|коррекционной|арт|терапевтической|работе|снащ|отрывным|бумажным|блоком|позволяющим|детям|рисовать|выполнять|задания|выражать"&amp;"|эмоции|репление|стене|обеспечивает|устойчивость|безопасность|экономию|пространства")</f>
        <v>астенный|флипчарт|бумажным|блоком|астенный|флипчарт|предназначен|для|использования|кабинете|детского|психолога|при|диагностической|коррекционной|арт|терапевтической|работе|снащ|отрывным|бумажным|блоком|позволяющим|детям|рисовать|выполнять|задания|выражать|эмоции|репление|стене|обеспечивает|устойчивость|безопасность|экономию|пространства</v>
      </c>
      <c r="I633" s="1"/>
      <c r="J633" s="1"/>
    </row>
    <row r="634" spans="1:10" x14ac:dyDescent="0.2">
      <c r="A634" s="8" t="s">
        <v>1739</v>
      </c>
      <c r="B634" s="7" t="s">
        <v>1738</v>
      </c>
      <c r="C634" s="7" t="s">
        <v>1737</v>
      </c>
      <c r="D634" s="6">
        <v>15300</v>
      </c>
      <c r="E634" s="5">
        <v>175</v>
      </c>
      <c r="F634" s="4" t="str">
        <f ca="1">IFERROR(__xludf.DUMMYFUNCTION("LOWER(REGEXREPLACE(B634&amp;"" ""&amp;C634,""[^а-яa-z0-9 ]"","" ""))")," астольная игра  3            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            разноцветные треугольники   36 шт    оранжевые   6 шт    зелен"&amp;"ые   6 шт    желтые   6 шт    синие   6 шт    розовые   6 шт    красные   6 шт    инструкция   1 шт")</f>
        <v xml:space="preserve"> астольная игра  3            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            разноцветные треугольники   36 шт    оранжевые   6 шт    зеленые   6 шт    желтые   6 шт    синие   6 шт    розовые   6 шт    красные   6 шт    инструкция   1 шт</v>
      </c>
      <c r="G634" s="4" t="str">
        <f ca="1">IFERROR(__xludf.DUMMYFUNCTION("TEXTJOIN(""|"",TRUE,UNIQUE(FILTER(SPLIT(F634,"" ""),LEN(SPLIT(F634,"" ""))&gt;2)))"),"астольная|игра|гра|предназначена|для|формирования|визуального|восприятия|развития|логического|мышления|ребенка|посредством|сбора|разноцветных|треугольников|соответ|разноцветные|треугольники|оранжевые|зеленые|желтые|синие|розовые|красные|инструкция")</f>
        <v>астольная|игра|гра|предназначена|для|формирования|визуального|восприятия|развития|логического|мышления|ребенка|посредством|сбора|разноцветных|треугольников|соответ|разноцветные|треугольники|оранжевые|зеленые|желтые|синие|розовые|красные|инструкция</v>
      </c>
      <c r="I634" s="1"/>
      <c r="J634" s="1"/>
    </row>
    <row r="635" spans="1:10" x14ac:dyDescent="0.2">
      <c r="A635" s="8" t="s">
        <v>1736</v>
      </c>
      <c r="B635" s="7" t="s">
        <v>1735</v>
      </c>
      <c r="C635" s="7" t="s">
        <v>1734</v>
      </c>
      <c r="D635" s="6">
        <v>8100</v>
      </c>
      <c r="E635" s="5">
        <v>10</v>
      </c>
      <c r="F635" s="4" t="str">
        <f ca="1">IFERROR(__xludf.DUMMYFUNCTION("LOWER(REGEXREPLACE(B635&amp;"" ""&amp;C635,""[^а-яa-z0-9 ]"","" ""))")," астольная игра   оска умножения   учебная   астольная игра включает игровое поле и карточки для выполнения заданий на умножение в игровой форме    процессе игры выполняются вычисления и подбор правильных ответов по правилам   акая деятельность способству"&amp;"ет закреплению таблицы умножения и развитию навыков сч та   азмер игрового поля составляет не менее 19 5 19 5 см   атериалы  дерево и бумажные карточки ")</f>
        <v xml:space="preserve"> астольная игра   оска умножения   учебная   астольная игра включает игровое поле и карточки для выполнения заданий на умножение в игровой форме    процессе игры выполняются вычисления и подбор правильных ответов по правилам   акая деятельность способствует закреплению таблицы умножения и развитию навыков сч та   азмер игрового поля составляет не менее 19 5 19 5 см   атериалы  дерево и бумажные карточки </v>
      </c>
      <c r="G635" s="4" t="str">
        <f ca="1">IFERROR(__xludf.DUMMYFUNCTION("TEXTJOIN(""|"",TRUE,UNIQUE(FILTER(SPLIT(F635,"" ""),LEN(SPLIT(F635,"" ""))&gt;2)))"),"астольная|игра|оска|умножения|учебная|астольная|игра|включает|игровое|поле|карточки|для|выполнения|заданий|умножение|игровой|форме|процессе|игры|выполняются|вычисления|подбор|правильных|ответов|правилам|акая|деятельность|способствует|закреплению|таблицы|у"&amp;"множения|развитию|навыков|азмер|игрового|поля|составляет|менее|атериалы|дерево|бумажные|карточки")</f>
        <v>астольная|игра|оска|умножения|учебная|астольная|игра|включает|игровое|поле|карточки|для|выполнения|заданий|умножение|игровой|форме|процессе|игры|выполняются|вычисления|подбор|правильных|ответов|правилам|акая|деятельность|способствует|закреплению|таблицы|умножения|развитию|навыков|азмер|игрового|поля|составляет|менее|атериалы|дерево|бумажные|карточки</v>
      </c>
      <c r="I635" s="1"/>
      <c r="J635" s="1"/>
    </row>
    <row r="636" spans="1:10" x14ac:dyDescent="0.2">
      <c r="A636" s="8" t="s">
        <v>1733</v>
      </c>
      <c r="B636" s="7" t="s">
        <v>1732</v>
      </c>
      <c r="C636" s="7" t="s">
        <v>1731</v>
      </c>
      <c r="D636" s="6">
        <v>16000</v>
      </c>
      <c r="E636" s="5">
        <v>175</v>
      </c>
      <c r="F636" s="4" t="str">
        <f ca="1">IFERROR(__xludf.DUMMYFUNCTION("LOWER(REGEXREPLACE(B636&amp;"" ""&amp;C636,""[^а-яa-z0-9 ]"","" ""))")," астольная игра               гра предназначена для развития логического мышления посредством нахождения соответствую     онцентрацию внимания    амять    изуальное восприятие    огическое мышление    азличие цветов    корость                             "&amp;"        щих по форме и виду бабочек   бабочки трех цветов   20 шт    карточки с силуэтами бабочек   11 шт  бабочка одного цвета   6 шт   кубики   3 шт   бабочки двух цветов   15 шт   коврик   1 шт   инструкция   1 шт    карточки с бабочками с узорам")</f>
        <v xml:space="preserve"> астольная игра               гра предназначена для развития логического мышления посредством нахождения соответствую     онцентрацию внимания    амять    изуальное восприятие    огическое мышление    азличие цветов    корость                                     щих по форме и виду бабочек   бабочки трех цветов   20 шт    карточки с силуэтами бабочек   11 шт  бабочка одного цвета   6 шт   кубики   3 шт   бабочки двух цветов   15 шт   коврик   1 шт   инструкция   1 шт    карточки с бабочками с узорам</v>
      </c>
      <c r="G636" s="4" t="str">
        <f ca="1">IFERROR(__xludf.DUMMYFUNCTION("TEXTJOIN(""|"",TRUE,UNIQUE(FILTER(SPLIT(F636,"" ""),LEN(SPLIT(F636,"" ""))&gt;2)))"),"астольная|игра|гра|предназначена|для|развития|логического|мышления|посредством|нахождения|соответствую|онцентрацию|внимания|амять|изуальное|восприятие|огическое|мышление|азличие|цветов|корость|щих|форме|виду|бабочек|бабочки|трех|цветов|карточки|силуэтами|"&amp;"бабочек|бабочка|одного|цвета|кубики|бабочки|двух|цветов|коврик|инструкция|карточки|бабочками|узорам")</f>
        <v>астольная|игра|гра|предназначена|для|развития|логического|мышления|посредством|нахождения|соответствую|онцентрацию|внимания|амять|изуальное|восприятие|огическое|мышление|азличие|цветов|корость|щих|форме|виду|бабочек|бабочки|трех|цветов|карточки|силуэтами|бабочек|бабочка|одного|цвета|кубики|бабочки|двух|цветов|коврик|инструкция|карточки|бабочками|узорам</v>
      </c>
      <c r="I636" s="1"/>
      <c r="J636" s="1"/>
    </row>
    <row r="637" spans="1:10" x14ac:dyDescent="0.2">
      <c r="A637" s="8" t="s">
        <v>1730</v>
      </c>
      <c r="B637" s="7" t="s">
        <v>1729</v>
      </c>
      <c r="C637" s="7" t="s">
        <v>1728</v>
      </c>
      <c r="D637" s="6">
        <v>16000</v>
      </c>
      <c r="E637" s="5">
        <v>195</v>
      </c>
      <c r="F637" s="4" t="str">
        <f ca="1">IFERROR(__xludf.DUMMYFUNCTION("LOWER(REGEXREPLACE(B637&amp;"" ""&amp;C637,""[^а-яa-z0-9 ]"","" ""))")," астольная игра                 гра предназначена для расширения познания и для развития пространственного мышления   остав  карточки   32 шт    дощечка   1 шт    разноцветные детали   27 шт    красные детали   5 шт    розовые детали   5 шт    синие детал"&amp;"и   6 шт    желтые детали   6 шт    зеленые детали   5 шт ")</f>
        <v xml:space="preserve"> астольная игра                 гра предназначена для расширения познания и для развития пространственного мышления   остав  карточки   32 шт    дощечка   1 шт    разноцветные детали   27 шт    красные детали   5 шт    розовые детали   5 шт    синие детали   6 шт    желтые детали   6 шт    зеленые детали   5 шт </v>
      </c>
      <c r="G637" s="4" t="str">
        <f ca="1">IFERROR(__xludf.DUMMYFUNCTION("TEXTJOIN(""|"",TRUE,UNIQUE(FILTER(SPLIT(F637,"" ""),LEN(SPLIT(F637,"" ""))&gt;2)))"),"астольная|игра|гра|предназначена|для|расширения|познания|для|развития|пространственного|мышления|остав|карточки|дощечка|разноцветные|детали|красные|детали|розовые|детали|синие|детали|желтые|детали|зеленые|детали")</f>
        <v>астольная|игра|гра|предназначена|для|расширения|познания|для|развития|пространственного|мышления|остав|карточки|дощечка|разноцветные|детали|красные|детали|розовые|детали|синие|детали|желтые|детали|зеленые|детали</v>
      </c>
      <c r="I637" s="1"/>
      <c r="J637" s="1"/>
    </row>
    <row r="638" spans="1:10" x14ac:dyDescent="0.2">
      <c r="A638" s="8" t="s">
        <v>1727</v>
      </c>
      <c r="B638" s="7" t="s">
        <v>1726</v>
      </c>
      <c r="C638" s="7" t="s">
        <v>1725</v>
      </c>
      <c r="D638" s="6">
        <v>4000</v>
      </c>
      <c r="E638" s="5">
        <v>175</v>
      </c>
      <c r="F638" s="4" t="str">
        <f ca="1">IFERROR(__xludf.DUMMYFUNCTION("LOWER(REGEXREPLACE(B638&amp;"" ""&amp;C638,""[^а-яa-z0-9 ]"","" ""))")," еер набор  еер набор  касса букв и цифр  на казахском языке   челка   1  904")</f>
        <v xml:space="preserve"> еер набор  еер набор  касса букв и цифр  на казахском языке   челка   1  904</v>
      </c>
      <c r="G638" s="4" t="str">
        <f ca="1">IFERROR(__xludf.DUMMYFUNCTION("TEXTJOIN(""|"",TRUE,UNIQUE(FILTER(SPLIT(F638,"" ""),LEN(SPLIT(F638,"" ""))&gt;2)))"),"еер|набор|еер|набор|касса|букв|цифр|казахском|языке|челка|904")</f>
        <v>еер|набор|еер|набор|касса|букв|цифр|казахском|языке|челка|904</v>
      </c>
      <c r="I638" s="1"/>
      <c r="J638" s="1"/>
    </row>
    <row r="639" spans="1:10" x14ac:dyDescent="0.2">
      <c r="A639" s="8" t="s">
        <v>1724</v>
      </c>
      <c r="B639" s="7" t="s">
        <v>1723</v>
      </c>
      <c r="C639" s="7" t="s">
        <v>1722</v>
      </c>
      <c r="D639" s="6">
        <v>4800</v>
      </c>
      <c r="E639" s="5">
        <v>14</v>
      </c>
      <c r="F639" s="4" t="str">
        <f ca="1">IFERROR(__xludf.DUMMYFUNCTION("LOWER(REGEXREPLACE(B639&amp;"" ""&amp;C639,""[^а-яa-z0-9 ]"","" ""))")," астольная игра   емори   идактическая настольная игра предназначена для развития памяти  внимания  зрительного восприятия и навыков сопоставления у детей дошкольного возраста   спользуется в индивидуальной и подгрупповой работе   гра способствует трениро"&amp;"вке кратковременной и долговременной памяти  развитию логического мышления и усидчивости   одходит для регулярного применения в образовательной деятельности     ")</f>
        <v xml:space="preserve"> астольная игра   емори   идактическая настольная игра предназначена для развития памяти  внимания  зрительного восприятия и навыков сопоставления у детей дошкольного возраста   спользуется в индивидуальной и подгрупповой работе   гра способствует тренировке кратковременной и долговременной памяти  развитию логического мышления и усидчивости   одходит для регулярного применения в образовательной деятельности     </v>
      </c>
      <c r="G639" s="4" t="str">
        <f ca="1">IFERROR(__xludf.DUMMYFUNCTION("TEXTJOIN(""|"",TRUE,UNIQUE(FILTER(SPLIT(F639,"" ""),LEN(SPLIT(F639,"" ""))&gt;2)))"),"астольная|игра|емори|идактическая|настольная|игра|предназначена|для|развития|памяти|внимания|зрительного|восприятия|навыков|сопоставления|детей|дошкольного|возраста|спользуется|индивидуальной|подгрупповой|работе|гра|способствует|тренировке|кратковременной"&amp;"|долговременной|памяти|развитию|логического|мышления|усидчивости|одходит|для|регулярного|применения|образовательной|деятельности")</f>
        <v>астольная|игра|емори|идактическая|настольная|игра|предназначена|для|развития|памяти|внимания|зрительного|восприятия|навыков|сопоставления|детей|дошкольного|возраста|спользуется|индивидуальной|подгрупповой|работе|гра|способствует|тренировке|кратковременной|долговременной|памяти|развитию|логического|мышления|усидчивости|одходит|для|регулярного|применения|образовательной|деятельности</v>
      </c>
      <c r="I639" s="1"/>
      <c r="J639" s="1"/>
    </row>
    <row r="640" spans="1:10" x14ac:dyDescent="0.2">
      <c r="A640" s="8" t="s">
        <v>1721</v>
      </c>
      <c r="B640" s="7" t="s">
        <v>1720</v>
      </c>
      <c r="C640" s="7" t="s">
        <v>1719</v>
      </c>
      <c r="D640" s="6">
        <v>10500</v>
      </c>
      <c r="E640" s="5">
        <v>7</v>
      </c>
      <c r="F640" s="4" t="str">
        <f ca="1">IFERROR(__xludf.DUMMYFUNCTION("LOWER(REGEXREPLACE(B640&amp;"" ""&amp;C640,""[^а-яa-z0-9 ]"","" ""))")," астольная игра   ингвин на льдине   гровой набор предназначен для организации активных настольных игр с детьми от 3 лет    процессе игры дети поочередно выбивают элементы льдины  стараясь не уронить фигурку  что развивает координацию движений  точность  "&amp;"аккуратность и причинно следственное мышление   гра формирует навыки соблюдения правил и очередности действий  подходит для групповой и индивидуальной деятельности ")</f>
        <v xml:space="preserve"> астольная игра   ингвин на льдине   гровой набор предназначен для организации активных настольных игр с детьми от 3 лет    процессе игры дети поочередно выбивают элементы льдины  стараясь не уронить фигурку  что развивает координацию движений  точность  аккуратность и причинно следственное мышление   гра формирует навыки соблюдения правил и очередности действий  подходит для групповой и индивидуальной деятельности </v>
      </c>
      <c r="G640" s="4" t="str">
        <f ca="1">IFERROR(__xludf.DUMMYFUNCTION("TEXTJOIN(""|"",TRUE,UNIQUE(FILTER(SPLIT(F640,"" ""),LEN(SPLIT(F640,"" ""))&gt;2)))"),"астольная|игра|ингвин|льдине|гровой|набор|предназначен|для|организации|активных|настольных|игр|детьми|лет|процессе|игры|дети|поочередно|выбивают|элементы|льдины|стараясь|уронить|фигурку|что|развивает|координацию|движений|точность|аккуратность|причинно|сле"&amp;"дственное|мышление|гра|формирует|навыки|соблюдения|правил|очередности|действий|подходит|для|групповой|индивидуальной|деятельности")</f>
        <v>астольная|игра|ингвин|льдине|гровой|набор|предназначен|для|организации|активных|настольных|игр|детьми|лет|процессе|игры|дети|поочередно|выбивают|элементы|льдины|стараясь|уронить|фигурку|что|развивает|координацию|движений|точность|аккуратность|причинно|следственное|мышление|гра|формирует|навыки|соблюдения|правил|очередности|действий|подходит|для|групповой|индивидуальной|деятельности</v>
      </c>
      <c r="I640" s="1"/>
      <c r="J640" s="1"/>
    </row>
    <row r="641" spans="1:10" x14ac:dyDescent="0.2">
      <c r="A641" s="8" t="s">
        <v>1718</v>
      </c>
      <c r="B641" s="7" t="s">
        <v>1717</v>
      </c>
      <c r="C641" s="7" t="s">
        <v>1716</v>
      </c>
      <c r="D641" s="6">
        <v>3400</v>
      </c>
      <c r="E641" s="5">
        <v>14</v>
      </c>
      <c r="F641" s="4" t="str">
        <f ca="1">IFERROR(__xludf.DUMMYFUNCTION("LOWER(REGEXREPLACE(B641&amp;"" ""&amp;C641,""[^а-яa-z0-9 ]"","" ""))")," астольная игра   острой башню   астольная развивающая игра предназначена для детей дошкольного возраста и взрослых   спользуется для развития координации движений  точности  мелкой моторики  логического мышления и навыков самоконтроля    процессе игры уч"&amp;"астники поочередно выстраивают и модифицируют конструкцию из деревянных элементов  соблюдая равновесие башни   гра способствует формированию усидчивости  концентрации внимания и навыков командного взаимодействия   атериалы безопасны для использования деть"&amp;"ми  элементы имеют устойчивую форму и гладкую поверхность ")</f>
        <v xml:space="preserve"> астольная игра   острой башню   астольная развивающая игра предназначена для детей дошкольного возраста и взрослых   спользуется для развития координации движений  точности  мелкой моторики  логического мышления и навыков самоконтроля    процессе игры участники поочередно выстраивают и модифицируют конструкцию из деревянных элементов  соблюдая равновесие башни   гра способствует формированию усидчивости  концентрации внимания и навыков командного взаимодействия   атериалы безопасны для использования детьми  элементы имеют устойчивую форму и гладкую поверхность </v>
      </c>
      <c r="G641" s="4" t="str">
        <f ca="1">IFERROR(__xludf.DUMMYFUNCTION("TEXTJOIN(""|"",TRUE,UNIQUE(FILTER(SPLIT(F641,"" ""),LEN(SPLIT(F641,"" ""))&gt;2)))"),"астольная|игра|острой|башню|астольная|развивающая|игра|предназначена|для|детей|дошкольного|возраста|взрослых|спользуется|для|развития|координации|движений|точности|мелкой|моторики|логического|мышления|навыков|самоконтроля|процессе|игры|участники|поочередн"&amp;"о|выстраивают|модифицируют|конструкцию|деревянных|элементов|соблюдая|равновесие|башни|гра|способствует|формированию|усидчивости|концентрации|внимания|навыков|командного|взаимодействия|атериалы|безопасны|для|использования|детьми|элементы|имеют|устойчивую|ф"&amp;"орму|гладкую|поверхность")</f>
        <v>астольная|игра|острой|башню|астольная|развивающая|игра|предназначена|для|детей|дошкольного|возраста|взрослых|спользуется|для|развития|координации|движений|точности|мелкой|моторики|логического|мышления|навыков|самоконтроля|процессе|игры|участники|поочередно|выстраивают|модифицируют|конструкцию|деревянных|элементов|соблюдая|равновесие|башни|гра|способствует|формированию|усидчивости|концентрации|внимания|навыков|командного|взаимодействия|атериалы|безопасны|для|использования|детьми|элементы|имеют|устойчивую|форму|гладкую|поверхность</v>
      </c>
      <c r="I641" s="1"/>
      <c r="J641" s="1"/>
    </row>
    <row r="642" spans="1:10" x14ac:dyDescent="0.2">
      <c r="A642" s="8" t="s">
        <v>1715</v>
      </c>
      <c r="B642" s="7" t="s">
        <v>1714</v>
      </c>
      <c r="C642" s="7" t="s">
        <v>1713</v>
      </c>
      <c r="D642" s="6">
        <v>44000</v>
      </c>
      <c r="E642" s="5">
        <v>47</v>
      </c>
      <c r="F642" s="4" t="str">
        <f ca="1">IFERROR(__xludf.DUMMYFUNCTION("LOWER(REGEXREPLACE(B642&amp;"" ""&amp;C642,""[^а-яa-z0-9 ]"","" ""))")," астольная игра             гра предназначена для расширения познания и для развития пространственного мышления ребенка     нимательность    ерпение    изуальное восприятие    азличие цветов    огическое мышление   карточки   32 шт    дощечка   1 шт    ра"&amp;"зноцветные детали   27 шт    красные детали   5 шт    розовые детали   5 шт    синие детали   6 шт    желтые детали   6 шт    зеленые детали   5 шт ")</f>
        <v xml:space="preserve"> астольная игра             гра предназначена для расширения познания и для развития пространственного мышления ребенка     нимательность    ерпение    изуальное восприятие    азличие цветов    огическое мышление   карточки   32 шт    дощечка   1 шт    разноцветные детали   27 шт    красные детали   5 шт    розовые детали   5 шт    синие детали   6 шт    желтые детали   6 шт    зеленые детали   5 шт </v>
      </c>
      <c r="G642" s="4" t="str">
        <f ca="1">IFERROR(__xludf.DUMMYFUNCTION("TEXTJOIN(""|"",TRUE,UNIQUE(FILTER(SPLIT(F642,"" ""),LEN(SPLIT(F642,"" ""))&gt;2)))"),"астольная|игра|гра|предназначена|для|расширения|познания|для|развития|пространственного|мышления|ребенка|нимательность|ерпение|изуальное|восприятие|азличие|цветов|огическое|мышление|карточки|дощечка|разноцветные|детали|красные|детали|розовые|детали|синие|"&amp;"детали|желтые|детали|зеленые|детали")</f>
        <v>астольная|игра|гра|предназначена|для|расширения|познания|для|развития|пространственного|мышления|ребенка|нимательность|ерпение|изуальное|восприятие|азличие|цветов|огическое|мышление|карточки|дощечка|разноцветные|детали|красные|детали|розовые|детали|синие|детали|желтые|детали|зеленые|детали</v>
      </c>
      <c r="I642" s="1"/>
      <c r="J642" s="1"/>
    </row>
    <row r="643" spans="1:10" x14ac:dyDescent="0.2">
      <c r="A643" s="8" t="s">
        <v>1712</v>
      </c>
      <c r="B643" s="7" t="s">
        <v>1711</v>
      </c>
      <c r="C643" s="7" t="s">
        <v>1710</v>
      </c>
      <c r="D643" s="6">
        <v>13300</v>
      </c>
      <c r="E643" s="5">
        <v>175</v>
      </c>
      <c r="F643" s="4" t="str">
        <f ca="1">IFERROR(__xludf.DUMMYFUNCTION("LOWER(REGEXREPLACE(B643&amp;"" ""&amp;C643,""[^а-яa-z0-9 ]"","" ""))")," астольная игра              гра предназначена для тренировки определения места предмета в пространстве  сравнения  сопоставления и развития логического мышления ребенка     азличие цветов    онцентрацию    нимательность    огическое мышление    изуальное"&amp;" восприятие    ерпение    антазию   оранжевые палочки   8 шт    инструкция   1 шт    желтые палочки   8 шт    зеленые палочки   12 шт    красно пестрые палочки   8 шт    синие палочки   8 шт ")</f>
        <v xml:space="preserve"> астольная игра              гра предназначена для тренировки определения места предмета в пространстве  сравнения  сопоставления и развития логического мышления ребенка     азличие цветов    онцентрацию    нимательность    огическое мышление    изуальное восприятие    ерпение    антазию   оранжевые палочки   8 шт    инструкция   1 шт    желтые палочки   8 шт    зеленые палочки   12 шт    красно пестрые палочки   8 шт    синие палочки   8 шт </v>
      </c>
      <c r="G643" s="4" t="str">
        <f ca="1">IFERROR(__xludf.DUMMYFUNCTION("TEXTJOIN(""|"",TRUE,UNIQUE(FILTER(SPLIT(F643,"" ""),LEN(SPLIT(F643,"" ""))&gt;2)))"),"астольная|игра|гра|предназначена|для|тренировки|определения|места|предмета|пространстве|сравнения|сопоставления|развития|логического|мышления|ребенка|азличие|цветов|онцентрацию|нимательность|огическое|мышление|изуальное|восприятие|ерпение|антазию|оранжевы"&amp;"е|палочки|инструкция|желтые|палочки|зеленые|палочки|красно|пестрые|палочки|синие|палочки")</f>
        <v>астольная|игра|гра|предназначена|для|тренировки|определения|места|предмета|пространстве|сравнения|сопоставления|развития|логического|мышления|ребенка|азличие|цветов|онцентрацию|нимательность|огическое|мышление|изуальное|восприятие|ерпение|антазию|оранжевые|палочки|инструкция|желтые|палочки|зеленые|палочки|красно|пестрые|палочки|синие|палочки</v>
      </c>
      <c r="I643" s="1"/>
      <c r="J643" s="1"/>
    </row>
    <row r="644" spans="1:10" x14ac:dyDescent="0.2">
      <c r="A644" s="8" t="s">
        <v>1709</v>
      </c>
      <c r="B644" s="7" t="s">
        <v>1708</v>
      </c>
      <c r="C644" s="7" t="s">
        <v>1707</v>
      </c>
      <c r="D644" s="6">
        <v>10800</v>
      </c>
      <c r="E644" s="5">
        <v>35</v>
      </c>
      <c r="F644" s="4" t="str">
        <f ca="1">IFERROR(__xludf.DUMMYFUNCTION("LOWER(REGEXREPLACE(B644&amp;"" ""&amp;C644,""[^а-яa-z0-9 ]"","" ""))")," астольная игра            гра предназначена для расшире ния познания ребенка и ознакомления его со средой обитания животных    коробке   желтые карты   16 шт    оранжевые карты   24 шт    зеленые карты   20 шт    синие карты   16 шт    фиолетовые карты  "&amp;" 16 шт    карточки для формирования игрового поля   9 шт            инструкция  1 шт")</f>
        <v xml:space="preserve"> астольная игра            гра предназначена для расшире ния познания ребенка и ознакомления его со средой обитания животных    коробке   желтые карты   16 шт    оранжевые карты   24 шт    зеленые карты   20 шт    синие карты   16 шт    фиолетовые карты   16 шт    карточки для формирования игрового поля   9 шт            инструкция  1 шт</v>
      </c>
      <c r="G644" s="4" t="str">
        <f ca="1">IFERROR(__xludf.DUMMYFUNCTION("TEXTJOIN(""|"",TRUE,UNIQUE(FILTER(SPLIT(F644,"" ""),LEN(SPLIT(F644,"" ""))&gt;2)))"),"астольная|игра|гра|предназначена|для|расшире|ния|познания|ребенка|ознакомления|его|средой|обитания|животных|коробке|желтые|карты|оранжевые|карты|зеленые|карты|синие|карты|фиолетовые|карты|карточки|для|формирования|игрового|поля|инструкция")</f>
        <v>астольная|игра|гра|предназначена|для|расшире|ния|познания|ребенка|ознакомления|его|средой|обитания|животных|коробке|желтые|карты|оранжевые|карты|зеленые|карты|синие|карты|фиолетовые|карты|карточки|для|формирования|игрового|поля|инструкция</v>
      </c>
      <c r="I644" s="1"/>
      <c r="J644" s="1"/>
    </row>
    <row r="645" spans="1:10" x14ac:dyDescent="0.2">
      <c r="A645" s="8" t="s">
        <v>1706</v>
      </c>
      <c r="B645" s="7" t="s">
        <v>1705</v>
      </c>
      <c r="C645" s="7" t="s">
        <v>1704</v>
      </c>
      <c r="D645" s="6">
        <v>20500</v>
      </c>
      <c r="E645" s="5">
        <v>195</v>
      </c>
      <c r="F645" s="4" t="str">
        <f ca="1">IFERROR(__xludf.DUMMYFUNCTION("LOWER(REGEXREPLACE(B645&amp;"" ""&amp;C645,""[^а-яa-z0-9 ]"","" ""))")," астольная игра                          гра предназначена для развития фантазии  пространственного и умственного мышления ребенка     нимательность    огическое мышление    антазию    азличие цветов    изуальное восприятие    онцентрацию   белые карты   "&amp;"6 шт    желтые карты   15 шт    светло зеленые карты   16 шт    темно зеленые карты   4 шт    инструкция   1 шт")</f>
        <v xml:space="preserve"> астольная игра                          гра предназначена для развития фантазии  пространственного и умственного мышления ребенка     нимательность    огическое мышление    антазию    азличие цветов    изуальное восприятие    онцентрацию   белые карты   6 шт    желтые карты   15 шт    светло зеленые карты   16 шт    темно зеленые карты   4 шт    инструкция   1 шт</v>
      </c>
      <c r="G645" s="4" t="str">
        <f ca="1">IFERROR(__xludf.DUMMYFUNCTION("TEXTJOIN(""|"",TRUE,UNIQUE(FILTER(SPLIT(F645,"" ""),LEN(SPLIT(F645,"" ""))&gt;2)))"),"астольная|игра|гра|предназначена|для|развития|фантазии|пространственного|умственного|мышления|ребенка|нимательность|огическое|мышление|антазию|азличие|цветов|изуальное|восприятие|онцентрацию|белые|карты|желтые|карты|светло|зеленые|карты|темно|зеленые|карт"&amp;"ы|инструкция")</f>
        <v>астольная|игра|гра|предназначена|для|развития|фантазии|пространственного|умственного|мышления|ребенка|нимательность|огическое|мышление|антазию|азличие|цветов|изуальное|восприятие|онцентрацию|белые|карты|желтые|карты|светло|зеленые|карты|темно|зеленые|карты|инструкция</v>
      </c>
      <c r="I645" s="1"/>
      <c r="J645" s="1"/>
    </row>
    <row r="646" spans="1:10" x14ac:dyDescent="0.2">
      <c r="A646" s="8" t="s">
        <v>1703</v>
      </c>
      <c r="B646" s="7" t="s">
        <v>1702</v>
      </c>
      <c r="C646" s="7" t="s">
        <v>1701</v>
      </c>
      <c r="D646" s="6">
        <v>20900</v>
      </c>
      <c r="E646" s="5">
        <v>1</v>
      </c>
      <c r="F646" s="4" t="str">
        <f ca="1">IFERROR(__xludf.DUMMYFUNCTION("LOWER(REGEXREPLACE(B646&amp;"" ""&amp;C646,""[^а-яa-z0-9 ]"","" ""))")," астольная игра   нуровка   азвивающая игра в форме предмета быта предназначена для развития мелкой моторики  координации движений и зрительно моторной согласованности   спользуется в индивидуальной и подгрупповой работе с детьми дошкольного возраста   ат"&amp;"ериалы безопасны  шнурки удобны для детской руки ")</f>
        <v xml:space="preserve"> астольная игра   нуровка   азвивающая игра в форме предмета быта предназначена для развития мелкой моторики  координации движений и зрительно моторной согласованности   спользуется в индивидуальной и подгрупповой работе с детьми дошкольного возраста   атериалы безопасны  шнурки удобны для детской руки </v>
      </c>
      <c r="G646" s="4" t="str">
        <f ca="1">IFERROR(__xludf.DUMMYFUNCTION("TEXTJOIN(""|"",TRUE,UNIQUE(FILTER(SPLIT(F646,"" ""),LEN(SPLIT(F646,"" ""))&gt;2)))"),"астольная|игра|нуровка|азвивающая|игра|форме|предмета|быта|предназначена|для|развития|мелкой|моторики|координации|движений|зрительно|моторной|согласованности|спользуется|индивидуальной|подгрупповой|работе|детьми|дошкольного|возраста|атериалы|безопасны|шну"&amp;"рки|удобны|для|детской|руки")</f>
        <v>астольная|игра|нуровка|азвивающая|игра|форме|предмета|быта|предназначена|для|развития|мелкой|моторики|координации|движений|зрительно|моторной|согласованности|спользуется|индивидуальной|подгрупповой|работе|детьми|дошкольного|возраста|атериалы|безопасны|шнурки|удобны|для|детской|руки</v>
      </c>
      <c r="I646" s="1"/>
      <c r="J646" s="1"/>
    </row>
    <row r="647" spans="1:10" x14ac:dyDescent="0.2">
      <c r="A647" s="8" t="s">
        <v>1700</v>
      </c>
      <c r="B647" s="7" t="s">
        <v>1699</v>
      </c>
      <c r="C647" s="7" t="s">
        <v>1698</v>
      </c>
      <c r="D647" s="6">
        <v>10200</v>
      </c>
      <c r="E647" s="5">
        <v>7</v>
      </c>
      <c r="F647" s="4" t="str">
        <f ca="1">IFERROR(__xludf.DUMMYFUNCTION("LOWER(REGEXREPLACE(B647&amp;"" ""&amp;C647,""[^а-яa-z0-9 ]"","" ""))")," астольная игра   andy   еревянная развивающая настольная игра  направленная на распознавание цветов  развитие памяти и внимания   спользуется для совместной игры детей и взрослых  способствует развитию когнитивных навыков ")</f>
        <v xml:space="preserve"> астольная игра   andy   еревянная развивающая настольная игра  направленная на распознавание цветов  развитие памяти и внимания   спользуется для совместной игры детей и взрослых  способствует развитию когнитивных навыков </v>
      </c>
      <c r="G647" s="4" t="str">
        <f ca="1">IFERROR(__xludf.DUMMYFUNCTION("TEXTJOIN(""|"",TRUE,UNIQUE(FILTER(SPLIT(F647,"" ""),LEN(SPLIT(F647,"" ""))&gt;2)))"),"астольная|игра|andy|еревянная|развивающая|настольная|игра|направленная|распознавание|цветов|развитие|памяти|внимания|спользуется|для|совместной|игры|детей|взрослых|способствует|развитию|когнитивных|навыков")</f>
        <v>астольная|игра|andy|еревянная|развивающая|настольная|игра|направленная|распознавание|цветов|развитие|памяти|внимания|спользуется|для|совместной|игры|детей|взрослых|способствует|развитию|когнитивных|навыков</v>
      </c>
      <c r="I647" s="1"/>
      <c r="J647" s="1"/>
    </row>
    <row r="648" spans="1:10" x14ac:dyDescent="0.2">
      <c r="A648" s="8" t="s">
        <v>1697</v>
      </c>
      <c r="B648" s="7" t="s">
        <v>1696</v>
      </c>
      <c r="C648" s="7" t="s">
        <v>1695</v>
      </c>
      <c r="D648" s="6">
        <v>28500</v>
      </c>
      <c r="E648" s="5">
        <v>43</v>
      </c>
      <c r="F648" s="4" t="str">
        <f ca="1">IFERROR(__xludf.DUMMYFUNCTION("LOWER(REGEXREPLACE(B648&amp;"" ""&amp;C648,""[^а-яa-z0-9 ]"","" ""))")," астольная игра со шнуровками  пуговицами  ремешками  замочками  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спользуется в коррекционно разви"&amp;"вающей и обучающей работе с детьми дошкольного возраста   гра способствует подготовке руки к письму и развитию самостоятельности ")</f>
        <v xml:space="preserve"> астольная игра со шнуровками  пуговицами  ремешками  замочками  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спользуется в коррекционно развивающей и обучающей работе с детьми дошкольного возраста   гра способствует подготовке руки к письму и развитию самостоятельности </v>
      </c>
      <c r="G648" s="4" t="str">
        <f ca="1">IFERROR(__xludf.DUMMYFUNCTION("TEXTJOIN(""|"",TRUE,UNIQUE(FILTER(SPLIT(F648,"" ""),LEN(SPLIT(F648,"" ""))&gt;2)))"),"астольная|игра|шнуровками|пуговицами|ремешками|замочками|азвивающая|настольная|игра|предназначена|для|формирования|навыков|самообслуживания|развития|мелкой|моторики|координации|движений|тактильного|восприятия|спользуется|коррекционно|развивающей|обучающей"&amp;"|работе|детьми|дошкольного|возраста|гра|способствует|подготовке|руки|письму|развитию|самостоятельности")</f>
        <v>астольная|игра|шнуровками|пуговицами|ремешками|замочками|азвивающая|настольная|игра|предназначена|для|формирования|навыков|самообслуживания|развития|мелкой|моторики|координации|движений|тактильного|восприятия|спользуется|коррекционно|развивающей|обучающей|работе|детьми|дошкольного|возраста|гра|способствует|подготовке|руки|письму|развитию|самостоятельности</v>
      </c>
      <c r="I648" s="1"/>
      <c r="J648" s="1"/>
    </row>
    <row r="649" spans="1:10" x14ac:dyDescent="0.2">
      <c r="A649" s="8" t="s">
        <v>1694</v>
      </c>
      <c r="B649" s="7" t="s">
        <v>1693</v>
      </c>
      <c r="C649" s="7" t="s">
        <v>1692</v>
      </c>
      <c r="D649" s="6">
        <v>8400</v>
      </c>
      <c r="E649" s="5">
        <v>1</v>
      </c>
      <c r="F649" s="4" t="str">
        <f ca="1">IFERROR(__xludf.DUMMYFUNCTION("LOWER(REGEXREPLACE(B649&amp;"" ""&amp;C649,""[^а-яa-z0-9 ]"","" ""))")," еликие чудеса света  ш   ")</f>
        <v xml:space="preserve"> еликие чудеса света  ш   </v>
      </c>
      <c r="G649" s="4" t="str">
        <f ca="1">IFERROR(__xludf.DUMMYFUNCTION("TEXTJOIN(""|"",TRUE,UNIQUE(FILTER(SPLIT(F649,"" ""),LEN(SPLIT(F649,"" ""))&gt;2)))"),"еликие|чудеса|света")</f>
        <v>еликие|чудеса|света</v>
      </c>
      <c r="I649" s="1"/>
      <c r="J649" s="1"/>
    </row>
    <row r="650" spans="1:10" x14ac:dyDescent="0.2">
      <c r="A650" s="8" t="s">
        <v>1691</v>
      </c>
      <c r="B650" s="7" t="s">
        <v>1690</v>
      </c>
      <c r="C650" s="7" t="s">
        <v>1689</v>
      </c>
      <c r="D650" s="6">
        <v>133000</v>
      </c>
      <c r="E650" s="5">
        <v>0</v>
      </c>
      <c r="F650" s="4" t="str">
        <f ca="1">IFERROR(__xludf.DUMMYFUNCTION("LOWER(REGEXREPLACE(B650&amp;"" ""&amp;C650,""[^а-яa-z0-9 ]"","" ""))")," астольная рабочая станция  музыкальная студия   астольная рабочая станция предназначена для организации рабочего места музыкального руководителя в музыкальном зале       спользуется для подготовки и проведения музыкальных занятий  воспроизведения и запис"&amp;"и звука  сопровождения утренников и праздничных мероприятий   беспечивает удобное размещение оборудования и способствует повышению качества музыкально педагогической работы ")</f>
        <v xml:space="preserve"> астольная рабочая станция  музыкальная студия   астольная рабочая станция предназначена для организации рабочего места музыкального руководителя в музыкальном зале       спользуется для подготовки и проведения музыкальных занятий  воспроизведения и записи звука  сопровождения утренников и праздничных мероприятий   беспечивает удобное размещение оборудования и способствует повышению качества музыкально педагогической работы </v>
      </c>
      <c r="G650" s="4" t="str">
        <f ca="1">IFERROR(__xludf.DUMMYFUNCTION("TEXTJOIN(""|"",TRUE,UNIQUE(FILTER(SPLIT(F650,"" ""),LEN(SPLIT(F650,"" ""))&gt;2)))"),"астольная|рабочая|станция|музыкальная|студия|астольная|рабочая|станция|предназначена|для|организации|рабочего|места|музыкального|руководителя|музыкальном|зале|спользуется|для|подготовки|проведения|музыкальных|занятий|воспроизведения|записи|звука|сопровожд"&amp;"ения|утренников|праздничных|мероприятий|беспечивает|удобное|размещение|оборудования|способствует|повышению|качества|музыкально|педагогической|работы")</f>
        <v>астольная|рабочая|станция|музыкальная|студия|астольная|рабочая|станция|предназначена|для|организации|рабочего|места|музыкального|руководителя|музыкальном|зале|спользуется|для|подготовки|проведения|музыкальных|занятий|воспроизведения|записи|звука|сопровождения|утренников|праздничных|мероприятий|беспечивает|удобное|размещение|оборудования|способствует|повышению|качества|музыкально|педагогической|работы</v>
      </c>
      <c r="I650" s="1"/>
      <c r="J650" s="1"/>
    </row>
    <row r="651" spans="1:10" x14ac:dyDescent="0.2">
      <c r="A651" s="8" t="s">
        <v>1688</v>
      </c>
      <c r="B651" s="7" t="s">
        <v>1687</v>
      </c>
      <c r="C651" s="7" t="s">
        <v>1686</v>
      </c>
      <c r="D651" s="6">
        <v>1900</v>
      </c>
      <c r="E651" s="5">
        <v>10</v>
      </c>
      <c r="F651" s="4" t="str">
        <f ca="1">IFERROR(__xludf.DUMMYFUNCTION("LOWER(REGEXREPLACE(B651&amp;"" ""&amp;C651,""[^а-яa-z0-9 ]"","" ""))")," астольная развивающая игра   атематический тренажер на липучках   чебно дидактическое пособие предназначено для формирования и закрепления навыков счета  сравнения чисел и решения простых арифметических задач   спользуется в образовательной и коррекционн"&amp;"ой деятельности с детьми дошкольного возраста   пособствует развитию логического мышления  внимания и самостоятельности ")</f>
        <v xml:space="preserve"> астольная развивающая игра   атематический тренажер на липучках   чебно дидактическое пособие предназначено для формирования и закрепления навыков счета  сравнения чисел и решения простых арифметических задач   спользуется в образовательной и коррекционной деятельности с детьми дошкольного возраста   пособствует развитию логического мышления  внимания и самостоятельности </v>
      </c>
      <c r="G651" s="4" t="str">
        <f ca="1">IFERROR(__xludf.DUMMYFUNCTION("TEXTJOIN(""|"",TRUE,UNIQUE(FILTER(SPLIT(F651,"" ""),LEN(SPLIT(F651,"" ""))&gt;2)))"),"астольная|развивающая|игра|атематический|тренажер|липучках|чебно|дидактическое|пособие|предназначено|для|формирования|закрепления|навыков|счета|сравнения|чисел|решения|простых|арифметических|задач|спользуется|образовательной|коррекционной|деятельности|дет"&amp;"ьми|дошкольного|возраста|пособствует|развитию|логического|мышления|внимания|самостоятельности")</f>
        <v>астольная|развивающая|игра|атематический|тренажер|липучках|чебно|дидактическое|пособие|предназначено|для|формирования|закрепления|навыков|счета|сравнения|чисел|решения|простых|арифметических|задач|спользуется|образовательной|коррекционной|деятельности|детьми|дошкольного|возраста|пособствует|развитию|логического|мышления|внимания|самостоятельности</v>
      </c>
      <c r="I651" s="1"/>
      <c r="J651" s="1"/>
    </row>
    <row r="652" spans="1:10" x14ac:dyDescent="0.2">
      <c r="A652" s="8" t="s">
        <v>1685</v>
      </c>
      <c r="B652" s="7" t="s">
        <v>1684</v>
      </c>
      <c r="C652" s="7" t="s">
        <v>1683</v>
      </c>
      <c r="D652" s="6">
        <v>11900</v>
      </c>
      <c r="E652" s="5">
        <v>7</v>
      </c>
      <c r="F652" s="4" t="str">
        <f ca="1">IFERROR(__xludf.DUMMYFUNCTION("LOWER(REGEXREPLACE(B652&amp;"" ""&amp;C652,""[^а-яa-z0-9 ]"","" ""))")," астольная развивающая игра   обери урожай   астольная дидактическая игра предназначена для развития внимания  зрительной памяти  навыков счета и элементарных математических представлений   спользуется в подгрупповой работе с детьми дошкольного возраста  "&amp;" ормирует навыки соблюдения правил игры  очередности ходов и сотрудничества ")</f>
        <v xml:space="preserve"> астольная развивающая игра   обери урожай   астольная дидактическая игра предназначена для развития внимания  зрительной памяти  навыков счета и элементарных математических представлений   спользуется в подгрупповой работе с детьми дошкольного возраста   ормирует навыки соблюдения правил игры  очередности ходов и сотрудничества </v>
      </c>
      <c r="G652" s="4" t="str">
        <f ca="1">IFERROR(__xludf.DUMMYFUNCTION("TEXTJOIN(""|"",TRUE,UNIQUE(FILTER(SPLIT(F652,"" ""),LEN(SPLIT(F652,"" ""))&gt;2)))"),"астольная|развивающая|игра|обери|урожай|астольная|дидактическая|игра|предназначена|для|развития|внимания|зрительной|памяти|навыков|счета|элементарных|математических|представлений|спользуется|подгрупповой|работе|детьми|дошкольного|возраста|ормирует|навыки|"&amp;"соблюдения|правил|игры|очередности|ходов|сотрудничества")</f>
        <v>астольная|развивающая|игра|обери|урожай|астольная|дидактическая|игра|предназначена|для|развития|внимания|зрительной|памяти|навыков|счета|элементарных|математических|представлений|спользуется|подгрупповой|работе|детьми|дошкольного|возраста|ормирует|навыки|соблюдения|правил|игры|очередности|ходов|сотрудничества</v>
      </c>
      <c r="I652" s="1"/>
      <c r="J652" s="1"/>
    </row>
    <row r="653" spans="1:10" x14ac:dyDescent="0.2">
      <c r="A653" s="8" t="s">
        <v>1682</v>
      </c>
      <c r="B653" s="7" t="s">
        <v>1681</v>
      </c>
      <c r="C653" s="7" t="s">
        <v>1680</v>
      </c>
      <c r="D653" s="6">
        <v>12500</v>
      </c>
      <c r="E653" s="5">
        <v>50</v>
      </c>
      <c r="F653" s="4" t="str">
        <f ca="1">IFERROR(__xludf.DUMMYFUNCTION("LOWER(REGEXREPLACE(B653&amp;"" ""&amp;C653,""[^а-яa-z0-9 ]"","" ""))")," астольно развивающая игра               гра предназначена для развития логического мышления посредством нахождения соответствующих по форме и виду бабочек    онцентрацию внимания    амять    изуальное восприятие    огическое мышление    азличие цветов   "&amp;" корость   бабочки трех цветов   20 шт    карточки с силуэтами бабочек   11 шт  бабочка одного цвета   6 шт   кубики   3 шт   бабочки двух цветов   15 шт   коврик   1 шт   инструкция   1 шт    карточки с бабочками с узорами   36 шт")</f>
        <v xml:space="preserve"> астольно развивающая игра               гра предназначена для развития логического мышления посредством нахождения соответствующих по форме и виду бабочек    онцентрацию внимания    амять    изуальное восприятие    огическое мышление    азличие цветов    корость   бабочки трех цветов   20 шт    карточки с силуэтами бабочек   11 шт  бабочка одного цвета   6 шт   кубики   3 шт   бабочки двух цветов   15 шт   коврик   1 шт   инструкция   1 шт    карточки с бабочками с узорами   36 шт</v>
      </c>
      <c r="G653" s="4" t="str">
        <f ca="1">IFERROR(__xludf.DUMMYFUNCTION("TEXTJOIN(""|"",TRUE,UNIQUE(FILTER(SPLIT(F653,"" ""),LEN(SPLIT(F653,"" ""))&gt;2)))"),"астольно|развивающая|игра|гра|предназначена|для|развития|логического|мышления|посредством|нахождения|соответствующих|форме|виду|бабочек|онцентрацию|внимания|амять|изуальное|восприятие|огическое|мышление|азличие|цветов|корость|бабочки|трех|цветов|карточки|"&amp;"силуэтами|бабочек|бабочка|одного|цвета|кубики|бабочки|двух|цветов|коврик|инструкция|карточки|бабочками|узорами")</f>
        <v>астольно|развивающая|игра|гра|предназначена|для|развития|логического|мышления|посредством|нахождения|соответствующих|форме|виду|бабочек|онцентрацию|внимания|амять|изуальное|восприятие|огическое|мышление|азличие|цветов|корость|бабочки|трех|цветов|карточки|силуэтами|бабочек|бабочка|одного|цвета|кубики|бабочки|двух|цветов|коврик|инструкция|карточки|бабочками|узорами</v>
      </c>
      <c r="I653" s="1"/>
      <c r="J653" s="1"/>
    </row>
    <row r="654" spans="1:10" x14ac:dyDescent="0.2">
      <c r="A654" s="8" t="s">
        <v>1679</v>
      </c>
      <c r="B654" s="7" t="s">
        <v>1678</v>
      </c>
      <c r="C654" s="7" t="s">
        <v>1677</v>
      </c>
      <c r="D654" s="6">
        <v>10800</v>
      </c>
      <c r="E654" s="5">
        <v>50</v>
      </c>
      <c r="F654" s="4" t="str">
        <f ca="1">IFERROR(__xludf.DUMMYFUNCTION("LOWER(REGEXREPLACE(B654&amp;"" ""&amp;C654,""[^а-яa-z0-9 ]"","" ""))")," астольноразвивающая игра   ез  ап   гра предназначена для расширения познания ребенка и ознакомления его со средой обитания животных    желтые карты   16 шт    оранжевые карты   24 шт    зеленые карты   20 шт    синие карты   16 шт    фиолетовые карты   "&amp;"16 шт    карточки для формирования игрового поля   9 шт    инструкция  1 шт  ")</f>
        <v xml:space="preserve"> астольноразвивающая игра   ез  ап   гра предназначена для расширения познания ребенка и ознакомления его со средой обитания животных    желтые карты   16 шт    оранжевые карты   24 шт    зеленые карты   20 шт    синие карты   16 шт    фиолетовые карты   16 шт    карточки для формирования игрового поля   9 шт    инструкция  1 шт  </v>
      </c>
      <c r="G654" s="4" t="str">
        <f ca="1">IFERROR(__xludf.DUMMYFUNCTION("TEXTJOIN(""|"",TRUE,UNIQUE(FILTER(SPLIT(F654,"" ""),LEN(SPLIT(F654,"" ""))&gt;2)))"),"астольноразвивающая|игра|гра|предназначена|для|расширения|познания|ребенка|ознакомления|его|средой|обитания|животных|желтые|карты|оранжевые|карты|зеленые|карты|синие|карты|фиолетовые|карты|карточки|для|формирования|игрового|поля|инструкция")</f>
        <v>астольноразвивающая|игра|гра|предназначена|для|расширения|познания|ребенка|ознакомления|его|средой|обитания|животных|желтые|карты|оранжевые|карты|зеленые|карты|синие|карты|фиолетовые|карты|карточки|для|формирования|игрового|поля|инструкция</v>
      </c>
      <c r="I654" s="1"/>
      <c r="J654" s="1"/>
    </row>
    <row r="655" spans="1:10" x14ac:dyDescent="0.2">
      <c r="A655" s="8" t="s">
        <v>1676</v>
      </c>
      <c r="B655" s="7" t="s">
        <v>1675</v>
      </c>
      <c r="C655" s="7" t="s">
        <v>1674</v>
      </c>
      <c r="D655" s="6">
        <v>66500</v>
      </c>
      <c r="E655" s="5">
        <v>7</v>
      </c>
      <c r="F655" s="4" t="str">
        <f ca="1">IFERROR(__xludf.DUMMYFUNCTION("LOWER(REGEXREPLACE(B655&amp;"" ""&amp;C655,""[^а-яa-z0-9 ]"","" ""))")," астольные развивающие игры  азвивающие настольные игры направлены на тренировку логики  памяти  внимания  стратегического мышления и речи у детей")</f>
        <v xml:space="preserve"> астольные развивающие игры  азвивающие настольные игры направлены на тренировку логики  памяти  внимания  стратегического мышления и речи у детей</v>
      </c>
      <c r="G655" s="4" t="str">
        <f ca="1">IFERROR(__xludf.DUMMYFUNCTION("TEXTJOIN(""|"",TRUE,UNIQUE(FILTER(SPLIT(F655,"" ""),LEN(SPLIT(F655,"" ""))&gt;2)))"),"астольные|развивающие|игры|азвивающие|настольные|игры|направлены|тренировку|логики|памяти|внимания|стратегического|мышления|речи|детей")</f>
        <v>астольные|развивающие|игры|азвивающие|настольные|игры|направлены|тренировку|логики|памяти|внимания|стратегического|мышления|речи|детей</v>
      </c>
      <c r="I655" s="1"/>
      <c r="J655" s="1"/>
    </row>
    <row r="656" spans="1:10" x14ac:dyDescent="0.2">
      <c r="A656" s="8" t="s">
        <v>1673</v>
      </c>
      <c r="B656" s="7" t="s">
        <v>1672</v>
      </c>
      <c r="C656" s="7" t="s">
        <v>1671</v>
      </c>
      <c r="D656" s="6">
        <v>47500</v>
      </c>
      <c r="E656" s="5">
        <v>1</v>
      </c>
      <c r="F656" s="4" t="str">
        <f ca="1">IFERROR(__xludf.DUMMYFUNCTION("LOWER(REGEXREPLACE(B656&amp;"" ""&amp;C656,""[^а-яa-z0-9 ]"","" ""))")," астольный декоративный фонтан с эффектом водопада  астольный фонтан используется как элемент интерьерного оформления   озда т визуальный эффект движения воды и мягкий фоновый звук   рименяется для формирования спокойной атмосферы в помещении   онструкция"&amp;" рассчитана на установку на горизонтальной поверхности ")</f>
        <v xml:space="preserve"> астольный декоративный фонтан с эффектом водопада  астольный фонтан используется как элемент интерьерного оформления   озда т визуальный эффект движения воды и мягкий фоновый звук   рименяется для формирования спокойной атмосферы в помещении   онструкция рассчитана на установку на горизонтальной поверхности </v>
      </c>
      <c r="G656" s="4" t="str">
        <f ca="1">IFERROR(__xludf.DUMMYFUNCTION("TEXTJOIN(""|"",TRUE,UNIQUE(FILTER(SPLIT(F656,"" ""),LEN(SPLIT(F656,"" ""))&gt;2)))"),"астольный|декоративный|фонтан|эффектом|водопада|астольный|фонтан|используется|как|элемент|интерьерного|оформления|озда|визуальный|эффект|движения|воды|мягкий|фоновый|звук|рименяется|для|формирования|спокойной|атмосферы|помещении|онструкция|рассчитана|уста"&amp;"новку|горизонтальной|поверхности")</f>
        <v>астольный|декоративный|фонтан|эффектом|водопада|астольный|фонтан|используется|как|элемент|интерьерного|оформления|озда|визуальный|эффект|движения|воды|мягкий|фоновый|звук|рименяется|для|формирования|спокойной|атмосферы|помещении|онструкция|рассчитана|установку|горизонтальной|поверхности</v>
      </c>
      <c r="I656" s="1"/>
      <c r="J656" s="1"/>
    </row>
    <row r="657" spans="1:10" x14ac:dyDescent="0.2">
      <c r="A657" s="8" t="s">
        <v>1670</v>
      </c>
      <c r="B657" s="7" t="s">
        <v>1669</v>
      </c>
      <c r="C657" s="7" t="s">
        <v>1668</v>
      </c>
      <c r="D657" s="6">
        <v>10700</v>
      </c>
      <c r="E657" s="5">
        <v>1</v>
      </c>
      <c r="F657" s="4" t="str">
        <f ca="1">IFERROR(__xludf.DUMMYFUNCTION("LOWER(REGEXREPLACE(B657&amp;"" ""&amp;C657,""[^а-яa-z0-9 ]"","" ""))")," атуральный кристаллический гравий для аквариумов  разноцветные мини камешки  65 г   атуральный кристаллический гравий предназначен для использования в условиях дошкольного учреждения в соответствии с функциональным назначением изделия   рименяется при оф"&amp;"ормлении аквариумов  сенсорных зон  тематических уголков  а также в образовательной и предметно пространственной среде детского сада   ожет использоваться в познавательных  исследовательских и сенсорных занятиях под контролем педагога для развития тактиль"&amp;"ного восприятия  мелкой моторики  внимания и наблюдательности детей   атериал экологически безопасен  не имеет острых кра в  устойчив к влаге и механическому воздействию   арактеристики изделия обеспечивают безопасную и удобную эксплуатацию в помещениях  "&amp;"     онструкция и материалы соответствуют требованиям использования в детских учреждениях ")</f>
        <v xml:space="preserve"> атуральный кристаллический гравий для аквариумов  разноцветные мини камешки  65 г   атуральный кристаллический гравий предназначен для использования в условиях дошкольного учреждения в соответствии с функциональным назначением изделия   рименяется при оформлении аквариумов  сенсорных зон  тематических уголков  а также в образовательной и предметно пространственной среде детского сада   ожет использоваться в познавательных  исследовательских и сенсорных занятиях под контролем педагога для развития тактильного восприятия  мелкой моторики  внимания и наблюдательности детей   атериал экологически безопасен  не имеет острых кра в  устойчив к влаге и механическому воздействию   арактеристики изделия обеспечивают безопасную и удобную эксплуатацию в помещениях       онструкция и материалы соответствуют требованиям использования в детских учреждениях </v>
      </c>
      <c r="G657" s="4" t="str">
        <f ca="1">IFERROR(__xludf.DUMMYFUNCTION("TEXTJOIN(""|"",TRUE,UNIQUE(FILTER(SPLIT(F657,"" ""),LEN(SPLIT(F657,"" ""))&gt;2)))"),"атуральный|кристаллический|гравий|для|аквариумов|разноцветные|мини|камешки|атуральный|кристаллический|гравий|предназначен|для|использования|условиях|дошкольного|учреждения|соответствии|функциональным|назначением|изделия|рименяется|при|оформлении|аквариумо"&amp;"в|сенсорных|зон|тематических|уголков|также|образовательной|предметно|пространственной|среде|детского|сада|ожет|использоваться|познавательных|исследовательских|сенсорных|занятиях|под|контролем|педагога|для|развития|тактильного|восприятия|мелкой|моторики|вн"&amp;"имания|наблюдательности|детей|атериал|экологически|безопасен|имеет|острых|кра|устойчив|влаге|механическому|воздействию|арактеристики|изделия|обеспечивают|безопасную|удобную|эксплуатацию|помещениях|онструкция|материалы|соответствуют|требованиям|использован"&amp;"ия|детских|учреждениях")</f>
        <v>атуральный|кристаллический|гравий|для|аквариумов|разноцветные|мини|камешки|атуральный|кристаллический|гравий|предназначен|для|использования|условиях|дошкольного|учреждения|соответствии|функциональным|назначением|изделия|рименяется|при|оформлении|аквариумов|сенсорных|зон|тематических|уголков|также|образовательной|предметно|пространственной|среде|детского|сада|ожет|использоваться|познавательных|исследовательских|сенсорных|занятиях|под|контролем|педагога|для|развития|тактильного|восприятия|мелкой|моторики|внимания|наблюдательности|детей|атериал|экологически|безопасен|имеет|острых|кра|устойчив|влаге|механическому|воздействию|арактеристики|изделия|обеспечивают|безопасную|удобную|эксплуатацию|помещениях|онструкция|материалы|соответствуют|требованиям|использования|детских|учреждениях</v>
      </c>
      <c r="I657" s="1"/>
      <c r="J657" s="1"/>
    </row>
    <row r="658" spans="1:10" x14ac:dyDescent="0.2">
      <c r="A658" s="8" t="s">
        <v>1667</v>
      </c>
      <c r="B658" s="7" t="s">
        <v>1666</v>
      </c>
      <c r="C658" s="7" t="s">
        <v>1665</v>
      </c>
      <c r="D658" s="6">
        <v>30400</v>
      </c>
      <c r="E658" s="5">
        <v>5</v>
      </c>
      <c r="F658" s="4" t="str">
        <f ca="1">IFERROR(__xludf.DUMMYFUNCTION("LOWER(REGEXREPLACE(B658&amp;"" ""&amp;C658,""[^а-яa-z0-9 ]"","" ""))")," ациональная игра   сы    абор для национальной игры   сы   используется в игровой деятельности с элементами традиционной культуры    процессе игры выполняются действия по метанию  подбору и сортировке игровых элементов   акая форма игры способствует разв"&amp;"итию координации движений и интереса к народным играм   гровые элементы изготовлены из прочных материалов ")</f>
        <v xml:space="preserve"> ациональная игра   сы    абор для национальной игры   сы   используется в игровой деятельности с элементами традиционной культуры    процессе игры выполняются действия по метанию  подбору и сортировке игровых элементов   акая форма игры способствует развитию координации движений и интереса к народным играм   гровые элементы изготовлены из прочных материалов </v>
      </c>
      <c r="G658" s="4" t="str">
        <f ca="1">IFERROR(__xludf.DUMMYFUNCTION("TEXTJOIN(""|"",TRUE,UNIQUE(FILTER(SPLIT(F658,"" ""),LEN(SPLIT(F658,"" ""))&gt;2)))"),"ациональная|игра|абор|для|национальной|игры|используется|игровой|деятельности|элементами|традиционной|культуры|процессе|игры|выполняются|действия|метанию|подбору|сортировке|игровых|элементов|акая|форма|игры|способствует|развитию|координации|движений|интер"&amp;"еса|народным|играм|гровые|элементы|изготовлены|прочных|материалов")</f>
        <v>ациональная|игра|абор|для|национальной|игры|используется|игровой|деятельности|элементами|традиционной|культуры|процессе|игры|выполняются|действия|метанию|подбору|сортировке|игровых|элементов|акая|форма|игры|способствует|развитию|координации|движений|интереса|народным|играм|гровые|элементы|изготовлены|прочных|материалов</v>
      </c>
      <c r="I658" s="1"/>
      <c r="J658" s="1"/>
    </row>
    <row r="659" spans="1:10" x14ac:dyDescent="0.2">
      <c r="A659" s="8" t="s">
        <v>1664</v>
      </c>
      <c r="B659" s="7" t="s">
        <v>1663</v>
      </c>
      <c r="C659" s="7" t="s">
        <v>1662</v>
      </c>
      <c r="D659" s="6">
        <v>19600</v>
      </c>
      <c r="E659" s="5">
        <v>15</v>
      </c>
      <c r="F659" s="4" t="str">
        <f ca="1">IFERROR(__xludf.DUMMYFUNCTION("LOWER(REGEXREPLACE(B659&amp;"" ""&amp;C659,""[^а-яa-z0-9 ]"","" ""))")," ациональный костюм для девочек  редставляем вашему вниманию национальное платье для девочки в голубом цвете  в комплекте с головным убором   зготовлено из легкой и практичной ткани  обеспечивающей комфорт и долговечность   деально подходит для выступлени"&amp;"й  праздничных мероприятий и национальных празднико")</f>
        <v xml:space="preserve"> ациональный костюм для девочек  редставляем вашему вниманию национальное платье для девочки в голубом цвете  в комплекте с головным убором   зготовлено из легкой и практичной ткани  обеспечивающей комфорт и долговечность   деально подходит для выступлений  праздничных мероприятий и национальных празднико</v>
      </c>
      <c r="G659" s="4" t="str">
        <f ca="1">IFERROR(__xludf.DUMMYFUNCTION("TEXTJOIN(""|"",TRUE,UNIQUE(FILTER(SPLIT(F659,"" ""),LEN(SPLIT(F659,"" ""))&gt;2)))"),"ациональный|костюм|для|девочек|редставляем|вашему|вниманию|национальное|платье|для|девочки|голубом|цвете|комплекте|головным|убором|зготовлено|легкой|практичной|ткани|обеспечивающей|комфорт|долговечность|деально|подходит|для|выступлений|праздничных|меропри"&amp;"ятий|национальных|празднико")</f>
        <v>ациональный|костюм|для|девочек|редставляем|вашему|вниманию|национальное|платье|для|девочки|голубом|цвете|комплекте|головным|убором|зготовлено|легкой|практичной|ткани|обеспечивающей|комфорт|долговечность|деально|подходит|для|выступлений|праздничных|мероприятий|национальных|празднико</v>
      </c>
      <c r="I659" s="1"/>
      <c r="J659" s="1"/>
    </row>
    <row r="660" spans="1:10" x14ac:dyDescent="0.2">
      <c r="A660" s="8" t="s">
        <v>1661</v>
      </c>
      <c r="B660" s="7" t="s">
        <v>1660</v>
      </c>
      <c r="C660" s="7" t="s">
        <v>1659</v>
      </c>
      <c r="D660" s="6">
        <v>14000</v>
      </c>
      <c r="E660" s="5">
        <v>1</v>
      </c>
      <c r="F660" s="4" t="str">
        <f ca="1">IFERROR(__xludf.DUMMYFUNCTION("LOWER(REGEXREPLACE(B660&amp;"" ""&amp;C660,""[^а-яa-z0-9 ]"","" ""))")," еликий  бай   нциклопедия  буб к р      ужикова      айрамбаева   ")</f>
        <v xml:space="preserve"> еликий  бай   нциклопедия  буб к р      ужикова      айрамбаева   </v>
      </c>
      <c r="G660" s="4" t="str">
        <f ca="1">IFERROR(__xludf.DUMMYFUNCTION("TEXTJOIN(""|"",TRUE,UNIQUE(FILTER(SPLIT(F660,"" ""),LEN(SPLIT(F660,"" ""))&gt;2)))"),"еликий|бай|нциклопедия|буб|ужикова|айрамбаева")</f>
        <v>еликий|бай|нциклопедия|буб|ужикова|айрамбаева</v>
      </c>
      <c r="I660" s="1"/>
      <c r="J660" s="1"/>
    </row>
    <row r="661" spans="1:10" x14ac:dyDescent="0.2">
      <c r="A661" s="8" t="s">
        <v>1658</v>
      </c>
      <c r="B661" s="7" t="s">
        <v>1657</v>
      </c>
      <c r="C661" s="7" t="s">
        <v>1656</v>
      </c>
      <c r="D661" s="6">
        <v>19600</v>
      </c>
      <c r="E661" s="5">
        <v>15</v>
      </c>
      <c r="F661" s="4" t="str">
        <f ca="1">IFERROR(__xludf.DUMMYFUNCTION("LOWER(REGEXREPLACE(B661&amp;"" ""&amp;C661,""[^а-яa-z0-9 ]"","" ""))")," ациональный костюм для мальчиков  арнавальный и праздничный костюм предназначен для участия детей в культурных  тематических и национальных мероприятиях   спользуется в сюжетно ролевых играх  театрализованных постановках и праздниках   пособствует формир"&amp;"ованию интереса к традиционной культуре и развитию эмоциональной выразительности ")</f>
        <v xml:space="preserve"> ациональный костюм для мальчиков  арнавальный и праздничный костюм предназначен для участия детей в культурных  тематических и национальных мероприятиях   спользуется в сюжетно ролевых играх  театрализованных постановках и праздниках   пособствует формированию интереса к традиционной культуре и развитию эмоциональной выразительности </v>
      </c>
      <c r="G661" s="4" t="str">
        <f ca="1">IFERROR(__xludf.DUMMYFUNCTION("TEXTJOIN(""|"",TRUE,UNIQUE(FILTER(SPLIT(F661,"" ""),LEN(SPLIT(F661,"" ""))&gt;2)))"),"ациональный|костюм|для|мальчиков|арнавальный|праздничный|костюм|предназначен|для|участия|детей|культурных|тематических|национальных|мероприятиях|спользуется|сюжетно|ролевых|играх|театрализованных|постановках|праздниках|пособствует|формированию|интереса|тр"&amp;"адиционной|культуре|развитию|эмоциональной|выразительности")</f>
        <v>ациональный|костюм|для|мальчиков|арнавальный|праздничный|костюм|предназначен|для|участия|детей|культурных|тематических|национальных|мероприятиях|спользуется|сюжетно|ролевых|играх|театрализованных|постановках|праздниках|пособствует|формированию|интереса|традиционной|культуре|развитию|эмоциональной|выразительности</v>
      </c>
      <c r="I661" s="1"/>
      <c r="J661" s="1"/>
    </row>
    <row r="662" spans="1:10" x14ac:dyDescent="0.2">
      <c r="A662" s="8" t="s">
        <v>1655</v>
      </c>
      <c r="B662" s="7" t="s">
        <v>1654</v>
      </c>
      <c r="C662" s="7" t="s">
        <v>1653</v>
      </c>
      <c r="D662" s="6">
        <v>855000</v>
      </c>
      <c r="E662" s="5">
        <v>1</v>
      </c>
      <c r="F662" s="4" t="str">
        <f ca="1">IFERROR(__xludf.DUMMYFUNCTION("LOWER(REGEXREPLACE(B662&amp;"" ""&amp;C662,""[^а-яa-z0-9 ]"","" ""))")," ациональный элемент   а ыра    декоративный   екоративный элемент в виде казахского ша ырака для оформления этнокультурной атмосферы детской библиотеки   станавливается стационарно в углу помещения  крепится к стене  служит интерьерным акцентом   атериал"&amp;"   дерево или облегч нный композит   азмещение   настенное  угловое ")</f>
        <v xml:space="preserve"> ациональный элемент   а ыра    декоративный   екоративный элемент в виде казахского ша ырака для оформления этнокультурной атмосферы детской библиотеки   станавливается стационарно в углу помещения  крепится к стене  служит интерьерным акцентом   атериал   дерево или облегч нный композит   азмещение   настенное  угловое </v>
      </c>
      <c r="G662" s="4" t="str">
        <f ca="1">IFERROR(__xludf.DUMMYFUNCTION("TEXTJOIN(""|"",TRUE,UNIQUE(FILTER(SPLIT(F662,"" ""),LEN(SPLIT(F662,"" ""))&gt;2)))"),"ациональный|элемент|ыра|декоративный|екоративный|элемент|виде|казахского|ырака|для|оформления|этнокультурной|атмосферы|детской|библиотеки|станавливается|стационарно|углу|помещения|крепится|стене|служит|интерьерным|акцентом|атериал|дерево|или|облегч|нный|к"&amp;"омпозит|азмещение|настенное|угловое")</f>
        <v>ациональный|элемент|ыра|декоративный|екоративный|элемент|виде|казахского|ырака|для|оформления|этнокультурной|атмосферы|детской|библиотеки|станавливается|стационарно|углу|помещения|крепится|стене|служит|интерьерным|акцентом|атериал|дерево|или|облегч|нный|композит|азмещение|настенное|угловое</v>
      </c>
      <c r="I662" s="1"/>
      <c r="J662" s="1"/>
    </row>
    <row r="663" spans="1:10" x14ac:dyDescent="0.2">
      <c r="A663" s="8" t="s">
        <v>1652</v>
      </c>
      <c r="B663" s="7" t="s">
        <v>1651</v>
      </c>
      <c r="C663" s="7" t="s">
        <v>1650</v>
      </c>
      <c r="D663" s="6">
        <v>30200</v>
      </c>
      <c r="E663" s="5">
        <v>1</v>
      </c>
      <c r="F663" s="4" t="str">
        <f ca="1">IFERROR(__xludf.DUMMYFUNCTION("LOWER(REGEXREPLACE(B663&amp;"" ""&amp;C663,""[^а-яa-z0-9 ]"","" ""))")," ейроскутер  алансировочная доска на колесиках  роллерборд   цвет бежевый  выполнен из фанеры   редназначен для развивающих и игровых занятий в детском саду  способствует развитию логики  внимания  координации движений  баланса и мелкой моторики у детей д"&amp;"ошкольного возраста ")</f>
        <v xml:space="preserve"> ейроскутер  алансировочная доска на колесиках  роллерборд   цвет бежевый  выполнен из фанеры   редназначен для развивающих и игровых занятий в детском саду  способствует развитию логики  внимания  координации движений  баланса и мелкой моторики у детей дошкольного возраста </v>
      </c>
      <c r="G663" s="4" t="str">
        <f ca="1">IFERROR(__xludf.DUMMYFUNCTION("TEXTJOIN(""|"",TRUE,UNIQUE(FILTER(SPLIT(F663,"" ""),LEN(SPLIT(F663,"" ""))&gt;2)))"),"ейроскутер|алансировочная|доска|колесиках|роллерборд|цвет|бежевый|выполнен|фанеры|редназначен|для|развивающих|игровых|занятий|детском|саду|способствует|развитию|логики|внимания|координации|движений|баланса|мелкой|моторики|детей|дошкольного|возраста")</f>
        <v>ейроскутер|алансировочная|доска|колесиках|роллерборд|цвет|бежевый|выполнен|фанеры|редназначен|для|развивающих|игровых|занятий|детском|саду|способствует|развитию|логики|внимания|координации|движений|баланса|мелкой|моторики|детей|дошкольного|возраста</v>
      </c>
      <c r="I663" s="1"/>
      <c r="J663" s="1"/>
    </row>
    <row r="664" spans="1:10" x14ac:dyDescent="0.2">
      <c r="A664" s="8" t="s">
        <v>1649</v>
      </c>
      <c r="B664" s="7" t="s">
        <v>1648</v>
      </c>
      <c r="C664" s="7" t="s">
        <v>1647</v>
      </c>
      <c r="D664" s="6">
        <v>35500</v>
      </c>
      <c r="E664" s="5">
        <v>1</v>
      </c>
      <c r="F664" s="4" t="str">
        <f ca="1">IFERROR(__xludf.DUMMYFUNCTION("LOWER(REGEXREPLACE(B664&amp;"" ""&amp;C664,""[^а-яa-z0-9 ]"","" ""))")," ейротренажер для рук  азвивающий нейротренажер предназначен для стимуляции сенсомоторных зон кистей  развития координации движений  речи и межполушарного взаимодействия   спользуется в коррекционно развивающей работе с детьми дошкольного возраста  в том "&amp;"числе в логопедической практике ")</f>
        <v xml:space="preserve"> ейротренажер для рук  азвивающий нейротренажер предназначен для стимуляции сенсомоторных зон кистей  развития координации движений  речи и межполушарного взаимодействия   спользуется в коррекционно развивающей работе с детьми дошкольного возраста  в том числе в логопедической практике </v>
      </c>
      <c r="G664" s="4" t="str">
        <f ca="1">IFERROR(__xludf.DUMMYFUNCTION("TEXTJOIN(""|"",TRUE,UNIQUE(FILTER(SPLIT(F664,"" ""),LEN(SPLIT(F664,"" ""))&gt;2)))"),"ейротренажер|для|рук|азвивающий|нейротренажер|предназначен|для|стимуляции|сенсомоторных|зон|кистей|развития|координации|движений|речи|межполушарного|взаимодействия|спользуется|коррекционно|развивающей|работе|детьми|дошкольного|возраста|том|числе|логопедич"&amp;"еской|практике")</f>
        <v>ейротренажер|для|рук|азвивающий|нейротренажер|предназначен|для|стимуляции|сенсомоторных|зон|кистей|развития|координации|движений|речи|межполушарного|взаимодействия|спользуется|коррекционно|развивающей|работе|детьми|дошкольного|возраста|том|числе|логопедической|практике</v>
      </c>
      <c r="I664" s="1"/>
      <c r="J664" s="1"/>
    </row>
    <row r="665" spans="1:10" x14ac:dyDescent="0.2">
      <c r="A665" s="8" t="s">
        <v>1646</v>
      </c>
      <c r="B665" s="7" t="s">
        <v>1645</v>
      </c>
      <c r="C665" s="7" t="s">
        <v>1644</v>
      </c>
      <c r="D665" s="6">
        <v>3600</v>
      </c>
      <c r="E665" s="5">
        <v>1</v>
      </c>
      <c r="F665" s="4" t="str">
        <f ca="1">IFERROR(__xludf.DUMMYFUNCTION("LOWER(REGEXREPLACE(B665&amp;"" ""&amp;C665,""[^а-яa-z0-9 ]"","" ""))")," ельсон   elson  каз   рус   англ яз      ейси  перевод  ужикова      санова    ")</f>
        <v xml:space="preserve"> ельсон   elson  каз   рус   англ яз      ейси  перевод  ужикова      санова    </v>
      </c>
      <c r="G665" s="4" t="str">
        <f ca="1">IFERROR(__xludf.DUMMYFUNCTION("TEXTJOIN(""|"",TRUE,UNIQUE(FILTER(SPLIT(F665,"" ""),LEN(SPLIT(F665,"" ""))&gt;2)))"),"ельсон|elson|каз|рус|англ|ейси|перевод|ужикова|санова")</f>
        <v>ельсон|elson|каз|рус|англ|ейси|перевод|ужикова|санова</v>
      </c>
      <c r="I665" s="1"/>
      <c r="J665" s="1"/>
    </row>
    <row r="666" spans="1:10" x14ac:dyDescent="0.2">
      <c r="A666" s="8" t="s">
        <v>1643</v>
      </c>
      <c r="B666" s="7" t="s">
        <v>1642</v>
      </c>
      <c r="C666" s="7" t="s">
        <v>1641</v>
      </c>
      <c r="D666" s="6">
        <v>3000</v>
      </c>
      <c r="E666" s="5">
        <v>12</v>
      </c>
      <c r="F666" s="4" t="str">
        <f ca="1">IFERROR(__xludf.DUMMYFUNCTION("LOWER(REGEXREPLACE(B666&amp;"" ""&amp;C666,""[^а-яa-z0-9 ]"","" ""))")," итки  абор ниток предназначен для использования в творческой и учебной деятельности детей   рименяется на занятиях по ручному труду  аппликации и шитью под контролем педагога ")</f>
        <v xml:space="preserve"> итки  абор ниток предназначен для использования в творческой и учебной деятельности детей   рименяется на занятиях по ручному труду  аппликации и шитью под контролем педагога </v>
      </c>
      <c r="G666" s="4" t="str">
        <f ca="1">IFERROR(__xludf.DUMMYFUNCTION("TEXTJOIN(""|"",TRUE,UNIQUE(FILTER(SPLIT(F666,"" ""),LEN(SPLIT(F666,"" ""))&gt;2)))"),"итки|абор|ниток|предназначен|для|использования|творческой|учебной|деятельности|детей|рименяется|занятиях|ручному|труду|аппликации|шитью|под|контролем|педагога")</f>
        <v>итки|абор|ниток|предназначен|для|использования|творческой|учебной|деятельности|детей|рименяется|занятиях|ручному|труду|аппликации|шитью|под|контролем|педагога</v>
      </c>
      <c r="I666" s="1"/>
      <c r="J666" s="1"/>
    </row>
    <row r="667" spans="1:10" x14ac:dyDescent="0.2">
      <c r="A667" s="8" t="s">
        <v>1640</v>
      </c>
      <c r="B667" s="7" t="s">
        <v>1639</v>
      </c>
      <c r="C667" s="7" t="s">
        <v>1638</v>
      </c>
      <c r="D667" s="6">
        <v>1900</v>
      </c>
      <c r="E667" s="5">
        <v>45</v>
      </c>
      <c r="F667" s="4" t="str">
        <f ca="1">IFERROR(__xludf.DUMMYFUNCTION("LOWER(REGEXREPLACE(B667&amp;"" ""&amp;C667,""[^а-яa-z0-9 ]"","" ""))")," ожницы  етские ножницы предназначены для занятий по изобразительной деятельности и ручному труду   спользуются для развития мелкой моторики и координации движений   онструкция адаптирована для безопасного использования детьми ")</f>
        <v xml:space="preserve"> ожницы  етские ножницы предназначены для занятий по изобразительной деятельности и ручному труду   спользуются для развития мелкой моторики и координации движений   онструкция адаптирована для безопасного использования детьми </v>
      </c>
      <c r="G667" s="4" t="str">
        <f ca="1">IFERROR(__xludf.DUMMYFUNCTION("TEXTJOIN(""|"",TRUE,UNIQUE(FILTER(SPLIT(F667,"" ""),LEN(SPLIT(F667,"" ""))&gt;2)))"),"ожницы|етские|ножницы|предназначены|для|занятий|изобразительной|деятельности|ручному|труду|спользуются|для|развития|мелкой|моторики|координации|движений|онструкция|адаптирована|для|безопасного|использования|детьми")</f>
        <v>ожницы|етские|ножницы|предназначены|для|занятий|изобразительной|деятельности|ручному|труду|спользуются|для|развития|мелкой|моторики|координации|движений|онструкция|адаптирована|для|безопасного|использования|детьми</v>
      </c>
      <c r="I667" s="1"/>
      <c r="J667" s="1"/>
    </row>
    <row r="668" spans="1:10" x14ac:dyDescent="0.2">
      <c r="A668" s="8" t="s">
        <v>1637</v>
      </c>
      <c r="B668" s="7" t="s">
        <v>1636</v>
      </c>
      <c r="C668" s="7" t="s">
        <v>1635</v>
      </c>
      <c r="D668" s="6">
        <v>21700</v>
      </c>
      <c r="E668" s="5">
        <v>2</v>
      </c>
      <c r="F668" s="4" t="str">
        <f ca="1">IFERROR(__xludf.DUMMYFUNCTION("LOWER(REGEXREPLACE(B668&amp;"" ""&amp;C668,""[^а-яa-z0-9 ]"","" ""))")," ожницы с одним острым концом прямые  едицинские ножницы для проведения процедур  требующих точности ")</f>
        <v xml:space="preserve"> ожницы с одним острым концом прямые  едицинские ножницы для проведения процедур  требующих точности </v>
      </c>
      <c r="G668" s="4" t="str">
        <f ca="1">IFERROR(__xludf.DUMMYFUNCTION("TEXTJOIN(""|"",TRUE,UNIQUE(FILTER(SPLIT(F668,"" ""),LEN(SPLIT(F668,"" ""))&gt;2)))"),"ожницы|одним|острым|концом|прямые|едицинские|ножницы|для|проведения|процедур|требующих|точности")</f>
        <v>ожницы|одним|острым|концом|прямые|едицинские|ножницы|для|проведения|процедур|требующих|точности</v>
      </c>
      <c r="I668" s="1"/>
      <c r="J668" s="1"/>
    </row>
    <row r="669" spans="1:10" x14ac:dyDescent="0.2">
      <c r="A669" s="8" t="s">
        <v>1634</v>
      </c>
      <c r="B669" s="7" t="s">
        <v>1633</v>
      </c>
      <c r="C669" s="7" t="s">
        <v>1632</v>
      </c>
      <c r="D669" s="6">
        <v>9600</v>
      </c>
      <c r="E669" s="5">
        <v>2</v>
      </c>
      <c r="F669" s="4" t="str">
        <f ca="1">IFERROR(__xludf.DUMMYFUNCTION("LOWER(REGEXREPLACE(B669&amp;"" ""&amp;C669,""[^а-яa-z0-9 ]"","" ""))")," ожницы тупоконечные  спользуются для медицинских и хозяйственных нужд   езопасны за сч т закругл нных концов ")</f>
        <v xml:space="preserve"> ожницы тупоконечные  спользуются для медицинских и хозяйственных нужд   езопасны за сч т закругл нных концов </v>
      </c>
      <c r="G669" s="4" t="str">
        <f ca="1">IFERROR(__xludf.DUMMYFUNCTION("TEXTJOIN(""|"",TRUE,UNIQUE(FILTER(SPLIT(F669,"" ""),LEN(SPLIT(F669,"" ""))&gt;2)))"),"ожницы|тупоконечные|спользуются|для|медицинских|хозяйственных|нужд|езопасны|закругл|нных|концов")</f>
        <v>ожницы|тупоконечные|спользуются|для|медицинских|хозяйственных|нужд|езопасны|закругл|нных|концов</v>
      </c>
      <c r="I669" s="1"/>
      <c r="J669" s="1"/>
    </row>
    <row r="670" spans="1:10" x14ac:dyDescent="0.2">
      <c r="A670" s="8" t="s">
        <v>1631</v>
      </c>
      <c r="B670" s="7" t="s">
        <v>1630</v>
      </c>
      <c r="C670" s="7" t="s">
        <v>1629</v>
      </c>
      <c r="D670" s="6">
        <v>9100</v>
      </c>
      <c r="E670" s="5">
        <v>5</v>
      </c>
      <c r="F670" s="4" t="str">
        <f ca="1">IFERROR(__xludf.DUMMYFUNCTION("LOWER(REGEXREPLACE(B670&amp;"" ""&amp;C670,""[^а-яa-z0-9 ]"","" ""))")," ертушки для подвижных игр на улице  ертушки используются в подвижных играх на открытом воздухе    процессе игры выполняются действия  связанные с вращением изделия под воздействием ветра или движения   рименяются для организации активной деятельности   з"&amp;"готовлены из пластика и предназначены для уличного использования ")</f>
        <v xml:space="preserve"> ертушки для подвижных игр на улице  ертушки используются в подвижных играх на открытом воздухе    процессе игры выполняются действия  связанные с вращением изделия под воздействием ветра или движения   рименяются для организации активной деятельности   зготовлены из пластика и предназначены для уличного использования </v>
      </c>
      <c r="G670" s="4" t="str">
        <f ca="1">IFERROR(__xludf.DUMMYFUNCTION("TEXTJOIN(""|"",TRUE,UNIQUE(FILTER(SPLIT(F670,"" ""),LEN(SPLIT(F670,"" ""))&gt;2)))"),"ертушки|для|подвижных|игр|улице|ертушки|используются|подвижных|играх|открытом|воздухе|процессе|игры|выполняются|действия|связанные|вращением|изделия|под|воздействием|ветра|или|движения|рименяются|для|организации|активной|деятельности|зготовлены|пластика|п"&amp;"редназначены|для|уличного|использования")</f>
        <v>ертушки|для|подвижных|игр|улице|ертушки|используются|подвижных|играх|открытом|воздухе|процессе|игры|выполняются|действия|связанные|вращением|изделия|под|воздействием|ветра|или|движения|рименяются|для|организации|активной|деятельности|зготовлены|пластика|предназначены|для|уличного|использования</v>
      </c>
      <c r="I670" s="1"/>
      <c r="J670" s="1"/>
    </row>
    <row r="671" spans="1:10" x14ac:dyDescent="0.2">
      <c r="A671" s="8" t="s">
        <v>1628</v>
      </c>
      <c r="B671" s="7" t="s">
        <v>1627</v>
      </c>
      <c r="C671" s="7" t="s">
        <v>1626</v>
      </c>
      <c r="D671" s="6">
        <v>122300</v>
      </c>
      <c r="E671" s="5">
        <v>4</v>
      </c>
      <c r="F671" s="4" t="str">
        <f ca="1">IFERROR(__xludf.DUMMYFUNCTION("LOWER(REGEXREPLACE(B671&amp;"" ""&amp;C671,""[^а-яa-z0-9 ]"","" ""))")," блучатель бактерицидный obn 150 kront  акт   ффективность  99 9    99 0    95 0   роизводительность  100   150   230  м3 час  актерицидные лампы  2 х 30  т  араметры  1090х150х100 мм ")</f>
        <v xml:space="preserve"> блучатель бактерицидный obn 150 kront  акт   ффективность  99 9    99 0    95 0   роизводительность  100   150   230  м3 час  актерицидные лампы  2 х 30  т  араметры  1090х150х100 мм </v>
      </c>
      <c r="G671" s="4" t="str">
        <f ca="1">IFERROR(__xludf.DUMMYFUNCTION("TEXTJOIN(""|"",TRUE,UNIQUE(FILTER(SPLIT(F671,"" ""),LEN(SPLIT(F671,"" ""))&gt;2)))"),"блучатель|бактерицидный|obn|150|kront|акт|ффективность|роизводительность|100|150|230|час|актерицидные|лампы|араметры|1090х150х100")</f>
        <v>блучатель|бактерицидный|obn|150|kront|акт|ффективность|роизводительность|100|150|230|час|актерицидные|лампы|араметры|1090х150х100</v>
      </c>
      <c r="I671" s="1"/>
      <c r="J671" s="1"/>
    </row>
    <row r="672" spans="1:10" x14ac:dyDescent="0.2">
      <c r="A672" s="8" t="s">
        <v>1625</v>
      </c>
      <c r="B672" s="7" t="s">
        <v>1624</v>
      </c>
      <c r="C672" s="7" t="s">
        <v>1623</v>
      </c>
      <c r="D672" s="6">
        <v>1658600</v>
      </c>
      <c r="E672" s="5">
        <v>1</v>
      </c>
      <c r="F672" s="4" t="str">
        <f ca="1">IFERROR(__xludf.DUMMYFUNCTION("LOWER(REGEXREPLACE(B672&amp;"" ""&amp;C672,""[^а-яa-z0-9 ]"","" ""))")," борудование для лазания и координации движений  борудование используется для организации двигательной активности с элементами лазания и преодоления препятствий    процессе выполнения упражнений задействуются координация движений и ориентировка в простран"&amp;"стве   редназначено для размещения в помещениях ")</f>
        <v xml:space="preserve"> борудование для лазания и координации движений  борудование используется для организации двигательной активности с элементами лазания и преодоления препятствий    процессе выполнения упражнений задействуются координация движений и ориентировка в пространстве   редназначено для размещения в помещениях </v>
      </c>
      <c r="G672" s="4" t="str">
        <f ca="1">IFERROR(__xludf.DUMMYFUNCTION("TEXTJOIN(""|"",TRUE,UNIQUE(FILTER(SPLIT(F672,"" ""),LEN(SPLIT(F672,"" ""))&gt;2)))"),"борудование|для|лазания|координации|движений|борудование|используется|для|организации|двигательной|активности|элементами|лазания|преодоления|препятствий|процессе|выполнения|упражнений|задействуются|координация|движений|ориентировка|пространстве|редназначе"&amp;"но|для|размещения|помещениях")</f>
        <v>борудование|для|лазания|координации|движений|борудование|используется|для|организации|двигательной|активности|элементами|лазания|преодоления|препятствий|процессе|выполнения|упражнений|задействуются|координация|движений|ориентировка|пространстве|редназначено|для|размещения|помещениях</v>
      </c>
      <c r="I672" s="1"/>
      <c r="J672" s="1"/>
    </row>
    <row r="673" spans="1:10" x14ac:dyDescent="0.2">
      <c r="A673" s="8" t="s">
        <v>1622</v>
      </c>
      <c r="B673" s="7" t="s">
        <v>1621</v>
      </c>
      <c r="C673" s="7" t="s">
        <v>1620</v>
      </c>
      <c r="D673" s="6">
        <v>5300</v>
      </c>
      <c r="E673" s="5">
        <v>1</v>
      </c>
      <c r="F673" s="4" t="str">
        <f ca="1">IFERROR(__xludf.DUMMYFUNCTION("LOWER(REGEXREPLACE(B673&amp;"" ""&amp;C673,""[^а-яa-z0-9 ]"","" ""))")," бразовательные карточки  бразовательные карточки предназначены для использования в образовательной деятельности с детьми дошкольного возраста   рименяются для развития речи  расширения словарного запаса  формирования представлений об окружающем мире  кла"&amp;"ссификации объектов и развития зрительного восприятия   арточки содержат изображения по тематическим категориям  домашние и дикие животные  морские обитатели  насекомые  птицы  фрукты  овощи и др     атериал карточек плотный  износостойкий  безопасный для"&amp;" детей  обеспечивает удобство использования и долговечность при эксплуатации в условиях     ")</f>
        <v xml:space="preserve"> бразовательные карточки  бразовательные карточки предназначены для использования в образовательной деятельности с детьми дошкольного возраста   рименяются для развития речи  расширения словарного запаса  формирования представлений об окружающем мире  классификации объектов и развития зрительного восприятия   арточки содержат изображения по тематическим категориям  домашние и дикие животные  морские обитатели  насекомые  птицы  фрукты  овощи и др     атериал карточек плотный  износостойкий  безопасный для детей  обеспечивает удобство использования и долговечность при эксплуатации в условиях     </v>
      </c>
      <c r="G673" s="4" t="str">
        <f ca="1">IFERROR(__xludf.DUMMYFUNCTION("TEXTJOIN(""|"",TRUE,UNIQUE(FILTER(SPLIT(F673,"" ""),LEN(SPLIT(F673,"" ""))&gt;2)))"),"бразовательные|карточки|бразовательные|карточки|предназначены|для|использования|образовательной|деятельности|детьми|дошкольного|возраста|рименяются|для|развития|речи|расширения|словарного|запаса|формирования|представлений|окружающем|мире|классификации|объ"&amp;"ектов|развития|зрительного|восприятия|арточки|содержат|изображения|тематическим|категориям|домашние|дикие|животные|морские|обитатели|насекомые|птицы|фрукты|овощи|атериал|карточек|плотный|износостойкий|безопасный|для|детей|обеспечивает|удобство|использован"&amp;"ия|долговечность|при|эксплуатации|условиях")</f>
        <v>бразовательные|карточки|бразовательные|карточки|предназначены|для|использования|образовательной|деятельности|детьми|дошкольного|возраста|рименяются|для|развития|речи|расширения|словарного|запаса|формирования|представлений|окружающем|мире|классификации|объектов|развития|зрительного|восприятия|арточки|содержат|изображения|тематическим|категориям|домашние|дикие|животные|морские|обитатели|насекомые|птицы|фрукты|овощи|атериал|карточек|плотный|износостойкий|безопасный|для|детей|обеспечивает|удобство|использования|долговечность|при|эксплуатации|условиях</v>
      </c>
      <c r="I673" s="1"/>
      <c r="J673" s="1"/>
    </row>
    <row r="674" spans="1:10" x14ac:dyDescent="0.2">
      <c r="A674" s="8" t="s">
        <v>1619</v>
      </c>
      <c r="B674" s="7" t="s">
        <v>1618</v>
      </c>
      <c r="C674" s="7" t="s">
        <v>1617</v>
      </c>
      <c r="D674" s="6">
        <v>4800</v>
      </c>
      <c r="E674" s="5">
        <v>20</v>
      </c>
      <c r="F674" s="4" t="str">
        <f ca="1">IFERROR(__xludf.DUMMYFUNCTION("LOWER(REGEXREPLACE(B674&amp;"" ""&amp;C674,""[^а-яa-z0-9 ]"","" ""))")," бручи разных размеров  омплект обручей различных диаметров предназначен для организации разнообразных подвижных и спортивных игр в условиях       спользуется для упражнений на координацию  развитие гибкости  ориентации в пространстве  а также в эстафетах"&amp;" и сюжетных играх   бручи подходят для детей разного возраста  безопасны в использовании  устойчивы к износу и обеспечивают комфортную эксплуатацию в помещениях и на открытых площадках детского сада ")</f>
        <v xml:space="preserve"> бручи разных размеров  омплект обручей различных диаметров предназначен для организации разнообразных подвижных и спортивных игр в условиях       спользуется для упражнений на координацию  развитие гибкости  ориентации в пространстве  а также в эстафетах и сюжетных играх   бручи подходят для детей разного возраста  безопасны в использовании  устойчивы к износу и обеспечивают комфортную эксплуатацию в помещениях и на открытых площадках детского сада </v>
      </c>
      <c r="G674" s="4" t="str">
        <f ca="1">IFERROR(__xludf.DUMMYFUNCTION("TEXTJOIN(""|"",TRUE,UNIQUE(FILTER(SPLIT(F674,"" ""),LEN(SPLIT(F674,"" ""))&gt;2)))"),"бручи|разных|размеров|омплект|обручей|различных|диаметров|предназначен|для|организации|разнообразных|подвижных|спортивных|игр|условиях|спользуется|для|упражнений|координацию|развитие|гибкости|ориентации|пространстве|также|эстафетах|сюжетных|играх|бручи|по"&amp;"дходят|для|детей|разного|возраста|безопасны|использовании|устойчивы|износу|обеспечивают|комфортную|эксплуатацию|помещениях|открытых|площадках|детского|сада")</f>
        <v>бручи|разных|размеров|омплект|обручей|различных|диаметров|предназначен|для|организации|разнообразных|подвижных|спортивных|игр|условиях|спользуется|для|упражнений|координацию|развитие|гибкости|ориентации|пространстве|также|эстафетах|сюжетных|играх|бручи|подходят|для|детей|разного|возраста|безопасны|использовании|устойчивы|износу|обеспечивают|комфортную|эксплуатацию|помещениях|открытых|площадках|детского|сада</v>
      </c>
      <c r="I674" s="1"/>
      <c r="J674" s="1"/>
    </row>
    <row r="675" spans="1:10" x14ac:dyDescent="0.2">
      <c r="A675" s="8" t="s">
        <v>1616</v>
      </c>
      <c r="B675" s="7" t="s">
        <v>1615</v>
      </c>
      <c r="C675" s="7" t="s">
        <v>1614</v>
      </c>
      <c r="D675" s="6">
        <v>10600</v>
      </c>
      <c r="E675" s="5">
        <v>5</v>
      </c>
      <c r="F675" s="4" t="str">
        <f ca="1">IFERROR(__xludf.DUMMYFUNCTION("LOWER(REGEXREPLACE(B675&amp;"" ""&amp;C675,""[^а-яa-z0-9 ]"","" ""))")," бучающая игра   остав числа   набор карточек   абор карточек используется для выполнения заданий на разложение чисел и закрепление сложения и вычитания    процессе работы выполняется подбор карточек и составление правильных комбинаций по условию задания "&amp;"  акая деятельность способствует развитию логического мышления и навыков сч та   атериалы набора включают бумажные карточки и элементы из дерева ")</f>
        <v xml:space="preserve"> бучающая игра   остав числа   набор карточек   абор карточек используется для выполнения заданий на разложение чисел и закрепление сложения и вычитания    процессе работы выполняется подбор карточек и составление правильных комбинаций по условию задания   акая деятельность способствует развитию логического мышления и навыков сч та   атериалы набора включают бумажные карточки и элементы из дерева </v>
      </c>
      <c r="G675" s="4" t="str">
        <f ca="1">IFERROR(__xludf.DUMMYFUNCTION("TEXTJOIN(""|"",TRUE,UNIQUE(FILTER(SPLIT(F675,"" ""),LEN(SPLIT(F675,"" ""))&gt;2)))"),"бучающая|игра|остав|числа|набор|карточек|абор|карточек|используется|для|выполнения|заданий|разложение|чисел|закрепление|сложения|вычитания|процессе|работы|выполняется|подбор|карточек|составление|правильных|комбинаций|условию|задания|акая|деятельность|спос"&amp;"обствует|развитию|логического|мышления|навыков|атериалы|набора|включают|бумажные|карточки|элементы|дерева")</f>
        <v>бучающая|игра|остав|числа|набор|карточек|абор|карточек|используется|для|выполнения|заданий|разложение|чисел|закрепление|сложения|вычитания|процессе|работы|выполняется|подбор|карточек|составление|правильных|комбинаций|условию|задания|акая|деятельность|способствует|развитию|логического|мышления|навыков|атериалы|набора|включают|бумажные|карточки|элементы|дерева</v>
      </c>
      <c r="I675" s="1"/>
      <c r="J675" s="1"/>
    </row>
    <row r="676" spans="1:10" x14ac:dyDescent="0.2">
      <c r="A676" s="8" t="s">
        <v>1613</v>
      </c>
      <c r="B676" s="7" t="s">
        <v>1612</v>
      </c>
      <c r="C676" s="7" t="s">
        <v>1611</v>
      </c>
      <c r="D676" s="6">
        <v>2600</v>
      </c>
      <c r="E676" s="5">
        <v>5</v>
      </c>
      <c r="F676" s="4" t="str">
        <f ca="1">IFERROR(__xludf.DUMMYFUNCTION("LOWER(REGEXREPLACE(B676&amp;"" ""&amp;C676,""[^а-яa-z0-9 ]"","" ""))")," бучающие карточки   ремена года   дидактический материал   идактический набор обучающих карточек предназначен для формирования у детей дошкольного возраста представлений о временах года  сезонных изменениях в природе и окружающем мире   спользуется в обр"&amp;"азовательной  развивающей и коррекционной работе   арточки способствуют развитию речи  памяти  внимания и логического мышления   атериал плотный  устойчивый к износу  безопасный для использования в детских учреждениях ")</f>
        <v xml:space="preserve"> бучающие карточки   ремена года   дидактический материал   идактический набор обучающих карточек предназначен для формирования у детей дошкольного возраста представлений о временах года  сезонных изменениях в природе и окружающем мире   спользуется в образовательной  развивающей и коррекционной работе   арточки способствуют развитию речи  памяти  внимания и логического мышления   атериал плотный  устойчивый к износу  безопасный для использования в детских учреждениях </v>
      </c>
      <c r="G676" s="4" t="str">
        <f ca="1">IFERROR(__xludf.DUMMYFUNCTION("TEXTJOIN(""|"",TRUE,UNIQUE(FILTER(SPLIT(F676,"" ""),LEN(SPLIT(F676,"" ""))&gt;2)))"),"бучающие|карточки|ремена|года|дидактический|материал|идактический|набор|обучающих|карточек|предназначен|для|формирования|детей|дошкольного|возраста|представлений|временах|года|сезонных|изменениях|природе|окружающем|мире|спользуется|образовательной|развива"&amp;"ющей|коррекционной|работе|арточки|способствуют|развитию|речи|памяти|внимания|логического|мышления|атериал|плотный|устойчивый|износу|безопасный|для|использования|детских|учреждениях")</f>
        <v>бучающие|карточки|ремена|года|дидактический|материал|идактический|набор|обучающих|карточек|предназначен|для|формирования|детей|дошкольного|возраста|представлений|временах|года|сезонных|изменениях|природе|окружающем|мире|спользуется|образовательной|развивающей|коррекционной|работе|арточки|способствуют|развитию|речи|памяти|внимания|логического|мышления|атериал|плотный|устойчивый|износу|безопасный|для|использования|детских|учреждениях</v>
      </c>
      <c r="I676" s="1"/>
      <c r="J676" s="1"/>
    </row>
    <row r="677" spans="1:10" x14ac:dyDescent="0.2">
      <c r="A677" s="8" t="s">
        <v>1610</v>
      </c>
      <c r="B677" s="7" t="s">
        <v>1609</v>
      </c>
      <c r="C677" s="7" t="s">
        <v>1608</v>
      </c>
      <c r="D677" s="6">
        <v>26600</v>
      </c>
      <c r="E677" s="5">
        <v>1</v>
      </c>
      <c r="F677" s="4" t="str">
        <f ca="1">IFERROR(__xludf.DUMMYFUNCTION("LOWER(REGEXREPLACE(B677&amp;"" ""&amp;C677,""[^а-яa-z0-9 ]"","" ""))")," бучающие плакаты для дошкольников  абор обучающих плакатов предназначен для оформления развивающей предметно пространственной среды в группах       спользуется для наглядного обучения и систематизации знаний детей дошкольного возраста   ематика плакатов "&amp;"охватывает основные образовательные направления  цвета и формы  алфавит  сч т  животные  времена года  сутки и часы   лакаты выполнены в наглядной и доступной форме  безопасны и удобны для размещения в помещениях детского сада ")</f>
        <v xml:space="preserve"> бучающие плакаты для дошкольников  абор обучающих плакатов предназначен для оформления развивающей предметно пространственной среды в группах       спользуется для наглядного обучения и систематизации знаний детей дошкольного возраста   ематика плакатов охватывает основные образовательные направления  цвета и формы  алфавит  сч т  животные  времена года  сутки и часы   лакаты выполнены в наглядной и доступной форме  безопасны и удобны для размещения в помещениях детского сада </v>
      </c>
      <c r="G677" s="4" t="str">
        <f ca="1">IFERROR(__xludf.DUMMYFUNCTION("TEXTJOIN(""|"",TRUE,UNIQUE(FILTER(SPLIT(F677,"" ""),LEN(SPLIT(F677,"" ""))&gt;2)))"),"бучающие|плакаты|для|дошкольников|абор|обучающих|плакатов|предназначен|для|оформления|развивающей|предметно|пространственной|среды|группах|спользуется|для|наглядного|обучения|систематизации|знаний|детей|дошкольного|возраста|ематика|плакатов|охватывает|осн"&amp;"овные|образовательные|направления|цвета|формы|алфавит|животные|времена|года|сутки|часы|лакаты|выполнены|наглядной|доступной|форме|безопасны|удобны|для|размещения|помещениях|детского|сада")</f>
        <v>бучающие|плакаты|для|дошкольников|абор|обучающих|плакатов|предназначен|для|оформления|развивающей|предметно|пространственной|среды|группах|спользуется|для|наглядного|обучения|систематизации|знаний|детей|дошкольного|возраста|ематика|плакатов|охватывает|основные|образовательные|направления|цвета|формы|алфавит|животные|времена|года|сутки|часы|лакаты|выполнены|наглядной|доступной|форме|безопасны|удобны|для|размещения|помещениях|детского|сада</v>
      </c>
      <c r="I677" s="1"/>
      <c r="J677" s="1"/>
    </row>
    <row r="678" spans="1:10" x14ac:dyDescent="0.2">
      <c r="A678" s="8" t="s">
        <v>1607</v>
      </c>
      <c r="B678" s="7" t="s">
        <v>1606</v>
      </c>
      <c r="C678" s="7" t="s">
        <v>1605</v>
      </c>
      <c r="D678" s="6">
        <v>5700</v>
      </c>
      <c r="E678" s="5">
        <v>1</v>
      </c>
      <c r="F678" s="4" t="str">
        <f ca="1">IFERROR(__xludf.DUMMYFUNCTION("LOWER(REGEXREPLACE(B678&amp;"" ""&amp;C678,""[^а-яa-z0-9 ]"","" ""))")," бучающий набор развивающих карточек на казахском языке  бучающий набор предназначен для развития речевых и познавательных навыков детей дошкольного возраста   спользуется в образовательной деятельности для изучения окружающего мира  расширения словарного"&amp;" запаса и формирования многоязычной среды   арточки сгруппированы по тематическим разделам и содержат наименования предметов на казахском  русском и английском языках   абор способствует развитию памяти  внимания и коммуникативных навыков   атериалы безоп"&amp;"асны и соответствуют условиям эксплуатации в     ")</f>
        <v xml:space="preserve"> бучающий набор развивающих карточек на казахском языке  бучающий набор предназначен для развития речевых и познавательных навыков детей дошкольного возраста   спользуется в образовательной деятельности для изучения окружающего мира  расширения словарного запаса и формирования многоязычной среды   арточки сгруппированы по тематическим разделам и содержат наименования предметов на казахском  русском и английском языках   абор способствует развитию памяти  внимания и коммуникативных навыков   атериалы безопасны и соответствуют условиям эксплуатации в     </v>
      </c>
      <c r="G678" s="4" t="str">
        <f ca="1">IFERROR(__xludf.DUMMYFUNCTION("TEXTJOIN(""|"",TRUE,UNIQUE(FILTER(SPLIT(F678,"" ""),LEN(SPLIT(F678,"" ""))&gt;2)))"),"бучающий|набор|развивающих|карточек|казахском|языке|бучающий|набор|предназначен|для|развития|речевых|познавательных|навыков|детей|дошкольного|возраста|спользуется|образовательной|деятельности|для|изучения|окружающего|мира|расширения|словарного|запаса|форм"&amp;"ирования|многоязычной|среды|арточки|сгруппированы|тематическим|разделам|содержат|наименования|предметов|казахском|русском|английском|языках|абор|способствует|развитию|памяти|внимания|коммуникативных|навыков|атериалы|безопасны|соответствуют|условиям|эксплу"&amp;"атации")</f>
        <v>бучающий|набор|развивающих|карточек|казахском|языке|бучающий|набор|предназначен|для|развития|речевых|познавательных|навыков|детей|дошкольного|возраста|спользуется|образовательной|деятельности|для|изучения|окружающего|мира|расширения|словарного|запаса|формирования|многоязычной|среды|арточки|сгруппированы|тематическим|разделам|содержат|наименования|предметов|казахском|русском|английском|языках|абор|способствует|развитию|памяти|внимания|коммуникативных|навыков|атериалы|безопасны|соответствуют|условиям|эксплуатации</v>
      </c>
      <c r="I678" s="1"/>
      <c r="J678" s="1"/>
    </row>
    <row r="679" spans="1:10" x14ac:dyDescent="0.2">
      <c r="A679" s="8" t="s">
        <v>1604</v>
      </c>
      <c r="B679" s="7" t="s">
        <v>1603</v>
      </c>
      <c r="C679" s="7" t="s">
        <v>1602</v>
      </c>
      <c r="D679" s="6">
        <v>36000</v>
      </c>
      <c r="E679" s="5">
        <v>320</v>
      </c>
      <c r="F679" s="4" t="str">
        <f ca="1">IFERROR(__xludf.DUMMYFUNCTION("LOWER(REGEXREPLACE(B679&amp;"" ""&amp;C679,""[^а-яa-z0-9 ]"","" ""))")," деяло детское  етское одеяло предназначено для использования в условиях дошкольного учреждения во время дневного сна и отдыха детей   зготовлено из безопасных  гипоаллергенных материалов  обеспечивает комфортный микроклимат и соответствует санитарно гиги"&amp;"еническим требованиям  предъявляемым к изделиям для детских учреждений ")</f>
        <v xml:space="preserve"> деяло детское  етское одеяло предназначено для использования в условиях дошкольного учреждения во время дневного сна и отдыха детей   зготовлено из безопасных  гипоаллергенных материалов  обеспечивает комфортный микроклимат и соответствует санитарно гигиеническим требованиям  предъявляемым к изделиям для детских учреждений </v>
      </c>
      <c r="G679" s="4" t="str">
        <f ca="1">IFERROR(__xludf.DUMMYFUNCTION("TEXTJOIN(""|"",TRUE,UNIQUE(FILTER(SPLIT(F679,"" ""),LEN(SPLIT(F679,"" ""))&gt;2)))"),"деяло|детское|етское|одеяло|предназначено|для|использования|условиях|дошкольного|учреждения|время|дневного|сна|отдыха|детей|зготовлено|безопасных|гипоаллергенных|материалов|обеспечивает|комфортный|микроклимат|соответствует|санитарно|гигиеническим|требован"&amp;"иям|предъявляемым|изделиям|для|детских|учреждений")</f>
        <v>деяло|детское|етское|одеяло|предназначено|для|использования|условиях|дошкольного|учреждения|время|дневного|сна|отдыха|детей|зготовлено|безопасных|гипоаллергенных|материалов|обеспечивает|комфортный|микроклимат|соответствует|санитарно|гигиеническим|требованиям|предъявляемым|изделиям|для|детских|учреждений</v>
      </c>
      <c r="I679" s="1"/>
      <c r="J679" s="1"/>
    </row>
    <row r="680" spans="1:10" x14ac:dyDescent="0.2">
      <c r="A680" s="8" t="s">
        <v>1601</v>
      </c>
      <c r="B680" s="7" t="s">
        <v>1600</v>
      </c>
      <c r="C680" s="7" t="s">
        <v>1599</v>
      </c>
      <c r="D680" s="6">
        <v>9900</v>
      </c>
      <c r="E680" s="5">
        <v>7</v>
      </c>
      <c r="F680" s="4" t="str">
        <f ca="1">IFERROR(__xludf.DUMMYFUNCTION("LOWER(REGEXREPLACE(B680&amp;"" ""&amp;C680,""[^а-яa-z0-9 ]"","" ""))")," есы детские   набор входит    весы с двумя лотками    6 грузов различного веса    вет в ассортименте без возможности выбора    азмер игрушки  28 x 13 x 12 7 см   атериал  пластик ")</f>
        <v xml:space="preserve"> есы детские   набор входит    весы с двумя лотками    6 грузов различного веса    вет в ассортименте без возможности выбора    азмер игрушки  28 x 13 x 12 7 см   атериал  пластик </v>
      </c>
      <c r="G680" s="4" t="str">
        <f ca="1">IFERROR(__xludf.DUMMYFUNCTION("TEXTJOIN(""|"",TRUE,UNIQUE(FILTER(SPLIT(F680,"" ""),LEN(SPLIT(F680,"" ""))&gt;2)))"),"есы|детские|набор|входит|весы|двумя|лотками|грузов|различного|веса|вет|ассортименте|без|возможности|выбора|азмер|игрушки|атериал|пластик")</f>
        <v>есы|детские|набор|входит|весы|двумя|лотками|грузов|различного|веса|вет|ассортименте|без|возможности|выбора|азмер|игрушки|атериал|пластик</v>
      </c>
      <c r="I680" s="1"/>
      <c r="J680" s="1"/>
    </row>
    <row r="681" spans="1:10" x14ac:dyDescent="0.2">
      <c r="A681" s="8" t="s">
        <v>1598</v>
      </c>
      <c r="B681" s="7" t="s">
        <v>1597</v>
      </c>
      <c r="C681" s="7" t="s">
        <v>1596</v>
      </c>
      <c r="D681" s="6">
        <v>12600</v>
      </c>
      <c r="E681" s="5">
        <v>1</v>
      </c>
      <c r="F681" s="4" t="str">
        <f ca="1">IFERROR(__xludf.DUMMYFUNCTION("LOWER(REGEXREPLACE(B681&amp;"" ""&amp;C681,""[^а-яa-z0-9 ]"","" ""))")," йсана  л ппес    уа ты шума тар    алжанова")</f>
        <v xml:space="preserve"> йсана  л ппес    уа ты шума тар    алжанова</v>
      </c>
      <c r="G681" s="4" t="str">
        <f ca="1">IFERROR(__xludf.DUMMYFUNCTION("TEXTJOIN(""|"",TRUE,UNIQUE(FILTER(SPLIT(F681,"" ""),LEN(SPLIT(F681,"" ""))&gt;2)))"),"йсана|ппес|шума|тар|алжанова")</f>
        <v>йсана|ппес|шума|тар|алжанова</v>
      </c>
      <c r="I681" s="1"/>
      <c r="J681" s="1"/>
    </row>
    <row r="682" spans="1:10" x14ac:dyDescent="0.2">
      <c r="A682" s="8" t="s">
        <v>1595</v>
      </c>
      <c r="B682" s="7" t="s">
        <v>1594</v>
      </c>
      <c r="C682" s="7" t="s">
        <v>1593</v>
      </c>
      <c r="D682" s="6">
        <v>2200</v>
      </c>
      <c r="E682" s="5">
        <v>1</v>
      </c>
      <c r="F682" s="4" t="str">
        <f ca="1">IFERROR(__xludf.DUMMYFUNCTION("LOWER(REGEXREPLACE(B682&amp;"" ""&amp;C682,""[^а-яa-z0-9 ]"","" ""))")," ни были первыми  умисбаев   ")</f>
        <v xml:space="preserve"> ни были первыми  умисбаев   </v>
      </c>
      <c r="G682" s="4" t="str">
        <f ca="1">IFERROR(__xludf.DUMMYFUNCTION("TEXTJOIN(""|"",TRUE,UNIQUE(FILTER(SPLIT(F682,"" ""),LEN(SPLIT(F682,"" ""))&gt;2)))"),"были|первыми|умисбаев")</f>
        <v>были|первыми|умисбаев</v>
      </c>
      <c r="I682" s="1"/>
      <c r="J682" s="1"/>
    </row>
    <row r="683" spans="1:10" x14ac:dyDescent="0.2">
      <c r="A683" s="8" t="s">
        <v>1592</v>
      </c>
      <c r="B683" s="7" t="s">
        <v>1591</v>
      </c>
      <c r="C683" s="7" t="s">
        <v>1590</v>
      </c>
      <c r="D683" s="6">
        <v>3000</v>
      </c>
      <c r="E683" s="5">
        <v>1</v>
      </c>
      <c r="F683" s="4" t="str">
        <f ca="1">IFERROR(__xludf.DUMMYFUNCTION("LOWER(REGEXREPLACE(B683&amp;"" ""&amp;C683,""[^а-яa-z0-9 ]"","" ""))")," пасные животные  азахстана  азенас      итяев      щенко   ")</f>
        <v xml:space="preserve"> пасные животные  азахстана  азенас      итяев      щенко   </v>
      </c>
      <c r="G683" s="4" t="str">
        <f ca="1">IFERROR(__xludf.DUMMYFUNCTION("TEXTJOIN(""|"",TRUE,UNIQUE(FILTER(SPLIT(F683,"" ""),LEN(SPLIT(F683,"" ""))&gt;2)))"),"пасные|животные|азахстана|азенас|итяев|щенко")</f>
        <v>пасные|животные|азахстана|азенас|итяев|щенко</v>
      </c>
      <c r="I683" s="1"/>
      <c r="J683" s="1"/>
    </row>
    <row r="684" spans="1:10" x14ac:dyDescent="0.2">
      <c r="A684" s="8" t="s">
        <v>1589</v>
      </c>
      <c r="B684" s="7" t="s">
        <v>1588</v>
      </c>
      <c r="C684" s="7" t="s">
        <v>1587</v>
      </c>
      <c r="D684" s="6">
        <v>55400</v>
      </c>
      <c r="E684" s="5">
        <v>7</v>
      </c>
      <c r="F684" s="4" t="str">
        <f ca="1">IFERROR(__xludf.DUMMYFUNCTION("LOWER(REGEXREPLACE(B684&amp;"" ""&amp;C684,""[^а-яa-z0-9 ]"","" ""))")," ртодон  оврик массажный модульный  ркий массажный коврик разработан специально для здоровья детских ножек   н состоит из 10 разноцветных модулей и растет вместе с вашим малышом   ожно регулировать размер и форму площадки   то отличный массажер для малень"&amp;"ких ножек  которые еще только начинают формироваться   оврик показан деткам с плоскостопием и плоско вальгусной деформацией стопы  а также для профилактики этих состояний   н способствует формированию правильного двигательного стереотипа")</f>
        <v xml:space="preserve"> ртодон  оврик массажный модульный  ркий массажный коврик разработан специально для здоровья детских ножек   н состоит из 10 разноцветных модулей и растет вместе с вашим малышом   ожно регулировать размер и форму площадки   то отличный массажер для маленьких ножек  которые еще только начинают формироваться   оврик показан деткам с плоскостопием и плоско вальгусной деформацией стопы  а также для профилактики этих состояний   н способствует формированию правильного двигательного стереотипа</v>
      </c>
      <c r="G684" s="4" t="str">
        <f ca="1">IFERROR(__xludf.DUMMYFUNCTION("TEXTJOIN(""|"",TRUE,UNIQUE(FILTER(SPLIT(F684,"" ""),LEN(SPLIT(F684,"" ""))&gt;2)))"),"ртодон|оврик|массажный|модульный|ркий|массажный|коврик|разработан|специально|для|здоровья|детских|ножек|состоит|разноцветных|модулей|растет|вместе|вашим|малышом|ожно|регулировать|размер|форму|площадки|отличный|массажер|для|маленьких|ножек|которые|еще|толь"&amp;"ко|начинают|формироваться|оврик|показан|деткам|плоскостопием|плоско|вальгусной|деформацией|стопы|также|для|профилактики|этих|состояний|способствует|формированию|правильного|двигательного|стереотипа")</f>
        <v>ртодон|оврик|массажный|модульный|ркий|массажный|коврик|разработан|специально|для|здоровья|детских|ножек|состоит|разноцветных|модулей|растет|вместе|вашим|малышом|ожно|регулировать|размер|форму|площадки|отличный|массажер|для|маленьких|ножек|которые|еще|только|начинают|формироваться|оврик|показан|деткам|плоскостопием|плоско|вальгусной|деформацией|стопы|также|для|профилактики|этих|состояний|способствует|формированию|правильного|двигательного|стереотипа</v>
      </c>
      <c r="I684" s="1"/>
      <c r="J684" s="1"/>
    </row>
    <row r="685" spans="1:10" x14ac:dyDescent="0.2">
      <c r="A685" s="8" t="s">
        <v>1586</v>
      </c>
      <c r="B685" s="7" t="s">
        <v>1585</v>
      </c>
      <c r="C685" s="7" t="s">
        <v>1584</v>
      </c>
      <c r="D685" s="6">
        <v>139400</v>
      </c>
      <c r="E685" s="5">
        <v>1</v>
      </c>
      <c r="F685" s="4" t="str">
        <f ca="1">IFERROR(__xludf.DUMMYFUNCTION("LOWER(REGEXREPLACE(B685&amp;"" ""&amp;C685,""[^а-яa-z0-9 ]"","" ""))")," ртопедический коврик   массажный коврик модульный  ртопедический массажный коврик предназначен для профилактики плоскостопия  развития сенсорного восприятия  координации движений и формирования правильного двигательного стереотипа у детей дошкольного воз"&amp;"раста   спользуется в физкультурно оздоровительной и коррекционной работе   оврик состоит из модульных элементов  позволяет изменять форму и размер поверхности  изготовлен из безопасных  антискользящих и легко очищаемых материалов ")</f>
        <v xml:space="preserve"> ртопедический коврик   массажный коврик модульный  ртопедический массажный коврик предназначен для профилактики плоскостопия  развития сенсорного восприятия  координации движений и формирования правильного двигательного стереотипа у детей дошкольного возраста   спользуется в физкультурно оздоровительной и коррекционной работе   оврик состоит из модульных элементов  позволяет изменять форму и размер поверхности  изготовлен из безопасных  антискользящих и легко очищаемых материалов </v>
      </c>
      <c r="G685" s="4" t="str">
        <f ca="1">IFERROR(__xludf.DUMMYFUNCTION("TEXTJOIN(""|"",TRUE,UNIQUE(FILTER(SPLIT(F685,"" ""),LEN(SPLIT(F685,"" ""))&gt;2)))"),"ртопедический|коврик|массажный|коврик|модульный|ртопедический|массажный|коврик|предназначен|для|профилактики|плоскостопия|развития|сенсорного|восприятия|координации|движений|формирования|правильного|двигательного|стереотипа|детей|дошкольного|возраста|спол"&amp;"ьзуется|физкультурно|оздоровительной|коррекционной|работе|оврик|состоит|модульных|элементов|позволяет|изменять|форму|размер|поверхности|изготовлен|безопасных|антискользящих|легко|очищаемых|материалов")</f>
        <v>ртопедический|коврик|массажный|коврик|модульный|ртопедический|массажный|коврик|предназначен|для|профилактики|плоскостопия|развития|сенсорного|восприятия|координации|движений|формирования|правильного|двигательного|стереотипа|детей|дошкольного|возраста|спользуется|физкультурно|оздоровительной|коррекционной|работе|оврик|состоит|модульных|элементов|позволяет|изменять|форму|размер|поверхности|изготовлен|безопасных|антискользящих|легко|очищаемых|материалов</v>
      </c>
      <c r="I685" s="1"/>
      <c r="J685" s="1"/>
    </row>
    <row r="686" spans="1:10" x14ac:dyDescent="0.2">
      <c r="A686" s="8" t="s">
        <v>1583</v>
      </c>
      <c r="B686" s="7" t="s">
        <v>1582</v>
      </c>
      <c r="C686" s="7" t="s">
        <v>1581</v>
      </c>
      <c r="D686" s="6">
        <v>40800</v>
      </c>
      <c r="E686" s="5">
        <v>1</v>
      </c>
      <c r="F686" s="4" t="str">
        <f ca="1">IFERROR(__xludf.DUMMYFUNCTION("LOWER(REGEXREPLACE(B686&amp;"" ""&amp;C686,""[^а-яa-z0-9 ]"","" ""))")," нер    с нд рмес мен  амирова     ")</f>
        <v xml:space="preserve"> нер    с нд рмес мен  амирова     </v>
      </c>
      <c r="G686" s="4" t="str">
        <f ca="1">IFERROR(__xludf.DUMMYFUNCTION("TEXTJOIN(""|"",TRUE,UNIQUE(FILTER(SPLIT(F686,"" ""),LEN(SPLIT(F686,"" ""))&gt;2)))"),"нер|рмес|мен|амирова")</f>
        <v>нер|рмес|мен|амирова</v>
      </c>
      <c r="I686" s="1"/>
      <c r="J686" s="1"/>
    </row>
    <row r="687" spans="1:10" x14ac:dyDescent="0.2">
      <c r="A687" s="8" t="s">
        <v>1580</v>
      </c>
      <c r="B687" s="7" t="s">
        <v>1579</v>
      </c>
      <c r="C687" s="7" t="s">
        <v>1578</v>
      </c>
      <c r="D687" s="6">
        <v>5700</v>
      </c>
      <c r="E687" s="5">
        <v>14</v>
      </c>
      <c r="F687" s="4" t="str">
        <f ca="1">IFERROR(__xludf.DUMMYFUNCTION("LOWER(REGEXREPLACE(B687&amp;"" ""&amp;C687,""[^а-яa-z0-9 ]"","" ""))")," азл деревянный   верюшки   еревянный пазл предназначен для использования в образовательной и игровой деятельности с детьми дошкольного возраста   рименяется как первая головоломка для развития мелкой моторики рук  координации движений  зрительного воспри"&amp;"ятия и логического мышления    процессе сборки реб нок осваивает формы  соотнесение элементов и последовательность действий  что способствует развитию познавательной активности и усидчивости   зготовлен из древесного материала  имеет безопасные закругл нн"&amp;"ые края и устойчив к регулярному использованию в условиях     ")</f>
        <v xml:space="preserve"> азл деревянный   верюшки   еревянный пазл предназначен для использования в образовательной и игровой деятельности с детьми дошкольного возраста   рименяется как первая головоломка для развития мелкой моторики рук  координации движений  зрительного восприятия и логического мышления    процессе сборки реб нок осваивает формы  соотнесение элементов и последовательность действий  что способствует развитию познавательной активности и усидчивости   зготовлен из древесного материала  имеет безопасные закругл нные края и устойчив к регулярному использованию в условиях     </v>
      </c>
      <c r="G687" s="4" t="str">
        <f ca="1">IFERROR(__xludf.DUMMYFUNCTION("TEXTJOIN(""|"",TRUE,UNIQUE(FILTER(SPLIT(F687,"" ""),LEN(SPLIT(F687,"" ""))&gt;2)))"),"азл|деревянный|верюшки|еревянный|пазл|предназначен|для|использования|образовательной|игровой|деятельности|детьми|дошкольного|возраста|рименяется|как|первая|головоломка|для|развития|мелкой|моторики|рук|координации|движений|зрительного|восприятия|логическог"&amp;"о|мышления|процессе|сборки|реб|нок|осваивает|формы|соотнесение|элементов|последовательность|действий|что|способствует|развитию|познавательной|активности|усидчивости|зготовлен|древесного|материала|имеет|безопасные|закругл|нные|края|устойчив|регулярному|исп"&amp;"ользованию|условиях")</f>
        <v>азл|деревянный|верюшки|еревянный|пазл|предназначен|для|использования|образовательной|игровой|деятельности|детьми|дошкольного|возраста|рименяется|как|первая|головоломка|для|развития|мелкой|моторики|рук|координации|движений|зрительного|восприятия|логического|мышления|процессе|сборки|реб|нок|осваивает|формы|соотнесение|элементов|последовательность|действий|что|способствует|развитию|познавательной|активности|усидчивости|зготовлен|древесного|материала|имеет|безопасные|закругл|нные|края|устойчив|регулярному|использованию|условиях</v>
      </c>
      <c r="I687" s="1"/>
      <c r="J687" s="1"/>
    </row>
    <row r="688" spans="1:10" x14ac:dyDescent="0.2">
      <c r="A688" s="8" t="s">
        <v>1577</v>
      </c>
      <c r="B688" s="7" t="s">
        <v>1576</v>
      </c>
      <c r="C688" s="7" t="s">
        <v>1575</v>
      </c>
      <c r="D688" s="6">
        <v>6700</v>
      </c>
      <c r="E688" s="5">
        <v>14</v>
      </c>
      <c r="F688" s="4" t="str">
        <f ca="1">IFERROR(__xludf.DUMMYFUNCTION("LOWER(REGEXREPLACE(B688&amp;"" ""&amp;C688,""[^а-яa-z0-9 ]"","" ""))")," азл картонный фигурный  3 8 элементов  4 в 1   артонный фигурный пазл предназначен для развивающих занятий с детьми дошкольного возраста   абор включает несколько пазлов с разным количеством элементов  что позволяет постепенно усложнять задания и учитыва"&amp;"ть индивидуальные возможности реб нка   спользуется для развития логического мышления  внимания  зрительного восприятия и навыков анализа   зготовлен из плотного картона  безопасен при эксплуатации  подходит для индивидуальной и подгрупповой работы в усло"&amp;"виях     ")</f>
        <v xml:space="preserve"> азл картонный фигурный  3 8 элементов  4 в 1   артонный фигурный пазл предназначен для развивающих занятий с детьми дошкольного возраста   абор включает несколько пазлов с разным количеством элементов  что позволяет постепенно усложнять задания и учитывать индивидуальные возможности реб нка   спользуется для развития логического мышления  внимания  зрительного восприятия и навыков анализа   зготовлен из плотного картона  безопасен при эксплуатации  подходит для индивидуальной и подгрупповой работы в условиях     </v>
      </c>
      <c r="G688" s="4" t="str">
        <f ca="1">IFERROR(__xludf.DUMMYFUNCTION("TEXTJOIN(""|"",TRUE,UNIQUE(FILTER(SPLIT(F688,"" ""),LEN(SPLIT(F688,"" ""))&gt;2)))"),"азл|картонный|фигурный|элементов|артонный|фигурный|пазл|предназначен|для|развивающих|занятий|детьми|дошкольного|возраста|абор|включает|несколько|пазлов|разным|количеством|элементов|что|позволяет|постепенно|усложнять|задания|учитывать|индивидуальные|возмож"&amp;"ности|реб|нка|спользуется|для|развития|логического|мышления|внимания|зрительного|восприятия|навыков|анализа|зготовлен|плотного|картона|безопасен|при|эксплуатации|подходит|для|индивидуальной|подгрупповой|работы|условиях")</f>
        <v>азл|картонный|фигурный|элементов|артонный|фигурный|пазл|предназначен|для|развивающих|занятий|детьми|дошкольного|возраста|абор|включает|несколько|пазлов|разным|количеством|элементов|что|позволяет|постепенно|усложнять|задания|учитывать|индивидуальные|возможности|реб|нка|спользуется|для|развития|логического|мышления|внимания|зрительного|восприятия|навыков|анализа|зготовлен|плотного|картона|безопасен|при|эксплуатации|подходит|для|индивидуальной|подгрупповой|работы|условиях</v>
      </c>
      <c r="I688" s="1"/>
      <c r="J688" s="1"/>
    </row>
    <row r="689" spans="1:10" x14ac:dyDescent="0.2">
      <c r="A689" s="8" t="s">
        <v>1574</v>
      </c>
      <c r="B689" s="7" t="s">
        <v>1573</v>
      </c>
      <c r="C689" s="7" t="s">
        <v>1572</v>
      </c>
      <c r="D689" s="6">
        <v>1400</v>
      </c>
      <c r="E689" s="5">
        <v>21</v>
      </c>
      <c r="F689" s="4" t="str">
        <f ca="1">IFERROR(__xludf.DUMMYFUNCTION("LOWER(REGEXREPLACE(B689&amp;"" ""&amp;C689,""[^а-яa-z0-9 ]"","" ""))")," азл на липучках   ама и малыш   азл на липучках включает карточки основы и фигурные элементы на велкро для составления пар по смыслу  взрослый   дет ныш     процессе работы выполняется подбор соответствующих пар и закрепление фигурок на карточках   акая "&amp;"деятельность развивает внимание и навыки соотнесения    набор входит не менее 10 карточек размером около 15 5 11 см и не менее 20 фигурок на липучках ")</f>
        <v xml:space="preserve"> азл на липучках   ама и малыш   азл на липучках включает карточки основы и фигурные элементы на велкро для составления пар по смыслу  взрослый   дет ныш     процессе работы выполняется подбор соответствующих пар и закрепление фигурок на карточках   акая деятельность развивает внимание и навыки соотнесения    набор входит не менее 10 карточек размером около 15 5 11 см и не менее 20 фигурок на липучках </v>
      </c>
      <c r="G689" s="4" t="str">
        <f ca="1">IFERROR(__xludf.DUMMYFUNCTION("TEXTJOIN(""|"",TRUE,UNIQUE(FILTER(SPLIT(F689,"" ""),LEN(SPLIT(F689,"" ""))&gt;2)))"),"азл|липучках|ама|малыш|азл|липучках|включает|карточки|основы|фигурные|элементы|велкро|для|составления|пар|смыслу|взрослый|дет|ныш|процессе|работы|выполняется|подбор|соответствующих|пар|закрепление|фигурок|карточках|акая|деятельность|развивает|внимание|нав"&amp;"ыки|соотнесения|набор|входит|менее|карточек|размером|около|менее|фигурок|липучках")</f>
        <v>азл|липучках|ама|малыш|азл|липучках|включает|карточки|основы|фигурные|элементы|велкро|для|составления|пар|смыслу|взрослый|дет|ныш|процессе|работы|выполняется|подбор|соответствующих|пар|закрепление|фигурок|карточках|акая|деятельность|развивает|внимание|навыки|соотнесения|набор|входит|менее|карточек|размером|около|менее|фигурок|липучках</v>
      </c>
      <c r="I689" s="1"/>
      <c r="J689" s="1"/>
    </row>
    <row r="690" spans="1:10" x14ac:dyDescent="0.2">
      <c r="A690" s="8" t="s">
        <v>1571</v>
      </c>
      <c r="B690" s="7" t="s">
        <v>1570</v>
      </c>
      <c r="C690" s="7" t="s">
        <v>1569</v>
      </c>
      <c r="D690" s="6">
        <v>36000</v>
      </c>
      <c r="E690" s="5">
        <v>2</v>
      </c>
      <c r="F690" s="4" t="str">
        <f ca="1">IFERROR(__xludf.DUMMYFUNCTION("LOWER(REGEXREPLACE(B690&amp;"" ""&amp;C690,""[^а-яa-z0-9 ]"","" ""))")," есы напольные  есы предназначены для измерения массы тела детей и взрослых  используются в медицинском кабинете ")</f>
        <v xml:space="preserve"> есы напольные  есы предназначены для измерения массы тела детей и взрослых  используются в медицинском кабинете </v>
      </c>
      <c r="G690" s="4" t="str">
        <f ca="1">IFERROR(__xludf.DUMMYFUNCTION("TEXTJOIN(""|"",TRUE,UNIQUE(FILTER(SPLIT(F690,"" ""),LEN(SPLIT(F690,"" ""))&gt;2)))"),"есы|напольные|есы|предназначены|для|измерения|массы|тела|детей|взрослых|используются|медицинском|кабинете")</f>
        <v>есы|напольные|есы|предназначены|для|измерения|массы|тела|детей|взрослых|используются|медицинском|кабинете</v>
      </c>
      <c r="I690" s="1"/>
      <c r="J690" s="1"/>
    </row>
    <row r="691" spans="1:10" x14ac:dyDescent="0.2">
      <c r="A691" s="8" t="s">
        <v>1568</v>
      </c>
      <c r="B691" s="7" t="s">
        <v>1567</v>
      </c>
      <c r="C691" s="7" t="s">
        <v>1566</v>
      </c>
      <c r="D691" s="6">
        <v>2600</v>
      </c>
      <c r="E691" s="5">
        <v>14</v>
      </c>
      <c r="F691" s="4" t="str">
        <f ca="1">IFERROR(__xludf.DUMMYFUNCTION("LOWER(REGEXREPLACE(B691&amp;"" ""&amp;C691,""[^а-яa-z0-9 ]"","" ""))")," азл палочки деревянный  10 элементов   азл палочки представляет собой набор планок с фрагментами изображения для сборки рисунка в правильной последовательности    процессе сборки выполняется сопоставление частей по рисунку и размещение в нужном порядке  "&amp;" акая деятельность развивает внимание и зрительный анализ   оличество элементов   не менее 10 шт   азмер в собранном виде   не менее 19 14 см   атериал   фанера     ")</f>
        <v xml:space="preserve"> азл палочки деревянный  10 элементов   азл палочки представляет собой набор планок с фрагментами изображения для сборки рисунка в правильной последовательности    процессе сборки выполняется сопоставление частей по рисунку и размещение в нужном порядке   акая деятельность развивает внимание и зрительный анализ   оличество элементов   не менее 10 шт   азмер в собранном виде   не менее 19 14 см   атериал   фанера     </v>
      </c>
      <c r="G691" s="4" t="str">
        <f ca="1">IFERROR(__xludf.DUMMYFUNCTION("TEXTJOIN(""|"",TRUE,UNIQUE(FILTER(SPLIT(F691,"" ""),LEN(SPLIT(F691,"" ""))&gt;2)))"),"азл|палочки|деревянный|элементов|азл|палочки|представляет|собой|набор|планок|фрагментами|изображения|для|сборки|рисунка|правильной|последовательности|процессе|сборки|выполняется|сопоставление|частей|рисунку|размещение|нужном|порядке|акая|деятельность|разв"&amp;"ивает|внимание|зрительный|анализ|оличество|элементов|менее|азмер|собранном|виде|менее|атериал|фанера")</f>
        <v>азл|палочки|деревянный|элементов|азл|палочки|представляет|собой|набор|планок|фрагментами|изображения|для|сборки|рисунка|правильной|последовательности|процессе|сборки|выполняется|сопоставление|частей|рисунку|размещение|нужном|порядке|акая|деятельность|развивает|внимание|зрительный|анализ|оличество|элементов|менее|азмер|собранном|виде|менее|атериал|фанера</v>
      </c>
      <c r="I691" s="1"/>
      <c r="J691" s="1"/>
    </row>
    <row r="692" spans="1:10" x14ac:dyDescent="0.2">
      <c r="A692" s="8" t="s">
        <v>1565</v>
      </c>
      <c r="B692" s="7" t="s">
        <v>1564</v>
      </c>
      <c r="C692" s="7" t="s">
        <v>1563</v>
      </c>
      <c r="D692" s="6">
        <v>14100</v>
      </c>
      <c r="E692" s="5">
        <v>7</v>
      </c>
      <c r="F692" s="4" t="str">
        <f ca="1">IFERROR(__xludf.DUMMYFUNCTION("LOWER(REGEXREPLACE(B692&amp;"" ""&amp;C692,""[^а-яa-z0-9 ]"","" ""))")," азл переодевание   едвежонок   еревянная развивающая доска с элементами для составления образов   спользуется для развития мелкой моторики  логического мышления и воображения   одходит для самостоятельной игры ")</f>
        <v xml:space="preserve"> азл переодевание   едвежонок   еревянная развивающая доска с элементами для составления образов   спользуется для развития мелкой моторики  логического мышления и воображения   одходит для самостоятельной игры </v>
      </c>
      <c r="G692" s="4" t="str">
        <f ca="1">IFERROR(__xludf.DUMMYFUNCTION("TEXTJOIN(""|"",TRUE,UNIQUE(FILTER(SPLIT(F692,"" ""),LEN(SPLIT(F692,"" ""))&gt;2)))"),"азл|переодевание|едвежонок|еревянная|развивающая|доска|элементами|для|составления|образов|спользуется|для|развития|мелкой|моторики|логического|мышления|воображения|одходит|для|самостоятельной|игры")</f>
        <v>азл|переодевание|едвежонок|еревянная|развивающая|доска|элементами|для|составления|образов|спользуется|для|развития|мелкой|моторики|логического|мышления|воображения|одходит|для|самостоятельной|игры</v>
      </c>
      <c r="I692" s="1"/>
      <c r="J692" s="1"/>
    </row>
    <row r="693" spans="1:10" x14ac:dyDescent="0.2">
      <c r="A693" s="8" t="s">
        <v>1562</v>
      </c>
      <c r="B693" s="7" t="s">
        <v>1561</v>
      </c>
      <c r="C693" s="7" t="s">
        <v>1560</v>
      </c>
      <c r="D693" s="6">
        <v>3100</v>
      </c>
      <c r="E693" s="5">
        <v>5</v>
      </c>
      <c r="F693" s="4" t="str">
        <f ca="1">IFERROR(__xludf.DUMMYFUNCTION("LOWER(REGEXREPLACE(B693&amp;"" ""&amp;C693,""[^а-яa-z0-9 ]"","" ""))")," азлы деревянные и магнитные  тематические наборы   аборы пазлов включают деревянные и магнитные элементы по тематическим сериям  ферма  транспорт  космос и др      процессе сборки выполняется подбор деталей по форме и изображению  а также составление цел"&amp;"остной картинки   акая деятельность развивает зрительное восприятие  внимание и навыки анализа   азлы предназначены для многократного использования ")</f>
        <v xml:space="preserve"> азлы деревянные и магнитные  тематические наборы   аборы пазлов включают деревянные и магнитные элементы по тематическим сериям  ферма  транспорт  космос и др      процессе сборки выполняется подбор деталей по форме и изображению  а также составление целостной картинки   акая деятельность развивает зрительное восприятие  внимание и навыки анализа   азлы предназначены для многократного использования </v>
      </c>
      <c r="G693" s="4" t="str">
        <f ca="1">IFERROR(__xludf.DUMMYFUNCTION("TEXTJOIN(""|"",TRUE,UNIQUE(FILTER(SPLIT(F693,"" ""),LEN(SPLIT(F693,"" ""))&gt;2)))"),"азлы|деревянные|магнитные|тематические|наборы|аборы|пазлов|включают|деревянные|магнитные|элементы|тематическим|сериям|ферма|транспорт|космос|процессе|сборки|выполняется|подбор|деталей|форме|изображению|также|составление|целостной|картинки|акая|деятельност"&amp;"ь|развивает|зрительное|восприятие|внимание|навыки|анализа|азлы|предназначены|для|многократного|использования")</f>
        <v>азлы|деревянные|магнитные|тематические|наборы|аборы|пазлов|включают|деревянные|магнитные|элементы|тематическим|сериям|ферма|транспорт|космос|процессе|сборки|выполняется|подбор|деталей|форме|изображению|также|составление|целостной|картинки|акая|деятельность|развивает|зрительное|восприятие|внимание|навыки|анализа|азлы|предназначены|для|многократного|использования</v>
      </c>
      <c r="I693" s="1"/>
      <c r="J693" s="1"/>
    </row>
    <row r="694" spans="1:10" x14ac:dyDescent="0.2">
      <c r="A694" s="8" t="s">
        <v>1559</v>
      </c>
      <c r="B694" s="7" t="s">
        <v>1558</v>
      </c>
      <c r="C694" s="7" t="s">
        <v>1557</v>
      </c>
      <c r="D694" s="6">
        <v>2400</v>
      </c>
      <c r="E694" s="5">
        <v>5</v>
      </c>
      <c r="F694" s="4" t="str">
        <f ca="1">IFERROR(__xludf.DUMMYFUNCTION("LOWER(REGEXREPLACE(B694&amp;"" ""&amp;C694,""[^а-яa-z0-9 ]"","" ""))")," азлы картонные классические  наборы 26 60 элементов   азлы используются для сборки изображений из частей по контуру и рисунку    процессе работы выполняется подбор фрагментов по форме  цвету и деталям изображения   оличество элементов в наборе   не менее"&amp;" 26 и до 60 шт   атериал   картон  рассчитанный на многократную сборку   ематика может включать сказочных персонажей  транспорт  животных и сюжетные сцены ")</f>
        <v xml:space="preserve"> азлы картонные классические  наборы 26 60 элементов   азлы используются для сборки изображений из частей по контуру и рисунку    процессе работы выполняется подбор фрагментов по форме  цвету и деталям изображения   оличество элементов в наборе   не менее 26 и до 60 шт   атериал   картон  рассчитанный на многократную сборку   ематика может включать сказочных персонажей  транспорт  животных и сюжетные сцены </v>
      </c>
      <c r="G694" s="4" t="str">
        <f ca="1">IFERROR(__xludf.DUMMYFUNCTION("TEXTJOIN(""|"",TRUE,UNIQUE(FILTER(SPLIT(F694,"" ""),LEN(SPLIT(F694,"" ""))&gt;2)))"),"азлы|картонные|классические|наборы|элементов|азлы|используются|для|сборки|изображений|частей|контуру|рисунку|процессе|работы|выполняется|подбор|фрагментов|форме|цвету|деталям|изображения|оличество|элементов|наборе|менее|атериал|картон|рассчитанный|многокр"&amp;"атную|сборку|ематика|может|включать|сказочных|персонажей|транспорт|животных|сюжетные|сцены")</f>
        <v>азлы|картонные|классические|наборы|элементов|азлы|используются|для|сборки|изображений|частей|контуру|рисунку|процессе|работы|выполняется|подбор|фрагментов|форме|цвету|деталям|изображения|оличество|элементов|наборе|менее|атериал|картон|рассчитанный|многократную|сборку|ематика|может|включать|сказочных|персонажей|транспорт|животных|сюжетные|сцены</v>
      </c>
      <c r="I694" s="1"/>
      <c r="J694" s="1"/>
    </row>
    <row r="695" spans="1:10" x14ac:dyDescent="0.2">
      <c r="A695" s="8" t="s">
        <v>1556</v>
      </c>
      <c r="B695" s="7" t="s">
        <v>1555</v>
      </c>
      <c r="C695" s="7" t="s">
        <v>1554</v>
      </c>
      <c r="D695" s="6">
        <v>7600</v>
      </c>
      <c r="E695" s="5">
        <v>1</v>
      </c>
      <c r="F695" s="4" t="str">
        <f ca="1">IFERROR(__xludf.DUMMYFUNCTION("LOWER(REGEXREPLACE(B695&amp;"" ""&amp;C695,""[^а-яa-z0-9 ]"","" ""))")," азлы с формами животных и транспорта  азвивающие пазлы с фигурными элементами животных и транспорта предназначены для формирования представлений об окружающем мире  развития мелкой моторики  логики и пространственного мышления   спользуются в образовател"&amp;"ьной и игровой деятельности детей дошкольного возраста   зготовлены из древесного материала  элементы имеют ч ткие формы и безопасные края  что обеспечивает удобство и безопасность использования в детских учреждениях ")</f>
        <v xml:space="preserve"> азлы с формами животных и транспорта  азвивающие пазлы с фигурными элементами животных и транспорта предназначены для формирования представлений об окружающем мире  развития мелкой моторики  логики и пространственного мышления   спользуются в образовательной и игровой деятельности детей дошкольного возраста   зготовлены из древесного материала  элементы имеют ч ткие формы и безопасные края  что обеспечивает удобство и безопасность использования в детских учреждениях </v>
      </c>
      <c r="G695" s="4" t="str">
        <f ca="1">IFERROR(__xludf.DUMMYFUNCTION("TEXTJOIN(""|"",TRUE,UNIQUE(FILTER(SPLIT(F695,"" ""),LEN(SPLIT(F695,"" ""))&gt;2)))"),"азлы|формами|животных|транспорта|азвивающие|пазлы|фигурными|элементами|животных|транспорта|предназначены|для|формирования|представлений|окружающем|мире|развития|мелкой|моторики|логики|пространственного|мышления|спользуются|образовательной|игровой|деятельн"&amp;"ости|детей|дошкольного|возраста|зготовлены|древесного|материала|элементы|имеют|ткие|формы|безопасные|края|что|обеспечивает|удобство|безопасность|использования|детских|учреждениях")</f>
        <v>азлы|формами|животных|транспорта|азвивающие|пазлы|фигурными|элементами|животных|транспорта|предназначены|для|формирования|представлений|окружающем|мире|развития|мелкой|моторики|логики|пространственного|мышления|спользуются|образовательной|игровой|деятельности|детей|дошкольного|возраста|зготовлены|древесного|материала|элементы|имеют|ткие|формы|безопасные|края|что|обеспечивает|удобство|безопасность|использования|детских|учреждениях</v>
      </c>
      <c r="I695" s="1"/>
      <c r="J695" s="1"/>
    </row>
    <row r="696" spans="1:10" x14ac:dyDescent="0.2">
      <c r="A696" s="8" t="s">
        <v>1553</v>
      </c>
      <c r="B696" s="7" t="s">
        <v>1552</v>
      </c>
      <c r="C696" s="7" t="s">
        <v>1551</v>
      </c>
      <c r="D696" s="6">
        <v>2100</v>
      </c>
      <c r="E696" s="5">
        <v>25</v>
      </c>
      <c r="F696" s="4" t="str">
        <f ca="1">IFERROR(__xludf.DUMMYFUNCTION("LOWER(REGEXREPLACE(B696&amp;"" ""&amp;C696,""[^а-яa-z0-9 ]"","" ""))")," алка гимнастическая  алка гимнастическая предназначена для использования в физкультурно оздоровительной и коррекционно развивающей работе с детьми   рименяется для выполнения упражнений на координацию движений  развитие осанки  равновесия и общей моторик"&amp;"и   спользуется в подвижных играх  гимнастике и физкультурных занятиях   зготовлена из прочного и безопасного материала  имеет гладкую поверхность  удобна для детского хвата и соответствует требованиям эксплуатации в     ")</f>
        <v xml:space="preserve"> алка гимнастическая  алка гимнастическая предназначена для использования в физкультурно оздоровительной и коррекционно развивающей работе с детьми   рименяется для выполнения упражнений на координацию движений  развитие осанки  равновесия и общей моторики   спользуется в подвижных играх  гимнастике и физкультурных занятиях   зготовлена из прочного и безопасного материала  имеет гладкую поверхность  удобна для детского хвата и соответствует требованиям эксплуатации в     </v>
      </c>
      <c r="G696" s="4" t="str">
        <f ca="1">IFERROR(__xludf.DUMMYFUNCTION("TEXTJOIN(""|"",TRUE,UNIQUE(FILTER(SPLIT(F696,"" ""),LEN(SPLIT(F696,"" ""))&gt;2)))"),"алка|гимнастическая|алка|гимнастическая|предназначена|для|использования|физкультурно|оздоровительной|коррекционно|развивающей|работе|детьми|рименяется|для|выполнения|упражнений|координацию|движений|развитие|осанки|равновесия|общей|моторики|спользуется|под"&amp;"вижных|играх|гимнастике|физкультурных|занятиях|зготовлена|прочного|безопасного|материала|имеет|гладкую|поверхность|удобна|для|детского|хвата|соответствует|требованиям|эксплуатации")</f>
        <v>алка|гимнастическая|алка|гимнастическая|предназначена|для|использования|физкультурно|оздоровительной|коррекционно|развивающей|работе|детьми|рименяется|для|выполнения|упражнений|координацию|движений|развитие|осанки|равновесия|общей|моторики|спользуется|подвижных|играх|гимнастике|физкультурных|занятиях|зготовлена|прочного|безопасного|материала|имеет|гладкую|поверхность|удобна|для|детского|хвата|соответствует|требованиям|эксплуатации</v>
      </c>
      <c r="I696" s="1"/>
      <c r="J696" s="1"/>
    </row>
    <row r="697" spans="1:10" x14ac:dyDescent="0.2">
      <c r="A697" s="8" t="s">
        <v>1550</v>
      </c>
      <c r="B697" s="7" t="s">
        <v>1549</v>
      </c>
      <c r="C697" s="7" t="s">
        <v>1548</v>
      </c>
      <c r="D697" s="6">
        <v>4000</v>
      </c>
      <c r="E697" s="5">
        <v>20</v>
      </c>
      <c r="F697" s="4" t="str">
        <f ca="1">IFERROR(__xludf.DUMMYFUNCTION("LOWER(REGEXREPLACE(B697&amp;"" ""&amp;C697,""[^а-яa-z0-9 ]"","" ""))")," альчиковые краски  альчиковые краски предназначены для изобразительной и арт терапевтической деятельности с детьми дошкольного возраста   спользуются для развития сенсорного восприятия  мелкой моторики  творческого мышления и эмоционального самовыражения"&amp;"   рименяются в индивидуальных и групповых занятиях   раски безопасны для детей  легко смываются  имеют яркие цвета и подходят для использования в условиях детских учреждений ")</f>
        <v xml:space="preserve"> альчиковые краски  альчиковые краски предназначены для изобразительной и арт терапевтической деятельности с детьми дошкольного возраста   спользуются для развития сенсорного восприятия  мелкой моторики  творческого мышления и эмоционального самовыражения   рименяются в индивидуальных и групповых занятиях   раски безопасны для детей  легко смываются  имеют яркие цвета и подходят для использования в условиях детских учреждений </v>
      </c>
      <c r="G697" s="4" t="str">
        <f ca="1">IFERROR(__xludf.DUMMYFUNCTION("TEXTJOIN(""|"",TRUE,UNIQUE(FILTER(SPLIT(F697,"" ""),LEN(SPLIT(F697,"" ""))&gt;2)))"),"альчиковые|краски|альчиковые|краски|предназначены|для|изобразительной|арт|терапевтической|деятельности|детьми|дошкольного|возраста|спользуются|для|развития|сенсорного|восприятия|мелкой|моторики|творческого|мышления|эмоционального|самовыражения|рименяются|"&amp;"индивидуальных|групповых|занятиях|раски|безопасны|для|детей|легко|смываются|имеют|яркие|цвета|подходят|для|использования|условиях|детских|учреждений")</f>
        <v>альчиковые|краски|альчиковые|краски|предназначены|для|изобразительной|арт|терапевтической|деятельности|детьми|дошкольного|возраста|спользуются|для|развития|сенсорного|восприятия|мелкой|моторики|творческого|мышления|эмоционального|самовыражения|рименяются|индивидуальных|групповых|занятиях|раски|безопасны|для|детей|легко|смываются|имеют|яркие|цвета|подходят|для|использования|условиях|детских|учреждений</v>
      </c>
      <c r="I697" s="1"/>
      <c r="J697" s="1"/>
    </row>
    <row r="698" spans="1:10" x14ac:dyDescent="0.2">
      <c r="A698" s="8" t="s">
        <v>1547</v>
      </c>
      <c r="B698" s="7" t="s">
        <v>1546</v>
      </c>
      <c r="C698" s="7" t="s">
        <v>1545</v>
      </c>
      <c r="D698" s="6">
        <v>6500</v>
      </c>
      <c r="E698" s="5">
        <v>1</v>
      </c>
      <c r="F698" s="4" t="str">
        <f ca="1">IFERROR(__xludf.DUMMYFUNCTION("LOWER(REGEXREPLACE(B698&amp;"" ""&amp;C698,""[^а-яa-z0-9 ]"","" ""))")," альчиковые персонажи  альчиковые игровые персонажи предназначены для развития мелкой моторики  речи  воображения и коммуникативных навыков у детей дошкольного возраста   спользуются в сюжетно ролевых играх  сказкотерапии  арт  и коррекционно развивающих "&amp;"занятиях   зготовлены из мягких  нетоксичных и гипоаллергенных материалов  легко очищаются и устойчивы к частому использованию в условиях     ")</f>
        <v xml:space="preserve"> альчиковые персонажи  альчиковые игровые персонажи предназначены для развития мелкой моторики  речи  воображения и коммуникативных навыков у детей дошкольного возраста   спользуются в сюжетно ролевых играх  сказкотерапии  арт  и коррекционно развивающих занятиях   зготовлены из мягких  нетоксичных и гипоаллергенных материалов  легко очищаются и устойчивы к частому использованию в условиях     </v>
      </c>
      <c r="G698" s="4" t="str">
        <f ca="1">IFERROR(__xludf.DUMMYFUNCTION("TEXTJOIN(""|"",TRUE,UNIQUE(FILTER(SPLIT(F698,"" ""),LEN(SPLIT(F698,"" ""))&gt;2)))"),"альчиковые|персонажи|альчиковые|игровые|персонажи|предназначены|для|развития|мелкой|моторики|речи|воображения|коммуникативных|навыков|детей|дошкольного|возраста|спользуются|сюжетно|ролевых|играх|сказкотерапии|арт|коррекционно|развивающих|занятиях|зготовле"&amp;"ны|мягких|нетоксичных|гипоаллергенных|материалов|легко|очищаются|устойчивы|частому|использованию|условиях")</f>
        <v>альчиковые|персонажи|альчиковые|игровые|персонажи|предназначены|для|развития|мелкой|моторики|речи|воображения|коммуникативных|навыков|детей|дошкольного|возраста|спользуются|сюжетно|ролевых|играх|сказкотерапии|арт|коррекционно|развивающих|занятиях|зготовлены|мягких|нетоксичных|гипоаллергенных|материалов|легко|очищаются|устойчивы|частому|использованию|условиях</v>
      </c>
      <c r="I698" s="1"/>
      <c r="J698" s="1"/>
    </row>
    <row r="699" spans="1:10" x14ac:dyDescent="0.2">
      <c r="A699" s="8" t="s">
        <v>1544</v>
      </c>
      <c r="B699" s="7" t="s">
        <v>1543</v>
      </c>
      <c r="C699" s="7" t="s">
        <v>1542</v>
      </c>
      <c r="D699" s="6">
        <v>8200</v>
      </c>
      <c r="E699" s="5">
        <v>5</v>
      </c>
      <c r="F699" s="4" t="str">
        <f ca="1">IFERROR(__xludf.DUMMYFUNCTION("LOWER(REGEXREPLACE(B699&amp;"" ""&amp;C699,""[^а-яa-z0-9 ]"","" ""))")," альчиковый театр  сказки  5 в 1   омплект пальчикового театра предназначен для организации театрализованных и сюжетно ролевых игр с детьми дошкольного возраста   спользуется в образовательной  коррекционной и развивающей деятельности для формирования реч"&amp;"и  воображения и коммуникативных навыков   уклы подходят для пальчиковых и настольных постановок  изготовлены из мягких и безопасных материалов  устойчивы к регулярной эксплуатации в     ")</f>
        <v xml:space="preserve"> альчиковый театр  сказки  5 в 1   омплект пальчикового театра предназначен для организации театрализованных и сюжетно ролевых игр с детьми дошкольного возраста   спользуется в образовательной  коррекционной и развивающей деятельности для формирования речи  воображения и коммуникативных навыков   уклы подходят для пальчиковых и настольных постановок  изготовлены из мягких и безопасных материалов  устойчивы к регулярной эксплуатации в     </v>
      </c>
      <c r="G699" s="4" t="str">
        <f ca="1">IFERROR(__xludf.DUMMYFUNCTION("TEXTJOIN(""|"",TRUE,UNIQUE(FILTER(SPLIT(F699,"" ""),LEN(SPLIT(F699,"" ""))&gt;2)))"),"альчиковый|театр|сказки|омплект|пальчикового|театра|предназначен|для|организации|театрализованных|сюжетно|ролевых|игр|детьми|дошкольного|возраста|спользуется|образовательной|коррекционной|развивающей|деятельности|для|формирования|речи|воображения|коммуник"&amp;"ативных|навыков|уклы|подходят|для|пальчиковых|настольных|постановок|изготовлены|мягких|безопасных|материалов|устойчивы|регулярной|эксплуатации")</f>
        <v>альчиковый|театр|сказки|омплект|пальчикового|театра|предназначен|для|организации|театрализованных|сюжетно|ролевых|игр|детьми|дошкольного|возраста|спользуется|образовательной|коррекционной|развивающей|деятельности|для|формирования|речи|воображения|коммуникативных|навыков|уклы|подходят|для|пальчиковых|настольных|постановок|изготовлены|мягких|безопасных|материалов|устойчивы|регулярной|эксплуатации</v>
      </c>
      <c r="I699" s="1"/>
      <c r="J699" s="1"/>
    </row>
    <row r="700" spans="1:10" x14ac:dyDescent="0.2">
      <c r="A700" s="8" t="s">
        <v>1541</v>
      </c>
      <c r="B700" s="7" t="s">
        <v>1540</v>
      </c>
      <c r="C700" s="7" t="s">
        <v>1539</v>
      </c>
      <c r="D700" s="6">
        <v>19800</v>
      </c>
      <c r="E700" s="5">
        <v>14</v>
      </c>
      <c r="F700" s="4" t="str">
        <f ca="1">IFERROR(__xludf.DUMMYFUNCTION("LOWER(REGEXREPLACE(B700&amp;"" ""&amp;C700,""[^а-яa-z0-9 ]"","" ""))")," альчиковый театр из фетра  альчиковый театр из фетра предназначен для театрализованной  игровой и коррекционно развивающей деятельности с детьми   спользуется для развития речи  воображения  эмоциональной выразительности и мелкой моторики   озволяет детя"&amp;"м разыгрывать сказочные и собственные сюжеты  способствует формированию связной речи и социального взаимодействия   зготовлен из фетра  безопасен и удобен для использования в дошкольных учреждениях ")</f>
        <v xml:space="preserve"> альчиковый театр из фетра  альчиковый театр из фетра предназначен для театрализованной  игровой и коррекционно развивающей деятельности с детьми   спользуется для развития речи  воображения  эмоциональной выразительности и мелкой моторики   озволяет детям разыгрывать сказочные и собственные сюжеты  способствует формированию связной речи и социального взаимодействия   зготовлен из фетра  безопасен и удобен для использования в дошкольных учреждениях </v>
      </c>
      <c r="G700" s="4" t="str">
        <f ca="1">IFERROR(__xludf.DUMMYFUNCTION("TEXTJOIN(""|"",TRUE,UNIQUE(FILTER(SPLIT(F700,"" ""),LEN(SPLIT(F700,"" ""))&gt;2)))"),"альчиковый|театр|фетра|альчиковый|театр|фетра|предназначен|для|театрализованной|игровой|коррекционно|развивающей|деятельности|детьми|спользуется|для|развития|речи|воображения|эмоциональной|выразительности|мелкой|моторики|озволяет|детям|разыгрывать|сказочн"&amp;"ые|собственные|сюжеты|способствует|формированию|связной|речи|социального|взаимодействия|зготовлен|фетра|безопасен|удобен|для|использования|дошкольных|учреждениях")</f>
        <v>альчиковый|театр|фетра|альчиковый|театр|фетра|предназначен|для|театрализованной|игровой|коррекционно|развивающей|деятельности|детьми|спользуется|для|развития|речи|воображения|эмоциональной|выразительности|мелкой|моторики|озволяет|детям|разыгрывать|сказочные|собственные|сюжеты|способствует|формированию|связной|речи|социального|взаимодействия|зготовлен|фетра|безопасен|удобен|для|использования|дошкольных|учреждениях</v>
      </c>
      <c r="I700" s="1"/>
      <c r="J700" s="1"/>
    </row>
    <row r="701" spans="1:10" x14ac:dyDescent="0.2">
      <c r="A701" s="8" t="s">
        <v>1538</v>
      </c>
      <c r="B701" s="7" t="s">
        <v>1537</v>
      </c>
      <c r="C701" s="7" t="s">
        <v>1536</v>
      </c>
      <c r="D701" s="6">
        <v>8700</v>
      </c>
      <c r="E701" s="5">
        <v>5</v>
      </c>
      <c r="F701" s="4" t="str">
        <f ca="1">IFERROR(__xludf.DUMMYFUNCTION("LOWER(REGEXREPLACE(B701&amp;"" ""&amp;C701,""[^а-яa-z0-9 ]"","" ""))")," есы с предметами для измерения  омплект весов с набором измерительных предметов используется для наглядного сравнения массы объектов    процессе работы выполняются действия по взвешиванию и сопоставлению результатов   рименяется для формирования представ"&amp;"лений о весе и соотношении величин   лементы набора рассчитаны на многократное использование ")</f>
        <v xml:space="preserve"> есы с предметами для измерения  омплект весов с набором измерительных предметов используется для наглядного сравнения массы объектов    процессе работы выполняются действия по взвешиванию и сопоставлению результатов   рименяется для формирования представлений о весе и соотношении величин   лементы набора рассчитаны на многократное использование </v>
      </c>
      <c r="G701" s="4" t="str">
        <f ca="1">IFERROR(__xludf.DUMMYFUNCTION("TEXTJOIN(""|"",TRUE,UNIQUE(FILTER(SPLIT(F701,"" ""),LEN(SPLIT(F701,"" ""))&gt;2)))"),"есы|предметами|для|измерения|омплект|весов|набором|измерительных|предметов|используется|для|наглядного|сравнения|массы|объектов|процессе|работы|выполняются|действия|взвешиванию|сопоставлению|результатов|рименяется|для|формирования|представлений|весе|соотн"&amp;"ошении|величин|лементы|набора|рассчитаны|многократное|использование")</f>
        <v>есы|предметами|для|измерения|омплект|весов|набором|измерительных|предметов|используется|для|наглядного|сравнения|массы|объектов|процессе|работы|выполняются|действия|взвешиванию|сопоставлению|результатов|рименяется|для|формирования|представлений|весе|соотношении|величин|лементы|набора|рассчитаны|многократное|использование</v>
      </c>
      <c r="I701" s="1"/>
      <c r="J701" s="1"/>
    </row>
    <row r="702" spans="1:10" x14ac:dyDescent="0.2">
      <c r="A702" s="8" t="s">
        <v>1535</v>
      </c>
      <c r="B702" s="7" t="s">
        <v>1534</v>
      </c>
      <c r="C702" s="7" t="s">
        <v>1533</v>
      </c>
      <c r="D702" s="6">
        <v>1700</v>
      </c>
      <c r="E702" s="5">
        <v>50</v>
      </c>
      <c r="F702" s="4" t="str">
        <f ca="1">IFERROR(__xludf.DUMMYFUNCTION("LOWER(REGEXREPLACE(B702&amp;"" ""&amp;C702,""[^а-яa-z0-9 ]"","" ""))")," апка  апка регистратор формата  4 предназначена для хранения  систематизации и архивирования документации  методических материалов  планов занятий и отч тных документов   спользуется в административной  педагогической и методической деятельности дошкольн"&amp;"ого учреждения   беспечивает удобный доступ к документам  их сохранность и аккуратное размещение   одходит для эксплуатации в условиях     ")</f>
        <v xml:space="preserve"> апка  апка регистратор формата  4 предназначена для хранения  систематизации и архивирования документации  методических материалов  планов занятий и отч тных документов   спользуется в административной  педагогической и методической деятельности дошкольного учреждения   беспечивает удобный доступ к документам  их сохранность и аккуратное размещение   одходит для эксплуатации в условиях     </v>
      </c>
      <c r="G702" s="4" t="str">
        <f ca="1">IFERROR(__xludf.DUMMYFUNCTION("TEXTJOIN(""|"",TRUE,UNIQUE(FILTER(SPLIT(F702,"" ""),LEN(SPLIT(F702,"" ""))&gt;2)))"),"апка|апка|регистратор|формата|предназначена|для|хранения|систематизации|архивирования|документации|методических|материалов|планов|занятий|отч|тных|документов|спользуется|административной|педагогической|методической|деятельности|дошкольного|учреждения|бесп"&amp;"ечивает|удобный|доступ|документам|сохранность|аккуратное|размещение|одходит|для|эксплуатации|условиях")</f>
        <v>апка|апка|регистратор|формата|предназначена|для|хранения|систематизации|архивирования|документации|методических|материалов|планов|занятий|отч|тных|документов|спользуется|административной|педагогической|методической|деятельности|дошкольного|учреждения|беспечивает|удобный|доступ|документам|сохранность|аккуратное|размещение|одходит|для|эксплуатации|условиях</v>
      </c>
      <c r="I702" s="1"/>
      <c r="J702" s="1"/>
    </row>
    <row r="703" spans="1:10" x14ac:dyDescent="0.2">
      <c r="A703" s="8" t="s">
        <v>1532</v>
      </c>
      <c r="B703" s="7" t="s">
        <v>1531</v>
      </c>
      <c r="C703" s="7" t="s">
        <v>1530</v>
      </c>
      <c r="D703" s="6">
        <v>27400</v>
      </c>
      <c r="E703" s="5">
        <v>5</v>
      </c>
      <c r="F703" s="4" t="str">
        <f ca="1">IFERROR(__xludf.DUMMYFUNCTION("LOWER(REGEXREPLACE(B703&amp;"" ""&amp;C703,""[^а-яa-z0-9 ]"","" ""))")," апоротники  екоративные папоротники предназначены для оформления предметно пространственной среды дошкольного учреждения   спользуются для создания благоприятной  спокойной и экологически ориентированной атмосферы в групповых помещениях  кабинетах специа"&amp;"листов и зонах отдыха   пособствуют формированию у детей эстетического восприятия и интереса к миру растений ")</f>
        <v xml:space="preserve"> апоротники  екоративные папоротники предназначены для оформления предметно пространственной среды дошкольного учреждения   спользуются для создания благоприятной  спокойной и экологически ориентированной атмосферы в групповых помещениях  кабинетах специалистов и зонах отдыха   пособствуют формированию у детей эстетического восприятия и интереса к миру растений </v>
      </c>
      <c r="G703" s="4" t="str">
        <f ca="1">IFERROR(__xludf.DUMMYFUNCTION("TEXTJOIN(""|"",TRUE,UNIQUE(FILTER(SPLIT(F703,"" ""),LEN(SPLIT(F703,"" ""))&gt;2)))"),"апоротники|екоративные|папоротники|предназначены|для|оформления|предметно|пространственной|среды|дошкольного|учреждения|спользуются|для|создания|благоприятной|спокойной|экологически|ориентированной|атмосферы|групповых|помещениях|кабинетах|специалистов|зон"&amp;"ах|отдыха|пособствуют|формированию|детей|эстетического|восприятия|интереса|миру|растений")</f>
        <v>апоротники|екоративные|папоротники|предназначены|для|оформления|предметно|пространственной|среды|дошкольного|учреждения|спользуются|для|создания|благоприятной|спокойной|экологически|ориентированной|атмосферы|групповых|помещениях|кабинетах|специалистов|зонах|отдыха|пособствуют|формированию|детей|эстетического|восприятия|интереса|миру|растений</v>
      </c>
      <c r="I703" s="1"/>
      <c r="J703" s="1"/>
    </row>
    <row r="704" spans="1:10" x14ac:dyDescent="0.2">
      <c r="A704" s="8" t="s">
        <v>1529</v>
      </c>
      <c r="B704" s="7" t="s">
        <v>1528</v>
      </c>
      <c r="C704" s="7" t="s">
        <v>1527</v>
      </c>
      <c r="D704" s="6">
        <v>53100</v>
      </c>
      <c r="E704" s="5">
        <v>2</v>
      </c>
      <c r="F704" s="4" t="str">
        <f ca="1">IFERROR(__xludf.DUMMYFUNCTION("LOWER(REGEXREPLACE(B704&amp;"" ""&amp;C704,""[^а-яa-z0-9 ]"","" ""))")," арашют игровой  групповые игры   гровой парашют предназначен для проведения подвижных и групповых игр с детьми дошкольного возраста   спользуется для развития координации движений  командного взаимодействия  внимания и чувства ритма   рименяется в физкул"&amp;"ьтурных занятиях  игровых паузах и коррекционно развивающей работе   зготовлен из прочного текстильного материала  безопасен и удобен для использования в помещении и на улице ")</f>
        <v xml:space="preserve"> арашют игровой  групповые игры   гровой парашют предназначен для проведения подвижных и групповых игр с детьми дошкольного возраста   спользуется для развития координации движений  командного взаимодействия  внимания и чувства ритма   рименяется в физкультурных занятиях  игровых паузах и коррекционно развивающей работе   зготовлен из прочного текстильного материала  безопасен и удобен для использования в помещении и на улице </v>
      </c>
      <c r="G704" s="4" t="str">
        <f ca="1">IFERROR(__xludf.DUMMYFUNCTION("TEXTJOIN(""|"",TRUE,UNIQUE(FILTER(SPLIT(F704,"" ""),LEN(SPLIT(F704,"" ""))&gt;2)))"),"арашют|игровой|групповые|игры|гровой|парашют|предназначен|для|проведения|подвижных|групповых|игр|детьми|дошкольного|возраста|спользуется|для|развития|координации|движений|командного|взаимодействия|внимания|чувства|ритма|рименяется|физкультурных|занятиях|и"&amp;"гровых|паузах|коррекционно|развивающей|работе|зготовлен|прочного|текстильного|материала|безопасен|удобен|для|использования|помещении|улице")</f>
        <v>арашют|игровой|групповые|игры|гровой|парашют|предназначен|для|проведения|подвижных|групповых|игр|детьми|дошкольного|возраста|спользуется|для|развития|координации|движений|командного|взаимодействия|внимания|чувства|ритма|рименяется|физкультурных|занятиях|игровых|паузах|коррекционно|развивающей|работе|зготовлен|прочного|текстильного|материала|безопасен|удобен|для|использования|помещении|улице</v>
      </c>
      <c r="I704" s="1"/>
      <c r="J704" s="1"/>
    </row>
    <row r="705" spans="1:10" x14ac:dyDescent="0.2">
      <c r="A705" s="8" t="s">
        <v>1526</v>
      </c>
      <c r="B705" s="7" t="s">
        <v>1525</v>
      </c>
      <c r="C705" s="7" t="s">
        <v>1524</v>
      </c>
      <c r="D705" s="6">
        <v>29900</v>
      </c>
      <c r="E705" s="5">
        <v>5</v>
      </c>
      <c r="F705" s="4" t="str">
        <f ca="1">IFERROR(__xludf.DUMMYFUNCTION("LOWER(REGEXREPLACE(B705&amp;"" ""&amp;C705,""[^а-яa-z0-9 ]"","" ""))")," аром круизный   ilja  ymphony   грушечная модель круизного парома предназначена для сюжетно ролевых игр детей дошкольного возраста   спользуется для формирования представлений о транспорте  путешествиях и социальной среде   пособствует развитию воображен"&amp;"ия  речи и навыков моделирования игровых ситуаций   онструкция безопасна и устойчива к регулярному использованию в условиях     ")</f>
        <v xml:space="preserve"> аром круизный   ilja  ymphony   грушечная модель круизного парома предназначена для сюжетно ролевых игр детей дошкольного возраста   спользуется для формирования представлений о транспорте  путешествиях и социальной среде   пособствует развитию воображения  речи и навыков моделирования игровых ситуаций   онструкция безопасна и устойчива к регулярному использованию в условиях     </v>
      </c>
      <c r="G705" s="4" t="str">
        <f ca="1">IFERROR(__xludf.DUMMYFUNCTION("TEXTJOIN(""|"",TRUE,UNIQUE(FILTER(SPLIT(F705,"" ""),LEN(SPLIT(F705,"" ""))&gt;2)))"),"аром|круизный|ilja|ymphony|грушечная|модель|круизного|парома|предназначена|для|сюжетно|ролевых|игр|детей|дошкольного|возраста|спользуется|для|формирования|представлений|транспорте|путешествиях|социальной|среде|пособствует|развитию|воображения|речи|навыков"&amp;"|моделирования|игровых|ситуаций|онструкция|безопасна|устойчива|регулярному|использованию|условиях")</f>
        <v>аром|круизный|ilja|ymphony|грушечная|модель|круизного|парома|предназначена|для|сюжетно|ролевых|игр|детей|дошкольного|возраста|спользуется|для|формирования|представлений|транспорте|путешествиях|социальной|среде|пособствует|развитию|воображения|речи|навыков|моделирования|игровых|ситуаций|онструкция|безопасна|устойчива|регулярному|использованию|условиях</v>
      </c>
      <c r="I705" s="1"/>
      <c r="J705" s="1"/>
    </row>
    <row r="706" spans="1:10" x14ac:dyDescent="0.2">
      <c r="A706" s="8" t="s">
        <v>1523</v>
      </c>
      <c r="B706" s="7" t="s">
        <v>1522</v>
      </c>
      <c r="C706" s="7" t="s">
        <v>1521</v>
      </c>
      <c r="D706" s="6">
        <v>114000</v>
      </c>
      <c r="E706" s="5">
        <v>2</v>
      </c>
      <c r="F706" s="4" t="str">
        <f ca="1">IFERROR(__xludf.DUMMYFUNCTION("LOWER(REGEXREPLACE(B706&amp;"" ""&amp;C706,""[^а-яa-z0-9 ]"","" ""))")," ередвижные книжные держатели  мобильные   ередвижная книжная стойка с полками для размещения детской литературы   снащена меловой доской для рисования и обозначения тематических подборок   меет кол са с фиксаторами для удобного перемещения и устойчивости"&amp;"   атериал   дерево или        азмер   410   410   950 мм   азначение   оформление мобильных книжных зон и тематических выставок ")</f>
        <v xml:space="preserve"> ередвижные книжные держатели  мобильные   ередвижная книжная стойка с полками для размещения детской литературы   снащена меловой доской для рисования и обозначения тематических подборок   меет кол са с фиксаторами для удобного перемещения и устойчивости   атериал   дерево или        азмер   410   410   950 мм   азначение   оформление мобильных книжных зон и тематических выставок </v>
      </c>
      <c r="G706" s="4" t="str">
        <f ca="1">IFERROR(__xludf.DUMMYFUNCTION("TEXTJOIN(""|"",TRUE,UNIQUE(FILTER(SPLIT(F706,"" ""),LEN(SPLIT(F706,"" ""))&gt;2)))"),"ередвижные|книжные|держатели|мобильные|ередвижная|книжная|стойка|полками|для|размещения|детской|литературы|снащена|меловой|доской|для|рисования|обозначения|тематических|подборок|меет|кол|фиксаторами|для|удобного|перемещения|устойчивости|атериал|дерево|или"&amp;"|азмер|410|410|950|азначение|оформление|мобильных|книжных|зон|тематических|выставок")</f>
        <v>ередвижные|книжные|держатели|мобильные|ередвижная|книжная|стойка|полками|для|размещения|детской|литературы|снащена|меловой|доской|для|рисования|обозначения|тематических|подборок|меет|кол|фиксаторами|для|удобного|перемещения|устойчивости|атериал|дерево|или|азмер|410|410|950|азначение|оформление|мобильных|книжных|зон|тематических|выставок</v>
      </c>
      <c r="I706" s="1"/>
      <c r="J706" s="1"/>
    </row>
    <row r="707" spans="1:10" x14ac:dyDescent="0.2">
      <c r="A707" s="8" t="s">
        <v>1520</v>
      </c>
      <c r="B707" s="7" t="s">
        <v>1519</v>
      </c>
      <c r="C707" s="7" t="s">
        <v>1518</v>
      </c>
      <c r="D707" s="6">
        <v>111900</v>
      </c>
      <c r="E707" s="5">
        <v>7</v>
      </c>
      <c r="F707" s="4" t="str">
        <f ca="1">IFERROR(__xludf.DUMMYFUNCTION("LOWER(REGEXREPLACE(B707&amp;"" ""&amp;C707,""[^а-яa-z0-9 ]"","" ""))")," есочная терапия   тол  тол для песочной терапии предназначен для проведения развивающих  коррекционных и релаксационных занятий с детьми дошкольного возраста   спользуется в психологической и арт терапевтической практике   анятия с песком способствуют ра"&amp;"звитию мелкой моторики  воображения  эмоциональной регуляции и снятию психоэмоционального напряжения   онструкция устойчивая  адаптирована для детского роста и безопасна для использования в     ")</f>
        <v xml:space="preserve"> есочная терапия   тол  тол для песочной терапии предназначен для проведения развивающих  коррекционных и релаксационных занятий с детьми дошкольного возраста   спользуется в психологической и арт терапевтической практике   анятия с песком способствуют развитию мелкой моторики  воображения  эмоциональной регуляции и снятию психоэмоционального напряжения   онструкция устойчивая  адаптирована для детского роста и безопасна для использования в     </v>
      </c>
      <c r="G707" s="4" t="str">
        <f ca="1">IFERROR(__xludf.DUMMYFUNCTION("TEXTJOIN(""|"",TRUE,UNIQUE(FILTER(SPLIT(F707,"" ""),LEN(SPLIT(F707,"" ""))&gt;2)))"),"есочная|терапия|тол|тол|для|песочной|терапии|предназначен|для|проведения|развивающих|коррекционных|релаксационных|занятий|детьми|дошкольного|возраста|спользуется|психологической|арт|терапевтической|практике|анятия|песком|способствуют|развитию|мелкой|мотор"&amp;"ики|воображения|эмоциональной|регуляции|снятию|психоэмоционального|напряжения|онструкция|устойчивая|адаптирована|для|детского|роста|безопасна|для|использования")</f>
        <v>есочная|терапия|тол|тол|для|песочной|терапии|предназначен|для|проведения|развивающих|коррекционных|релаксационных|занятий|детьми|дошкольного|возраста|спользуется|психологической|арт|терапевтической|практике|анятия|песком|способствуют|развитию|мелкой|моторики|воображения|эмоциональной|регуляции|снятию|психоэмоционального|напряжения|онструкция|устойчивая|адаптирована|для|детского|роста|безопасна|для|использования</v>
      </c>
      <c r="I707" s="1"/>
      <c r="J707" s="1"/>
    </row>
    <row r="708" spans="1:10" x14ac:dyDescent="0.2">
      <c r="A708" s="8" t="s">
        <v>1517</v>
      </c>
      <c r="B708" s="7" t="s">
        <v>1516</v>
      </c>
      <c r="C708" s="7" t="s">
        <v>1515</v>
      </c>
      <c r="D708" s="6">
        <v>1000</v>
      </c>
      <c r="E708" s="5">
        <v>3</v>
      </c>
      <c r="F708" s="4" t="str">
        <f ca="1">IFERROR(__xludf.DUMMYFUNCTION("LOWER(REGEXREPLACE(B708&amp;"" ""&amp;C708,""[^а-яa-z0-9 ]"","" ""))")," есочные часы  есочные часы предназначены для формирования у детей представлений о времени  развития концентрации внимания и саморегуляции   спользуются в образовательной  игровой и коррекционной деятельности для ограничения и контроля времени выполнения "&amp;"заданий   онструкция устойчивая  с безопасными краями  подходит для эксплуатации в детских учреждениях ")</f>
        <v xml:space="preserve"> есочные часы  есочные часы предназначены для формирования у детей представлений о времени  развития концентрации внимания и саморегуляции   спользуются в образовательной  игровой и коррекционной деятельности для ограничения и контроля времени выполнения заданий   онструкция устойчивая  с безопасными краями  подходит для эксплуатации в детских учреждениях </v>
      </c>
      <c r="G708" s="4" t="str">
        <f ca="1">IFERROR(__xludf.DUMMYFUNCTION("TEXTJOIN(""|"",TRUE,UNIQUE(FILTER(SPLIT(F708,"" ""),LEN(SPLIT(F708,"" ""))&gt;2)))"),"есочные|часы|есочные|часы|предназначены|для|формирования|детей|представлений|времени|развития|концентрации|внимания|саморегуляции|спользуются|образовательной|игровой|коррекционной|деятельности|для|ограничения|контроля|времени|выполнения|заданий|онструкция"&amp;"|устойчивая|безопасными|краями|подходит|для|эксплуатации|детских|учреждениях")</f>
        <v>есочные|часы|есочные|часы|предназначены|для|формирования|детей|представлений|времени|развития|концентрации|внимания|саморегуляции|спользуются|образовательной|игровой|коррекционной|деятельности|для|ограничения|контроля|времени|выполнения|заданий|онструкция|устойчивая|безопасными|краями|подходит|для|эксплуатации|детских|учреждениях</v>
      </c>
      <c r="I708" s="1"/>
      <c r="J708" s="1"/>
    </row>
    <row r="709" spans="1:10" x14ac:dyDescent="0.2">
      <c r="A709" s="8" t="s">
        <v>1514</v>
      </c>
      <c r="B709" s="7" t="s">
        <v>1513</v>
      </c>
      <c r="C709" s="7" t="s">
        <v>1512</v>
      </c>
      <c r="D709" s="6">
        <v>1700</v>
      </c>
      <c r="E709" s="5">
        <v>4</v>
      </c>
      <c r="F709" s="4" t="str">
        <f ca="1">IFERROR(__xludf.DUMMYFUNCTION("LOWER(REGEXREPLACE(B709&amp;"" ""&amp;C709,""[^а-яa-z0-9 ]"","" ""))")," есочные часы   таймер  аймер с песочным механизмом используется для наглядного отсч та времени в процессе занятий  игр и режимных моментов   пособствует развитию навыков планирования  ожидания и соблюдения временных рамок   рименяется в индивидуальной и "&amp;"групповой работе с детьми дошкольного возраста ")</f>
        <v xml:space="preserve"> есочные часы   таймер  аймер с песочным механизмом используется для наглядного отсч та времени в процессе занятий  игр и режимных моментов   пособствует развитию навыков планирования  ожидания и соблюдения временных рамок   рименяется в индивидуальной и групповой работе с детьми дошкольного возраста </v>
      </c>
      <c r="G709" s="4" t="str">
        <f ca="1">IFERROR(__xludf.DUMMYFUNCTION("TEXTJOIN(""|"",TRUE,UNIQUE(FILTER(SPLIT(F709,"" ""),LEN(SPLIT(F709,"" ""))&gt;2)))"),"есочные|часы|таймер|аймер|песочным|механизмом|используется|для|наглядного|отсч|времени|процессе|занятий|игр|режимных|моментов|пособствует|развитию|навыков|планирования|ожидания|соблюдения|временных|рамок|рименяется|индивидуальной|групповой|работе|детьми|д"&amp;"ошкольного|возраста")</f>
        <v>есочные|часы|таймер|аймер|песочным|механизмом|используется|для|наглядного|отсч|времени|процессе|занятий|игр|режимных|моментов|пособствует|развитию|навыков|планирования|ожидания|соблюдения|временных|рамок|рименяется|индивидуальной|групповой|работе|детьми|дошкольного|возраста</v>
      </c>
      <c r="I709" s="1"/>
      <c r="J709" s="1"/>
    </row>
    <row r="710" spans="1:10" x14ac:dyDescent="0.2">
      <c r="A710" s="8" t="s">
        <v>1511</v>
      </c>
      <c r="B710" s="7" t="s">
        <v>1510</v>
      </c>
      <c r="C710" s="7" t="s">
        <v>1509</v>
      </c>
      <c r="D710" s="6">
        <v>465400</v>
      </c>
      <c r="E710" s="5">
        <v>1</v>
      </c>
      <c r="F710" s="4" t="str">
        <f ca="1">IFERROR(__xludf.DUMMYFUNCTION("LOWER(REGEXREPLACE(B710&amp;"" ""&amp;C710,""[^а-яa-z0-9 ]"","" ""))")," есы db 200h   рузоподъемность  200 кг   увствительность  50 100 г")</f>
        <v xml:space="preserve"> есы db 200h   рузоподъемность  200 кг   увствительность  50 100 г</v>
      </c>
      <c r="G710" s="4" t="str">
        <f ca="1">IFERROR(__xludf.DUMMYFUNCTION("TEXTJOIN(""|"",TRUE,UNIQUE(FILTER(SPLIT(F710,"" ""),LEN(SPLIT(F710,"" ""))&gt;2)))"),"есы|200h|рузоподъемность|200|увствительность|100")</f>
        <v>есы|200h|рузоподъемность|200|увствительность|100</v>
      </c>
      <c r="I710" s="1"/>
      <c r="J710" s="1"/>
    </row>
    <row r="711" spans="1:10" x14ac:dyDescent="0.2">
      <c r="A711" s="8" t="s">
        <v>1508</v>
      </c>
      <c r="B711" s="7" t="s">
        <v>1507</v>
      </c>
      <c r="C711" s="7" t="s">
        <v>1506</v>
      </c>
      <c r="D711" s="6">
        <v>6100</v>
      </c>
      <c r="E711" s="5">
        <v>35</v>
      </c>
      <c r="F711" s="4" t="str">
        <f ca="1">IFERROR(__xludf.DUMMYFUNCTION("LOWER(REGEXREPLACE(B711&amp;"" ""&amp;C711,""[^а-яa-z0-9 ]"","" ""))")," есочный набор  есочный набор предназначен для игр с песком в помещении и на улице   спользуется для развития мелкой моторики  воображения  тактильного восприятия и сюжетно ролевой деятельности   одходит для индивидуальных и групповых игр детей дошкольног"&amp;"о возраста   зделие безопасно и устойчиво к регулярной эксплуатации ")</f>
        <v xml:space="preserve"> есочный набор  есочный набор предназначен для игр с песком в помещении и на улице   спользуется для развития мелкой моторики  воображения  тактильного восприятия и сюжетно ролевой деятельности   одходит для индивидуальных и групповых игр детей дошкольного возраста   зделие безопасно и устойчиво к регулярной эксплуатации </v>
      </c>
      <c r="G711" s="4" t="str">
        <f ca="1">IFERROR(__xludf.DUMMYFUNCTION("TEXTJOIN(""|"",TRUE,UNIQUE(FILTER(SPLIT(F711,"" ""),LEN(SPLIT(F711,"" ""))&gt;2)))"),"есочный|набор|есочный|набор|предназначен|для|игр|песком|помещении|улице|спользуется|для|развития|мелкой|моторики|воображения|тактильного|восприятия|сюжетно|ролевой|деятельности|одходит|для|индивидуальных|групповых|игр|детей|дошкольного|возраста|зделие|без"&amp;"опасно|устойчиво|регулярной|эксплуатации")</f>
        <v>есочный|набор|есочный|набор|предназначен|для|игр|песком|помещении|улице|спользуется|для|развития|мелкой|моторики|воображения|тактильного|восприятия|сюжетно|ролевой|деятельности|одходит|для|индивидуальных|групповых|игр|детей|дошкольного|возраста|зделие|безопасно|устойчиво|регулярной|эксплуатации</v>
      </c>
      <c r="I711" s="1"/>
      <c r="J711" s="1"/>
    </row>
    <row r="712" spans="1:10" x14ac:dyDescent="0.2">
      <c r="A712" s="8" t="s">
        <v>1505</v>
      </c>
      <c r="B712" s="8" t="s">
        <v>1504</v>
      </c>
      <c r="C712" s="7" t="s">
        <v>1503</v>
      </c>
      <c r="D712" s="6">
        <v>475000</v>
      </c>
      <c r="E712" s="5">
        <v>1</v>
      </c>
      <c r="F712" s="4" t="str">
        <f ca="1">IFERROR(__xludf.DUMMYFUNCTION("LOWER(REGEXREPLACE(B712&amp;"" ""&amp;C712,""[^а-яa-z0-9 ]"","" ""))")," интезатор  интезатор  edeli  810  узыкальный инструмент предназначен для сопровождения музыкальных занятий  развития слуха  ритма и вокальных навыков у детей дошкольного возраста   спользуется в музыкальном зале и на праздничных мероприятиях   онструкция"&amp;" устойчивая  поверхности безопасны для детей  эксплуатация соответствует требованиям использования музыкального оборудования в     ")</f>
        <v xml:space="preserve"> интезатор  интезатор  edeli  810  узыкальный инструмент предназначен для сопровождения музыкальных занятий  развития слуха  ритма и вокальных навыков у детей дошкольного возраста   спользуется в музыкальном зале и на праздничных мероприятиях   онструкция устойчивая  поверхности безопасны для детей  эксплуатация соответствует требованиям использования музыкального оборудования в     </v>
      </c>
      <c r="G712" s="4" t="str">
        <f ca="1">IFERROR(__xludf.DUMMYFUNCTION("TEXTJOIN(""|"",TRUE,UNIQUE(FILTER(SPLIT(F712,"" ""),LEN(SPLIT(F712,"" ""))&gt;2)))"),"интезатор|интезатор|edeli|810|узыкальный|инструмент|предназначен|для|сопровождения|музыкальных|занятий|развития|слуха|ритма|вокальных|навыков|детей|дошкольного|возраста|спользуется|музыкальном|зале|праздничных|мероприятиях|онструкция|устойчивая|поверхност"&amp;"и|безопасны|для|детей|эксплуатация|соответствует|требованиям|использования|музыкального|оборудования")</f>
        <v>интезатор|интезатор|edeli|810|узыкальный|инструмент|предназначен|для|сопровождения|музыкальных|занятий|развития|слуха|ритма|вокальных|навыков|детей|дошкольного|возраста|спользуется|музыкальном|зале|праздничных|мероприятиях|онструкция|устойчивая|поверхности|безопасны|для|детей|эксплуатация|соответствует|требованиям|использования|музыкального|оборудования</v>
      </c>
      <c r="I712" s="1"/>
      <c r="J712" s="1"/>
    </row>
    <row r="713" spans="1:10" x14ac:dyDescent="0.2">
      <c r="A713" s="8" t="s">
        <v>1502</v>
      </c>
      <c r="B713" s="7" t="s">
        <v>1501</v>
      </c>
      <c r="C713" s="7" t="s">
        <v>1500</v>
      </c>
      <c r="D713" s="6">
        <v>8400</v>
      </c>
      <c r="E713" s="5">
        <v>2</v>
      </c>
      <c r="F713" s="4" t="str">
        <f ca="1">IFERROR(__xludf.DUMMYFUNCTION("LOWER(REGEXREPLACE(B713&amp;"" ""&amp;C713,""[^а-яa-z0-9 ]"","" ""))")," инцет анатомический  рименяется для медицинских манипуляций  захвата и удержания материалов ")</f>
        <v xml:space="preserve"> инцет анатомический  рименяется для медицинских манипуляций  захвата и удержания материалов </v>
      </c>
      <c r="G713" s="4" t="str">
        <f ca="1">IFERROR(__xludf.DUMMYFUNCTION("TEXTJOIN(""|"",TRUE,UNIQUE(FILTER(SPLIT(F713,"" ""),LEN(SPLIT(F713,"" ""))&gt;2)))"),"инцет|анатомический|рименяется|для|медицинских|манипуляций|захвата|удержания|материалов")</f>
        <v>инцет|анатомический|рименяется|для|медицинских|манипуляций|захвата|удержания|материалов</v>
      </c>
      <c r="I713" s="1"/>
      <c r="J713" s="1"/>
    </row>
    <row r="714" spans="1:10" x14ac:dyDescent="0.2">
      <c r="A714" s="8" t="s">
        <v>1499</v>
      </c>
      <c r="B714" s="7" t="s">
        <v>1498</v>
      </c>
      <c r="C714" s="7" t="s">
        <v>1497</v>
      </c>
      <c r="D714" s="6">
        <v>14400</v>
      </c>
      <c r="E714" s="5">
        <v>1</v>
      </c>
      <c r="F714" s="4" t="str">
        <f ca="1">IFERROR(__xludf.DUMMYFUNCTION("LOWER(REGEXREPLACE(B714&amp;"" ""&amp;C714,""[^а-яa-z0-9 ]"","" ""))")," ирамида из шести шестер нок  азвивающая пирамида с шестер нками предназначена для формирования причинно следственных связей  развития логического мышления и мелкой моторики   спользуется в игровой и образовательной деятельности детей дошкольного возраста"&amp;"   лементы яркие  подвижные  безопасные и удобные для детского восприятия ")</f>
        <v xml:space="preserve"> ирамида из шести шестер нок  азвивающая пирамида с шестер нками предназначена для формирования причинно следственных связей  развития логического мышления и мелкой моторики   спользуется в игровой и образовательной деятельности детей дошкольного возраста   лементы яркие  подвижные  безопасные и удобные для детского восприятия </v>
      </c>
      <c r="G714" s="4" t="str">
        <f ca="1">IFERROR(__xludf.DUMMYFUNCTION("TEXTJOIN(""|"",TRUE,UNIQUE(FILTER(SPLIT(F714,"" ""),LEN(SPLIT(F714,"" ""))&gt;2)))"),"ирамида|шести|шестер|нок|азвивающая|пирамида|шестер|нками|предназначена|для|формирования|причинно|следственных|связей|развития|логического|мышления|мелкой|моторики|спользуется|игровой|образовательной|деятельности|детей|дошкольного|возраста|лементы|яркие|п"&amp;"одвижные|безопасные|удобные|для|детского|восприятия")</f>
        <v>ирамида|шести|шестер|нок|азвивающая|пирамида|шестер|нками|предназначена|для|формирования|причинно|следственных|связей|развития|логического|мышления|мелкой|моторики|спользуется|игровой|образовательной|деятельности|детей|дошкольного|возраста|лементы|яркие|подвижные|безопасные|удобные|для|детского|восприятия</v>
      </c>
      <c r="I714" s="1"/>
      <c r="J714" s="1"/>
    </row>
    <row r="715" spans="1:10" x14ac:dyDescent="0.2">
      <c r="A715" s="8" t="s">
        <v>1496</v>
      </c>
      <c r="B715" s="7" t="s">
        <v>1495</v>
      </c>
      <c r="C715" s="7" t="s">
        <v>1494</v>
      </c>
      <c r="D715" s="6">
        <v>25700</v>
      </c>
      <c r="E715" s="5">
        <v>7</v>
      </c>
      <c r="F715" s="4" t="str">
        <f ca="1">IFERROR(__xludf.DUMMYFUNCTION("LOWER(REGEXREPLACE(B715&amp;"" ""&amp;C715,""[^а-яa-z0-9 ]"","" ""))")," ирамидка  лассическая развивающая пирамидка предназначена для обучения детей сравнению размеров  цветов и последовательности   спользуется для развития моторики  координации движений и зрительного восприятия   одходит для индивидуальных и подгрупповых за"&amp;"нятий в     ")</f>
        <v xml:space="preserve"> ирамидка  лассическая развивающая пирамидка предназначена для обучения детей сравнению размеров  цветов и последовательности   спользуется для развития моторики  координации движений и зрительного восприятия   одходит для индивидуальных и подгрупповых занятий в     </v>
      </c>
      <c r="G715" s="4" t="str">
        <f ca="1">IFERROR(__xludf.DUMMYFUNCTION("TEXTJOIN(""|"",TRUE,UNIQUE(FILTER(SPLIT(F715,"" ""),LEN(SPLIT(F715,"" ""))&gt;2)))"),"ирамидка|лассическая|развивающая|пирамидка|предназначена|для|обучения|детей|сравнению|размеров|цветов|последовательности|спользуется|для|развития|моторики|координации|движений|зрительного|восприятия|одходит|для|индивидуальных|подгрупповых|занятий")</f>
        <v>ирамидка|лассическая|развивающая|пирамидка|предназначена|для|обучения|детей|сравнению|размеров|цветов|последовательности|спользуется|для|развития|моторики|координации|движений|зрительного|восприятия|одходит|для|индивидуальных|подгрупповых|занятий</v>
      </c>
      <c r="I715" s="1"/>
      <c r="J715" s="1"/>
    </row>
    <row r="716" spans="1:10" ht="33" customHeight="1" x14ac:dyDescent="0.2">
      <c r="A716" s="8" t="s">
        <v>1493</v>
      </c>
      <c r="B716" s="7" t="s">
        <v>1492</v>
      </c>
      <c r="C716" s="7" t="s">
        <v>1491</v>
      </c>
      <c r="D716" s="6">
        <v>7600</v>
      </c>
      <c r="E716" s="5">
        <v>1</v>
      </c>
      <c r="F716" s="4" t="str">
        <f ca="1">IFERROR(__xludf.DUMMYFUNCTION("LOWER(REGEXREPLACE(B716&amp;"" ""&amp;C716,""[^а-яa-z0-9 ]"","" ""))")," ирамидка конусная  онусная пирамидка предназначена для развития логического мышления  мелкой моторики и навыков сортировки у детей дошкольного возраста   спользуется в игровой и обучающей деятельности   онструкция безопасна  элементы легко удерживаются д"&amp;"етской рукой ")</f>
        <v xml:space="preserve"> ирамидка конусная  онусная пирамидка предназначена для развития логического мышления  мелкой моторики и навыков сортировки у детей дошкольного возраста   спользуется в игровой и обучающей деятельности   онструкция безопасна  элементы легко удерживаются детской рукой </v>
      </c>
      <c r="G716" s="4" t="str">
        <f ca="1">IFERROR(__xludf.DUMMYFUNCTION("TEXTJOIN(""|"",TRUE,UNIQUE(FILTER(SPLIT(F716,"" ""),LEN(SPLIT(F716,"" ""))&gt;2)))"),"ирамидка|конусная|онусная|пирамидка|предназначена|для|развития|логического|мышления|мелкой|моторики|навыков|сортировки|детей|дошкольного|возраста|спользуется|игровой|обучающей|деятельности|онструкция|безопасна|элементы|легко|удерживаются|детской|рукой")</f>
        <v>ирамидка|конусная|онусная|пирамидка|предназначена|для|развития|логического|мышления|мелкой|моторики|навыков|сортировки|детей|дошкольного|возраста|спользуется|игровой|обучающей|деятельности|онструкция|безопасна|элементы|легко|удерживаются|детской|рукой</v>
      </c>
      <c r="I716" s="1"/>
      <c r="J716" s="1"/>
    </row>
    <row r="717" spans="1:10" x14ac:dyDescent="0.2">
      <c r="A717" s="8" t="s">
        <v>1490</v>
      </c>
      <c r="B717" s="7" t="s">
        <v>1489</v>
      </c>
      <c r="C717" s="7" t="s">
        <v>1488</v>
      </c>
      <c r="D717" s="6">
        <v>4000</v>
      </c>
      <c r="E717" s="5">
        <v>7</v>
      </c>
      <c r="F717" s="4" t="str">
        <f ca="1">IFERROR(__xludf.DUMMYFUNCTION("LOWER(REGEXREPLACE(B717&amp;"" ""&amp;C717,""[^а-яa-z0-9 ]"","" ""))")," ирамидка логическая   игурки   огическая пирамидка с разноцветными геометрическими фигурками предназначена для развития логического мышления  мелкой моторики  зрительного восприятия и навыков сортировки у детей дошкольного возраста   спользуется в игрово"&amp;"й и образовательной деятельности   лементы размещаются на устойчивой подставке   зготовлена из дерева  безопасна и долговечна для использования в условиях     ")</f>
        <v xml:space="preserve"> ирамидка логическая   игурки   огическая пирамидка с разноцветными геометрическими фигурками предназначена для развития логического мышления  мелкой моторики  зрительного восприятия и навыков сортировки у детей дошкольного возраста   спользуется в игровой и образовательной деятельности   лементы размещаются на устойчивой подставке   зготовлена из дерева  безопасна и долговечна для использования в условиях     </v>
      </c>
      <c r="G717" s="4" t="str">
        <f ca="1">IFERROR(__xludf.DUMMYFUNCTION("TEXTJOIN(""|"",TRUE,UNIQUE(FILTER(SPLIT(F717,"" ""),LEN(SPLIT(F717,"" ""))&gt;2)))"),"ирамидка|логическая|игурки|огическая|пирамидка|разноцветными|геометрическими|фигурками|предназначена|для|развития|логического|мышления|мелкой|моторики|зрительного|восприятия|навыков|сортировки|детей|дошкольного|возраста|спользуется|игровой|образовательной"&amp;"|деятельности|лементы|размещаются|устойчивой|подставке|зготовлена|дерева|безопасна|долговечна|для|использования|условиях")</f>
        <v>ирамидка|логическая|игурки|огическая|пирамидка|разноцветными|геометрическими|фигурками|предназначена|для|развития|логического|мышления|мелкой|моторики|зрительного|восприятия|навыков|сортировки|детей|дошкольного|возраста|спользуется|игровой|образовательной|деятельности|лементы|размещаются|устойчивой|подставке|зготовлена|дерева|безопасна|долговечна|для|использования|условиях</v>
      </c>
      <c r="I717" s="1"/>
      <c r="J717" s="1"/>
    </row>
    <row r="718" spans="1:10" x14ac:dyDescent="0.2">
      <c r="A718" s="8" t="s">
        <v>1487</v>
      </c>
      <c r="B718" s="7" t="s">
        <v>1486</v>
      </c>
      <c r="C718" s="7" t="s">
        <v>1485</v>
      </c>
      <c r="D718" s="6">
        <v>31000</v>
      </c>
      <c r="E718" s="5">
        <v>1</v>
      </c>
      <c r="F718" s="4" t="str">
        <f ca="1">IFERROR(__xludf.DUMMYFUNCTION("LOWER(REGEXREPLACE(B718&amp;"" ""&amp;C718,""[^а-яa-z0-9 ]"","" ""))")," ирамидка радуга из дерева  еревянная пирамидка в форме радуги предназначена для развития пространственного мышления  воображения и сенсорного восприятия   спользуется в свободной игре и образовательных занятиях   атуральный материал и плавные формы обесп"&amp;"ечивают безопасность и долговечность изделия ")</f>
        <v xml:space="preserve"> ирамидка радуга из дерева  еревянная пирамидка в форме радуги предназначена для развития пространственного мышления  воображения и сенсорного восприятия   спользуется в свободной игре и образовательных занятиях   атуральный материал и плавные формы обеспечивают безопасность и долговечность изделия </v>
      </c>
      <c r="G718" s="4" t="str">
        <f ca="1">IFERROR(__xludf.DUMMYFUNCTION("TEXTJOIN(""|"",TRUE,UNIQUE(FILTER(SPLIT(F718,"" ""),LEN(SPLIT(F718,"" ""))&gt;2)))"),"ирамидка|радуга|дерева|еревянная|пирамидка|форме|радуги|предназначена|для|развития|пространственного|мышления|воображения|сенсорного|восприятия|спользуется|свободной|игре|образовательных|занятиях|атуральный|материал|плавные|формы|обеспечивают|безопасность"&amp;"|долговечность|изделия")</f>
        <v>ирамидка|радуга|дерева|еревянная|пирамидка|форме|радуги|предназначена|для|развития|пространственного|мышления|воображения|сенсорного|восприятия|спользуется|свободной|игре|образовательных|занятиях|атуральный|материал|плавные|формы|обеспечивают|безопасность|долговечность|изделия</v>
      </c>
      <c r="I718" s="1"/>
      <c r="J718" s="1"/>
    </row>
    <row r="719" spans="1:10" x14ac:dyDescent="0.2">
      <c r="A719" s="8" t="s">
        <v>1484</v>
      </c>
      <c r="B719" s="7" t="s">
        <v>1483</v>
      </c>
      <c r="C719" s="7" t="s">
        <v>1482</v>
      </c>
      <c r="D719" s="6">
        <v>8600</v>
      </c>
      <c r="E719" s="5">
        <v>22</v>
      </c>
      <c r="F719" s="4" t="str">
        <f ca="1">IFERROR(__xludf.DUMMYFUNCTION("LOWER(REGEXREPLACE(B719&amp;"" ""&amp;C719,""[^а-яa-z0-9 ]"","" ""))")," ирамидка разного размера  абор пирамидок различного размера предназначен для развития навыков сравнения  классификации и логического мышления   спользуется в дидактических и игровых занятиях с детьми дошкольного возраста ")</f>
        <v xml:space="preserve"> ирамидка разного размера  абор пирамидок различного размера предназначен для развития навыков сравнения  классификации и логического мышления   спользуется в дидактических и игровых занятиях с детьми дошкольного возраста </v>
      </c>
      <c r="G719" s="4" t="str">
        <f ca="1">IFERROR(__xludf.DUMMYFUNCTION("TEXTJOIN(""|"",TRUE,UNIQUE(FILTER(SPLIT(F719,"" ""),LEN(SPLIT(F719,"" ""))&gt;2)))"),"ирамидка|разного|размера|абор|пирамидок|различного|размера|предназначен|для|развития|навыков|сравнения|классификации|логического|мышления|спользуется|дидактических|игровых|занятиях|детьми|дошкольного|возраста")</f>
        <v>ирамидка|разного|размера|абор|пирамидок|различного|размера|предназначен|для|развития|навыков|сравнения|классификации|логического|мышления|спользуется|дидактических|игровых|занятиях|детьми|дошкольного|возраста</v>
      </c>
      <c r="I719" s="1"/>
      <c r="J719" s="1"/>
    </row>
    <row r="720" spans="1:10" x14ac:dyDescent="0.2">
      <c r="A720" s="8" t="s">
        <v>1481</v>
      </c>
      <c r="B720" s="7" t="s">
        <v>1480</v>
      </c>
      <c r="C720" s="7" t="s">
        <v>1479</v>
      </c>
      <c r="D720" s="6">
        <v>10500</v>
      </c>
      <c r="E720" s="5">
        <v>1</v>
      </c>
      <c r="F720" s="4" t="str">
        <f ca="1">IFERROR(__xludf.DUMMYFUNCTION("LOWER(REGEXREPLACE(B720&amp;"" ""&amp;C720,""[^а-яa-z0-9 ]"","" ""))")," ирамидки деревянные бусы  еревянные пирамидки бусы предназначены для сортировки  нанизывания и сравнения форм и цветов   спользуются для развития мелкой моторики  координации рук и внимания   одходят для индивидуальной и подгрупповой работы в     ")</f>
        <v xml:space="preserve"> ирамидки деревянные бусы  еревянные пирамидки бусы предназначены для сортировки  нанизывания и сравнения форм и цветов   спользуются для развития мелкой моторики  координации рук и внимания   одходят для индивидуальной и подгрупповой работы в     </v>
      </c>
      <c r="G720" s="4" t="str">
        <f ca="1">IFERROR(__xludf.DUMMYFUNCTION("TEXTJOIN(""|"",TRUE,UNIQUE(FILTER(SPLIT(F720,"" ""),LEN(SPLIT(F720,"" ""))&gt;2)))"),"ирамидки|деревянные|бусы|еревянные|пирамидки|бусы|предназначены|для|сортировки|нанизывания|сравнения|форм|цветов|спользуются|для|развития|мелкой|моторики|координации|рук|внимания|одходят|для|индивидуальной|подгрупповой|работы")</f>
        <v>ирамидки|деревянные|бусы|еревянные|пирамидки|бусы|предназначены|для|сортировки|нанизывания|сравнения|форм|цветов|спользуются|для|развития|мелкой|моторики|координации|рук|внимания|одходят|для|индивидуальной|подгрупповой|работы</v>
      </c>
      <c r="I720" s="1"/>
      <c r="J720" s="1"/>
    </row>
    <row r="721" spans="1:10" x14ac:dyDescent="0.2">
      <c r="A721" s="8" t="s">
        <v>1478</v>
      </c>
      <c r="B721" s="7" t="s">
        <v>1477</v>
      </c>
      <c r="C721" s="7"/>
      <c r="D721" s="6">
        <v>1800</v>
      </c>
      <c r="E721" s="5">
        <v>1</v>
      </c>
      <c r="F721" s="4" t="str">
        <f ca="1">IFERROR(__xludf.DUMMYFUNCTION("LOWER(REGEXREPLACE(B721&amp;"" ""&amp;C721,""[^а-яa-z0-9 ]"","" ""))"),"  з   жаса  оптамасы   й жануарлары   ерия   делай сам    омашние животные из картона ")</f>
        <v xml:space="preserve">  з   жаса  оптамасы   й жануарлары   ерия   делай сам    омашние животные из картона </v>
      </c>
      <c r="G721" s="4" t="str">
        <f ca="1">IFERROR(__xludf.DUMMYFUNCTION("TEXTJOIN(""|"",TRUE,UNIQUE(FILTER(SPLIT(F721,"" ""),LEN(SPLIT(F721,"" ""))&gt;2)))"),"жаса|оптамасы|жануарлары|ерия|делай|сам|омашние|животные|картона")</f>
        <v>жаса|оптамасы|жануарлары|ерия|делай|сам|омашние|животные|картона</v>
      </c>
      <c r="I721" s="1"/>
      <c r="J721" s="1"/>
    </row>
    <row r="722" spans="1:10" x14ac:dyDescent="0.2">
      <c r="A722" s="8" t="s">
        <v>1476</v>
      </c>
      <c r="B722" s="7" t="s">
        <v>1475</v>
      </c>
      <c r="C722" s="7" t="s">
        <v>1474</v>
      </c>
      <c r="D722" s="6">
        <v>183900</v>
      </c>
      <c r="E722" s="5">
        <v>3</v>
      </c>
      <c r="F722" s="4" t="str">
        <f ca="1">IFERROR(__xludf.DUMMYFUNCTION("LOWER(REGEXREPLACE(B722&amp;"" ""&amp;C722,""[^а-яa-z0-9 ]"","" ""))")," есы sw 10 dd  рузоподъемность  10 кг   увствительность  5 г")</f>
        <v xml:space="preserve"> есы sw 10 dd  рузоподъемность  10 кг   увствительность  5 г</v>
      </c>
      <c r="G722" s="4" t="str">
        <f ca="1">IFERROR(__xludf.DUMMYFUNCTION("TEXTJOIN(""|"",TRUE,UNIQUE(FILTER(SPLIT(F722,"" ""),LEN(SPLIT(F722,"" ""))&gt;2)))"),"есы|рузоподъемность|увствительность")</f>
        <v>есы|рузоподъемность|увствительность</v>
      </c>
      <c r="I722" s="1"/>
      <c r="J722" s="1"/>
    </row>
    <row r="723" spans="1:10" x14ac:dyDescent="0.2">
      <c r="A723" s="8" t="s">
        <v>1473</v>
      </c>
      <c r="B723" s="7" t="s">
        <v>1472</v>
      </c>
      <c r="C723" s="7" t="s">
        <v>1471</v>
      </c>
      <c r="D723" s="6">
        <v>9500</v>
      </c>
      <c r="E723" s="5">
        <v>1</v>
      </c>
      <c r="F723" s="4" t="str">
        <f ca="1">IFERROR(__xludf.DUMMYFUNCTION("LOWER(REGEXREPLACE(B723&amp;"" ""&amp;C723,""[^а-яa-z0-9 ]"","" ""))")," ирамидки разные  азнообразные пирамидки используются в развивающих играх для формирования сенсорных представлений  логического мышления и моторных навыков у детей дошкольного возраста   одходят для систематического использования в образовательной среде д"&amp;"етского сада ")</f>
        <v xml:space="preserve"> ирамидки разные  азнообразные пирамидки используются в развивающих играх для формирования сенсорных представлений  логического мышления и моторных навыков у детей дошкольного возраста   одходят для систематического использования в образовательной среде детского сада </v>
      </c>
      <c r="G723" s="4" t="str">
        <f ca="1">IFERROR(__xludf.DUMMYFUNCTION("TEXTJOIN(""|"",TRUE,UNIQUE(FILTER(SPLIT(F723,"" ""),LEN(SPLIT(F723,"" ""))&gt;2)))"),"ирамидки|разные|азнообразные|пирамидки|используются|развивающих|играх|для|формирования|сенсорных|представлений|логического|мышления|моторных|навыков|детей|дошкольного|возраста|одходят|для|систематического|использования|образовательной|среде|детского|сада")</f>
        <v>ирамидки|разные|азнообразные|пирамидки|используются|развивающих|играх|для|формирования|сенсорных|представлений|логического|мышления|моторных|навыков|детей|дошкольного|возраста|одходят|для|систематического|использования|образовательной|среде|детского|сада</v>
      </c>
      <c r="I723" s="1"/>
      <c r="J723" s="1"/>
    </row>
    <row r="724" spans="1:10" x14ac:dyDescent="0.2">
      <c r="A724" s="8" t="s">
        <v>1470</v>
      </c>
      <c r="B724" s="7" t="s">
        <v>1469</v>
      </c>
      <c r="C724" s="7" t="s">
        <v>1083</v>
      </c>
      <c r="D724" s="6">
        <v>3000</v>
      </c>
      <c r="E724" s="5">
        <v>1</v>
      </c>
      <c r="F724" s="4" t="str">
        <f ca="1">IFERROR(__xludf.DUMMYFUNCTION("LOWER(REGEXREPLACE(B724&amp;"" ""&amp;C724,""[^а-яa-z0-9 ]"","" ""))"),"  л мен жолбарыс  ртег   ояма    растар ан  ужикова   ")</f>
        <v xml:space="preserve">  л мен жолбарыс  ртег   ояма    растар ан  ужикова   </v>
      </c>
      <c r="G724" s="4" t="str">
        <f ca="1">IFERROR(__xludf.DUMMYFUNCTION("TEXTJOIN(""|"",TRUE,UNIQUE(FILTER(SPLIT(F724,"" ""),LEN(SPLIT(F724,"" ""))&gt;2)))"),"мен|жолбарыс|ртег|ояма|растар|ужикова")</f>
        <v>мен|жолбарыс|ртег|ояма|растар|ужикова</v>
      </c>
      <c r="I724" s="1"/>
      <c r="J724" s="1"/>
    </row>
    <row r="725" spans="1:10" x14ac:dyDescent="0.2">
      <c r="A725" s="8" t="s">
        <v>1468</v>
      </c>
      <c r="B725" s="7" t="s">
        <v>1467</v>
      </c>
      <c r="C725" s="7" t="s">
        <v>1466</v>
      </c>
      <c r="D725" s="6">
        <v>3400</v>
      </c>
      <c r="E725" s="5">
        <v>2</v>
      </c>
      <c r="F725" s="4" t="str">
        <f ca="1">IFERROR(__xludf.DUMMYFUNCTION("LOWER(REGEXREPLACE(B725&amp;"" ""&amp;C725,""[^а-яa-z0-9 ]"","" ""))")," лакаты артикуляционной гимнастики  емонстрационные плакаты предназначены для проведения артикуляционной гимнастики и логопедических занятий   аглядно отображают положение языка  губ и зубов при выполнении упражнений   спользуются в коррекционной и развив"&amp;"ающей работе с детьми дошкольного возраста ")</f>
        <v xml:space="preserve"> лакаты артикуляционной гимнастики  емонстрационные плакаты предназначены для проведения артикуляционной гимнастики и логопедических занятий   аглядно отображают положение языка  губ и зубов при выполнении упражнений   спользуются в коррекционной и развивающей работе с детьми дошкольного возраста </v>
      </c>
      <c r="G725" s="4" t="str">
        <f ca="1">IFERROR(__xludf.DUMMYFUNCTION("TEXTJOIN(""|"",TRUE,UNIQUE(FILTER(SPLIT(F725,"" ""),LEN(SPLIT(F725,"" ""))&gt;2)))"),"лакаты|артикуляционной|гимнастики|емонстрационные|плакаты|предназначены|для|проведения|артикуляционной|гимнастики|логопедических|занятий|аглядно|отображают|положение|языка|губ|зубов|при|выполнении|упражнений|спользуются|коррекционной|развивающей|работе|де"&amp;"тьми|дошкольного|возраста")</f>
        <v>лакаты|артикуляционной|гимнастики|емонстрационные|плакаты|предназначены|для|проведения|артикуляционной|гимнастики|логопедических|занятий|аглядно|отображают|положение|языка|губ|зубов|при|выполнении|упражнений|спользуются|коррекционной|развивающей|работе|детьми|дошкольного|возраста</v>
      </c>
      <c r="I725" s="1"/>
      <c r="J725" s="1"/>
    </row>
    <row r="726" spans="1:10" x14ac:dyDescent="0.2">
      <c r="A726" s="8" t="s">
        <v>1465</v>
      </c>
      <c r="B726" s="7" t="s">
        <v>1464</v>
      </c>
      <c r="C726" s="7" t="s">
        <v>1463</v>
      </c>
      <c r="D726" s="6">
        <v>19000</v>
      </c>
      <c r="E726" s="5">
        <v>2</v>
      </c>
      <c r="F726" s="4" t="str">
        <f ca="1">IFERROR(__xludf.DUMMYFUNCTION("LOWER(REGEXREPLACE(B726&amp;"" ""&amp;C726,""[^а-яa-z0-9 ]"","" ""))")," лакаты с правильным произношением звуков  лакаты предназначены для формирования правильного произношения звуков  в том числе               и других    спользуются в логопедической практике для визуальной поддержки артикуляционных упражнений и развития фо"&amp;"нематического слуха у детей ")</f>
        <v xml:space="preserve"> лакаты с правильным произношением звуков  лакаты предназначены для формирования правильного произношения звуков  в том числе               и других    спользуются в логопедической практике для визуальной поддержки артикуляционных упражнений и развития фонематического слуха у детей </v>
      </c>
      <c r="G726" s="4" t="str">
        <f ca="1">IFERROR(__xludf.DUMMYFUNCTION("TEXTJOIN(""|"",TRUE,UNIQUE(FILTER(SPLIT(F726,"" ""),LEN(SPLIT(F726,"" ""))&gt;2)))"),"лакаты|правильным|произношением|звуков|лакаты|предназначены|для|формирования|правильного|произношения|звуков|том|числе|других|спользуются|логопедической|практике|для|визуальной|поддержки|артикуляционных|упражнений|развития|фонематического|слуха|детей")</f>
        <v>лакаты|правильным|произношением|звуков|лакаты|предназначены|для|формирования|правильного|произношения|звуков|том|числе|других|спользуются|логопедической|практике|для|визуальной|поддержки|артикуляционных|упражнений|развития|фонематического|слуха|детей</v>
      </c>
      <c r="I726" s="1"/>
      <c r="J726" s="1"/>
    </row>
    <row r="727" spans="1:10" x14ac:dyDescent="0.2">
      <c r="A727" s="8" t="s">
        <v>1462</v>
      </c>
      <c r="B727" s="7" t="s">
        <v>1461</v>
      </c>
      <c r="C727" s="7" t="s">
        <v>1460</v>
      </c>
      <c r="D727" s="6">
        <v>17400</v>
      </c>
      <c r="E727" s="5">
        <v>35</v>
      </c>
      <c r="F727" s="4" t="str">
        <f ca="1">IFERROR(__xludf.DUMMYFUNCTION("LOWER(REGEXREPLACE(B727&amp;"" ""&amp;C727,""[^а-яa-z0-9 ]"","" ""))")," ланшет развивающий  азвивающий планшет предназначен для обучения и развлечения детей дошкольного возраста   спользуется для развития речи  слухового восприятия  памяти и внимания   одержит стихи  песни  звуки  задания по буквам и цифрам   снащ н регулиро"&amp;"вкой громкости и выключателем  безопасен для использования в     ")</f>
        <v xml:space="preserve"> ланшет развивающий  азвивающий планшет предназначен для обучения и развлечения детей дошкольного возраста   спользуется для развития речи  слухового восприятия  памяти и внимания   одержит стихи  песни  звуки  задания по буквам и цифрам   снащ н регулировкой громкости и выключателем  безопасен для использования в     </v>
      </c>
      <c r="G727" s="4" t="str">
        <f ca="1">IFERROR(__xludf.DUMMYFUNCTION("TEXTJOIN(""|"",TRUE,UNIQUE(FILTER(SPLIT(F727,"" ""),LEN(SPLIT(F727,"" ""))&gt;2)))"),"ланшет|развивающий|азвивающий|планшет|предназначен|для|обучения|развлечения|детей|дошкольного|возраста|спользуется|для|развития|речи|слухового|восприятия|памяти|внимания|одержит|стихи|песни|звуки|задания|буквам|цифрам|снащ|регулировкой|громкости|выключате"&amp;"лем|безопасен|для|использования")</f>
        <v>ланшет|развивающий|азвивающий|планшет|предназначен|для|обучения|развлечения|детей|дошкольного|возраста|спользуется|для|развития|речи|слухового|восприятия|памяти|внимания|одержит|стихи|песни|звуки|задания|буквам|цифрам|снащ|регулировкой|громкости|выключателем|безопасен|для|использования</v>
      </c>
      <c r="I727" s="1"/>
      <c r="J727" s="1"/>
    </row>
    <row r="728" spans="1:10" x14ac:dyDescent="0.2">
      <c r="A728" s="8" t="s">
        <v>1459</v>
      </c>
      <c r="B728" s="7" t="s">
        <v>1458</v>
      </c>
      <c r="C728" s="7" t="s">
        <v>1457</v>
      </c>
      <c r="D728" s="6">
        <v>4400</v>
      </c>
      <c r="E728" s="5">
        <v>25</v>
      </c>
      <c r="F728" s="4" t="str">
        <f ca="1">IFERROR(__xludf.DUMMYFUNCTION("LOWER(REGEXREPLACE(B728&amp;"" ""&amp;C728,""[^а-яa-z0-9 ]"","" ""))")," ластилин  етский мягкий пластилин предназначен для лепки и художественно творческой деятельности   спользуется для развития мелкой моторики  воображения и сенсорных навыков у детей дошкольного возраста   одходит для индивидуальных и групповых занятий ")</f>
        <v xml:space="preserve"> ластилин  етский мягкий пластилин предназначен для лепки и художественно творческой деятельности   спользуется для развития мелкой моторики  воображения и сенсорных навыков у детей дошкольного возраста   одходит для индивидуальных и групповых занятий </v>
      </c>
      <c r="G728" s="4" t="str">
        <f ca="1">IFERROR(__xludf.DUMMYFUNCTION("TEXTJOIN(""|"",TRUE,UNIQUE(FILTER(SPLIT(F728,"" ""),LEN(SPLIT(F728,"" ""))&gt;2)))"),"ластилин|етский|мягкий|пластилин|предназначен|для|лепки|художественно|творческой|деятельности|спользуется|для|развития|мелкой|моторики|воображения|сенсорных|навыков|детей|дошкольного|возраста|одходит|для|индивидуальных|групповых|занятий")</f>
        <v>ластилин|етский|мягкий|пластилин|предназначен|для|лепки|художественно|творческой|деятельности|спользуется|для|развития|мелкой|моторики|воображения|сенсорных|навыков|детей|дошкольного|возраста|одходит|для|индивидуальных|групповых|занятий</v>
      </c>
      <c r="I728" s="1"/>
      <c r="J728" s="1"/>
    </row>
    <row r="729" spans="1:10" x14ac:dyDescent="0.2">
      <c r="A729" s="8" t="s">
        <v>1456</v>
      </c>
      <c r="B729" s="7" t="s">
        <v>1455</v>
      </c>
      <c r="C729" s="7" t="s">
        <v>1454</v>
      </c>
      <c r="D729" s="6">
        <v>3300</v>
      </c>
      <c r="E729" s="5">
        <v>20</v>
      </c>
      <c r="F729" s="4" t="str">
        <f ca="1">IFERROR(__xludf.DUMMYFUNCTION("LOWER(REGEXREPLACE(B729&amp;"" ""&amp;C729,""[^а-яa-z0-9 ]"","" ""))")," ластилины  набор   абор пластилина с большим количеством цветов предназначен для творческой деятельности детей   спользуется в образовательной и развивающей среде     для лепки  моделирования и художественного самовыражения   атериал безопасен при соблюд"&amp;"ении правил эксплуатации ")</f>
        <v xml:space="preserve"> ластилины  набор   абор пластилина с большим количеством цветов предназначен для творческой деятельности детей   спользуется в образовательной и развивающей среде     для лепки  моделирования и художественного самовыражения   атериал безопасен при соблюдении правил эксплуатации </v>
      </c>
      <c r="G729" s="4" t="str">
        <f ca="1">IFERROR(__xludf.DUMMYFUNCTION("TEXTJOIN(""|"",TRUE,UNIQUE(FILTER(SPLIT(F729,"" ""),LEN(SPLIT(F729,"" ""))&gt;2)))"),"ластилины|набор|абор|пластилина|большим|количеством|цветов|предназначен|для|творческой|деятельности|детей|спользуется|образовательной|развивающей|среде|для|лепки|моделирования|художественного|самовыражения|атериал|безопасен|при|соблюдении|правил|эксплуата"&amp;"ции")</f>
        <v>ластилины|набор|абор|пластилина|большим|количеством|цветов|предназначен|для|творческой|деятельности|детей|спользуется|образовательной|развивающей|среде|для|лепки|моделирования|художественного|самовыражения|атериал|безопасен|при|соблюдении|правил|эксплуатации</v>
      </c>
      <c r="I729" s="1"/>
      <c r="J729" s="1"/>
    </row>
    <row r="730" spans="1:10" x14ac:dyDescent="0.2">
      <c r="A730" s="8" t="s">
        <v>1453</v>
      </c>
      <c r="B730" s="7" t="s">
        <v>1452</v>
      </c>
      <c r="C730" s="7" t="s">
        <v>1451</v>
      </c>
      <c r="D730" s="6">
        <v>27000</v>
      </c>
      <c r="E730" s="5">
        <v>320</v>
      </c>
      <c r="F730" s="4" t="str">
        <f ca="1">IFERROR(__xludf.DUMMYFUNCTION("LOWER(REGEXREPLACE(B730&amp;"" ""&amp;C730,""[^а-яa-z0-9 ]"","" ""))")," лед   покрывало  лед или покрывало предназначено для использования в групповых помещениях дошкольного учреждения   рименяется в зонах отдыха  релаксации или во время дневного сна   беспечивает комфорт и уют  подходит для регулярного использования ")</f>
        <v xml:space="preserve"> лед   покрывало  лед или покрывало предназначено для использования в групповых помещениях дошкольного учреждения   рименяется в зонах отдыха  релаксации или во время дневного сна   беспечивает комфорт и уют  подходит для регулярного использования </v>
      </c>
      <c r="G730" s="4" t="str">
        <f ca="1">IFERROR(__xludf.DUMMYFUNCTION("TEXTJOIN(""|"",TRUE,UNIQUE(FILTER(SPLIT(F730,"" ""),LEN(SPLIT(F730,"" ""))&gt;2)))"),"лед|покрывало|лед|или|покрывало|предназначено|для|использования|групповых|помещениях|дошкольного|учреждения|рименяется|зонах|отдыха|релаксации|или|время|дневного|сна|беспечивает|комфорт|уют|подходит|для|регулярного|использования")</f>
        <v>лед|покрывало|лед|или|покрывало|предназначено|для|использования|групповых|помещениях|дошкольного|учреждения|рименяется|зонах|отдыха|релаксации|или|время|дневного|сна|беспечивает|комфорт|уют|подходит|для|регулярного|использования</v>
      </c>
      <c r="I730" s="1"/>
      <c r="J730" s="1"/>
    </row>
    <row r="731" spans="1:10" x14ac:dyDescent="0.2">
      <c r="A731" s="8" t="s">
        <v>1450</v>
      </c>
      <c r="B731" s="7" t="s">
        <v>1449</v>
      </c>
      <c r="C731" s="7" t="s">
        <v>1448</v>
      </c>
      <c r="D731" s="6">
        <v>27000</v>
      </c>
      <c r="E731" s="5">
        <v>320</v>
      </c>
      <c r="F731" s="4" t="str">
        <f ca="1">IFERROR(__xludf.DUMMYFUNCTION("LOWER(REGEXREPLACE(B731&amp;"" ""&amp;C731,""[^а-яa-z0-9 ]"","" ""))")," одушка детская  етская подушка предназначена для использования в групповых помещениях и зонах отдыха дошкольного учреждения   беспечивает комфорт и поддержку во время отдыха   зготовлена из гипоаллергенных материалов  подходит для регулярного использован"&amp;"ия ")</f>
        <v xml:space="preserve"> одушка детская  етская подушка предназначена для использования в групповых помещениях и зонах отдыха дошкольного учреждения   беспечивает комфорт и поддержку во время отдыха   зготовлена из гипоаллергенных материалов  подходит для регулярного использования </v>
      </c>
      <c r="G731" s="4" t="str">
        <f ca="1">IFERROR(__xludf.DUMMYFUNCTION("TEXTJOIN(""|"",TRUE,UNIQUE(FILTER(SPLIT(F731,"" ""),LEN(SPLIT(F731,"" ""))&gt;2)))"),"одушка|детская|етская|подушка|предназначена|для|использования|групповых|помещениях|зонах|отдыха|дошкольного|учреждения|беспечивает|комфорт|поддержку|время|отдыха|зготовлена|гипоаллергенных|материалов|подходит|для|регулярного|использования")</f>
        <v>одушка|детская|етская|подушка|предназначена|для|использования|групповых|помещениях|зонах|отдыха|дошкольного|учреждения|беспечивает|комфорт|поддержку|время|отдыха|зготовлена|гипоаллергенных|материалов|подходит|для|регулярного|использования</v>
      </c>
      <c r="I731" s="1"/>
      <c r="J731" s="1"/>
    </row>
    <row r="732" spans="1:10" x14ac:dyDescent="0.2">
      <c r="A732" s="8" t="s">
        <v>1447</v>
      </c>
      <c r="B732" s="7" t="s">
        <v>1446</v>
      </c>
      <c r="C732" s="7" t="s">
        <v>1445</v>
      </c>
      <c r="D732" s="6">
        <v>17100</v>
      </c>
      <c r="E732" s="5">
        <v>1</v>
      </c>
      <c r="F732" s="4" t="str">
        <f ca="1">IFERROR(__xludf.DUMMYFUNCTION("LOWER(REGEXREPLACE(B732&amp;"" ""&amp;C732,""[^а-яa-z0-9 ]"","" ""))")," оезд  деревянный   еревянный поезд предназначен для сюжетно ролевых и развивающих игр детей дошкольного возраста   пособствует развитию воображения  логического мышления  мелкой моторики и координации движений   зготовлен из натурального дерева  безопасе"&amp;"н для использования в     ")</f>
        <v xml:space="preserve"> оезд  деревянный   еревянный поезд предназначен для сюжетно ролевых и развивающих игр детей дошкольного возраста   пособствует развитию воображения  логического мышления  мелкой моторики и координации движений   зготовлен из натурального дерева  безопасен для использования в     </v>
      </c>
      <c r="G732" s="4" t="str">
        <f ca="1">IFERROR(__xludf.DUMMYFUNCTION("TEXTJOIN(""|"",TRUE,UNIQUE(FILTER(SPLIT(F732,"" ""),LEN(SPLIT(F732,"" ""))&gt;2)))"),"оезд|деревянный|еревянный|поезд|предназначен|для|сюжетно|ролевых|развивающих|игр|детей|дошкольного|возраста|пособствует|развитию|воображения|логического|мышления|мелкой|моторики|координации|движений|зготовлен|натурального|дерева|безопасен|для|использовани"&amp;"я")</f>
        <v>оезд|деревянный|еревянный|поезд|предназначен|для|сюжетно|ролевых|развивающих|игр|детей|дошкольного|возраста|пособствует|развитию|воображения|логического|мышления|мелкой|моторики|координации|движений|зготовлен|натурального|дерева|безопасен|для|использования</v>
      </c>
      <c r="I732" s="1"/>
      <c r="J732" s="1"/>
    </row>
    <row r="733" spans="1:10" x14ac:dyDescent="0.2">
      <c r="A733" s="8" t="s">
        <v>1444</v>
      </c>
      <c r="B733" s="7" t="s">
        <v>1443</v>
      </c>
      <c r="C733" s="7" t="s">
        <v>1442</v>
      </c>
      <c r="D733" s="6">
        <v>39900</v>
      </c>
      <c r="E733" s="5">
        <v>1</v>
      </c>
      <c r="F733" s="4" t="str">
        <f ca="1">IFERROR(__xludf.DUMMYFUNCTION("LOWER(REGEXREPLACE(B733&amp;"" ""&amp;C733,""[^а-яa-z0-9 ]"","" ""))")," иброплатформа  иброплатформа используется для выполнения упражнений с вибрационной нагрузкой   рименяется при занятиях  направленных на активацию мышц и поддержание физической активности   аботает от сети 220    мощность устройства   не менее 200  т   ас"&amp;"считана на нагрузку до 150 кг ")</f>
        <v xml:space="preserve"> иброплатформа  иброплатформа используется для выполнения упражнений с вибрационной нагрузкой   рименяется при занятиях  направленных на активацию мышц и поддержание физической активности   аботает от сети 220    мощность устройства   не менее 200  т   ассчитана на нагрузку до 150 кг </v>
      </c>
      <c r="G733" s="4" t="str">
        <f ca="1">IFERROR(__xludf.DUMMYFUNCTION("TEXTJOIN(""|"",TRUE,UNIQUE(FILTER(SPLIT(F733,"" ""),LEN(SPLIT(F733,"" ""))&gt;2)))"),"иброплатформа|иброплатформа|используется|для|выполнения|упражнений|вибрационной|нагрузкой|рименяется|при|занятиях|направленных|активацию|мышц|поддержание|физической|активности|аботает|сети|220|мощность|устройства|менее|200|ассчитана|нагрузку|150")</f>
        <v>иброплатформа|иброплатформа|используется|для|выполнения|упражнений|вибрационной|нагрузкой|рименяется|при|занятиях|направленных|активацию|мышц|поддержание|физической|активности|аботает|сети|220|мощность|устройства|менее|200|ассчитана|нагрузку|150</v>
      </c>
      <c r="I733" s="1"/>
      <c r="J733" s="1"/>
    </row>
    <row r="734" spans="1:10" x14ac:dyDescent="0.2">
      <c r="A734" s="8" t="s">
        <v>1441</v>
      </c>
      <c r="B734" s="7" t="s">
        <v>1440</v>
      </c>
      <c r="C734" s="7" t="s">
        <v>1439</v>
      </c>
      <c r="D734" s="6">
        <v>22800</v>
      </c>
      <c r="E734" s="5">
        <v>5</v>
      </c>
      <c r="F734" s="4" t="str">
        <f ca="1">IFERROR(__xludf.DUMMYFUNCTION("LOWER(REGEXREPLACE(B734&amp;"" ""&amp;C734,""[^а-яa-z0-9 ]"","" ""))")," ожарная машина  грушечная пожарная машина предназначена для сюжетно ролевых игр детей дошкольного возраста   снащена подвижными кол сами  вращающейся или выдвижной лестницей  кабиной водителя с деталями интерьера   озможны световые и звуковые эффекты   в"&amp;"ет   красный с тематическими обозначениями ")</f>
        <v xml:space="preserve"> ожарная машина  грушечная пожарная машина предназначена для сюжетно ролевых игр детей дошкольного возраста   снащена подвижными кол сами  вращающейся или выдвижной лестницей  кабиной водителя с деталями интерьера   озможны световые и звуковые эффекты   вет   красный с тематическими обозначениями </v>
      </c>
      <c r="G734" s="4" t="str">
        <f ca="1">IFERROR(__xludf.DUMMYFUNCTION("TEXTJOIN(""|"",TRUE,UNIQUE(FILTER(SPLIT(F734,"" ""),LEN(SPLIT(F734,"" ""))&gt;2)))"),"ожарная|машина|грушечная|пожарная|машина|предназначена|для|сюжетно|ролевых|игр|детей|дошкольного|возраста|снащена|подвижными|кол|сами|вращающейся|или|выдвижной|лестницей|кабиной|водителя|деталями|интерьера|озможны|световые|звуковые|эффекты|вет|красный|тем"&amp;"атическими|обозначениями")</f>
        <v>ожарная|машина|грушечная|пожарная|машина|предназначена|для|сюжетно|ролевых|игр|детей|дошкольного|возраста|снащена|подвижными|кол|сами|вращающейся|или|выдвижной|лестницей|кабиной|водителя|деталями|интерьера|озможны|световые|звуковые|эффекты|вет|красный|тематическими|обозначениями</v>
      </c>
      <c r="I734" s="1"/>
      <c r="J734" s="1"/>
    </row>
    <row r="735" spans="1:10" x14ac:dyDescent="0.2">
      <c r="A735" s="8" t="s">
        <v>1438</v>
      </c>
      <c r="B735" s="7" t="s">
        <v>1437</v>
      </c>
      <c r="C735" s="7" t="s">
        <v>1436</v>
      </c>
      <c r="D735" s="6">
        <v>22800</v>
      </c>
      <c r="E735" s="5">
        <v>7</v>
      </c>
      <c r="F735" s="4" t="str">
        <f ca="1">IFERROR(__xludf.DUMMYFUNCTION("LOWER(REGEXREPLACE(B735&amp;"" ""&amp;C735,""[^а-яa-z0-9 ]"","" ""))")," ожарная машинка  нерционная пожарная машинка предназначена для сюжетно ролевых игр   снащена водяной пушкой  выполнена из пластика     и металла   спользуется для развития воображения  речи и представлений о профессиях экстренных служб ")</f>
        <v xml:space="preserve"> ожарная машинка  нерционная пожарная машинка предназначена для сюжетно ролевых игр   снащена водяной пушкой  выполнена из пластика     и металла   спользуется для развития воображения  речи и представлений о профессиях экстренных служб </v>
      </c>
      <c r="G735" s="4" t="str">
        <f ca="1">IFERROR(__xludf.DUMMYFUNCTION("TEXTJOIN(""|"",TRUE,UNIQUE(FILTER(SPLIT(F735,"" ""),LEN(SPLIT(F735,"" ""))&gt;2)))"),"ожарная|машинка|нерционная|пожарная|машинка|предназначена|для|сюжетно|ролевых|игр|снащена|водяной|пушкой|выполнена|пластика|металла|спользуется|для|развития|воображения|речи|представлений|профессиях|экстренных|служб")</f>
        <v>ожарная|машинка|нерционная|пожарная|машинка|предназначена|для|сюжетно|ролевых|игр|снащена|водяной|пушкой|выполнена|пластика|металла|спользуется|для|развития|воображения|речи|представлений|профессиях|экстренных|служб</v>
      </c>
      <c r="I735" s="1"/>
      <c r="J735" s="1"/>
    </row>
    <row r="736" spans="1:10" x14ac:dyDescent="0.2">
      <c r="A736" s="8" t="s">
        <v>1435</v>
      </c>
      <c r="B736" s="7" t="s">
        <v>1434</v>
      </c>
      <c r="C736" s="7" t="s">
        <v>1433</v>
      </c>
      <c r="D736" s="6">
        <v>31400</v>
      </c>
      <c r="E736" s="5">
        <v>5</v>
      </c>
      <c r="F736" s="4" t="str">
        <f ca="1">IFERROR(__xludf.DUMMYFUNCTION("LOWER(REGEXREPLACE(B736&amp;"" ""&amp;C736,""[^а-яa-z0-9 ]"","" ""))")," олевые цветы  обучающие карточки   бучающие карточки   олевые цветы  предназначены для ознакомления детей с окружающим миром   спользуются для развития речи  внимания и познавательных навыков   одходят для детей 3 7 лет   атериал безопасный  соответствуе"&amp;"т требованиям     ")</f>
        <v xml:space="preserve"> олевые цветы  обучающие карточки   бучающие карточки   олевые цветы  предназначены для ознакомления детей с окружающим миром   спользуются для развития речи  внимания и познавательных навыков   одходят для детей 3 7 лет   атериал безопасный  соответствует требованиям     </v>
      </c>
      <c r="G736" s="4" t="str">
        <f ca="1">IFERROR(__xludf.DUMMYFUNCTION("TEXTJOIN(""|"",TRUE,UNIQUE(FILTER(SPLIT(F736,"" ""),LEN(SPLIT(F736,"" ""))&gt;2)))"),"олевые|цветы|обучающие|карточки|бучающие|карточки|олевые|цветы|предназначены|для|ознакомления|детей|окружающим|миром|спользуются|для|развития|речи|внимания|познавательных|навыков|одходят|для|детей|лет|атериал|безопасный|соответствует|требованиям")</f>
        <v>олевые|цветы|обучающие|карточки|бучающие|карточки|олевые|цветы|предназначены|для|ознакомления|детей|окружающим|миром|спользуются|для|развития|речи|внимания|познавательных|навыков|одходят|для|детей|лет|атериал|безопасный|соответствует|требованиям</v>
      </c>
      <c r="I736" s="1"/>
      <c r="J736" s="1"/>
    </row>
    <row r="737" spans="1:10" x14ac:dyDescent="0.2">
      <c r="A737" s="8" t="s">
        <v>1432</v>
      </c>
      <c r="B737" s="7" t="s">
        <v>1431</v>
      </c>
      <c r="C737" s="7" t="s">
        <v>1430</v>
      </c>
      <c r="D737" s="6">
        <v>18400</v>
      </c>
      <c r="E737" s="5">
        <v>7</v>
      </c>
      <c r="F737" s="4" t="str">
        <f ca="1">IFERROR(__xludf.DUMMYFUNCTION("LOWER(REGEXREPLACE(B737&amp;"" ""&amp;C737,""[^а-яa-z0-9 ]"","" ""))")," олицейский вертолет трансформер  грушечный полицейский вертол т предназначен для сюжетно ролевых игр   снащ н инерционным механизмом  музыкальными эффектами  выполнен из прочных материалов   пособствует развитию воображения  моторики и интереса к професс"&amp;"иям ")</f>
        <v xml:space="preserve"> олицейский вертолет трансформер  грушечный полицейский вертол т предназначен для сюжетно ролевых игр   снащ н инерционным механизмом  музыкальными эффектами  выполнен из прочных материалов   пособствует развитию воображения  моторики и интереса к профессиям </v>
      </c>
      <c r="G737" s="4" t="str">
        <f ca="1">IFERROR(__xludf.DUMMYFUNCTION("TEXTJOIN(""|"",TRUE,UNIQUE(FILTER(SPLIT(F737,"" ""),LEN(SPLIT(F737,"" ""))&gt;2)))"),"олицейский|вертолет|трансформер|грушечный|полицейский|вертол|предназначен|для|сюжетно|ролевых|игр|снащ|инерционным|механизмом|музыкальными|эффектами|выполнен|прочных|материалов|пособствует|развитию|воображения|моторики|интереса|профессиям")</f>
        <v>олицейский|вертолет|трансформер|грушечный|полицейский|вертол|предназначен|для|сюжетно|ролевых|игр|снащ|инерционным|механизмом|музыкальными|эффектами|выполнен|прочных|материалов|пособствует|развитию|воображения|моторики|интереса|профессиям</v>
      </c>
      <c r="I737" s="1"/>
      <c r="J737" s="1"/>
    </row>
    <row r="738" spans="1:10" x14ac:dyDescent="0.2">
      <c r="A738" s="8" t="s">
        <v>1429</v>
      </c>
      <c r="B738" s="7" t="s">
        <v>1428</v>
      </c>
      <c r="C738" s="7" t="s">
        <v>1427</v>
      </c>
      <c r="D738" s="6">
        <v>240200</v>
      </c>
      <c r="E738" s="5">
        <v>2</v>
      </c>
      <c r="F738" s="4" t="str">
        <f ca="1">IFERROR(__xludf.DUMMYFUNCTION("LOWER(REGEXREPLACE(B738&amp;"" ""&amp;C738,""[^а-яa-z0-9 ]"","" ""))")," олоса препятствий модульная  4 элемента   одульный набор используется для организации двигательной активности с упражнениями на преодоление препятствий    процессе прохождения выполняются действия на баланс  шагание  перелезание и проползание   акая акти"&amp;"вность способствует развитию координации движений и общей моторики   омплект включает не менее 4 элементов   онструкция предназначена для использования в помещениях ")</f>
        <v xml:space="preserve"> олоса препятствий модульная  4 элемента   одульный набор используется для организации двигательной активности с упражнениями на преодоление препятствий    процессе прохождения выполняются действия на баланс  шагание  перелезание и проползание   акая активность способствует развитию координации движений и общей моторики   омплект включает не менее 4 элементов   онструкция предназначена для использования в помещениях </v>
      </c>
      <c r="G738" s="4" t="str">
        <f ca="1">IFERROR(__xludf.DUMMYFUNCTION("TEXTJOIN(""|"",TRUE,UNIQUE(FILTER(SPLIT(F738,"" ""),LEN(SPLIT(F738,"" ""))&gt;2)))"),"олоса|препятствий|модульная|элемента|одульный|набор|используется|для|организации|двигательной|активности|упражнениями|преодоление|препятствий|процессе|прохождения|выполняются|действия|баланс|шагание|перелезание|проползание|акая|активность|способствует|раз"&amp;"витию|координации|движений|общей|моторики|омплект|включает|менее|элементов|онструкция|предназначена|для|использования|помещениях")</f>
        <v>олоса|препятствий|модульная|элемента|одульный|набор|используется|для|организации|двигательной|активности|упражнениями|преодоление|препятствий|процессе|прохождения|выполняются|действия|баланс|шагание|перелезание|проползание|акая|активность|способствует|развитию|координации|движений|общей|моторики|омплект|включает|менее|элементов|онструкция|предназначена|для|использования|помещениях</v>
      </c>
      <c r="I738" s="1"/>
      <c r="J738" s="1"/>
    </row>
    <row r="739" spans="1:10" x14ac:dyDescent="0.2">
      <c r="A739" s="8" t="s">
        <v>1426</v>
      </c>
      <c r="B739" s="7" t="s">
        <v>1425</v>
      </c>
      <c r="C739" s="7" t="s">
        <v>1424</v>
      </c>
      <c r="D739" s="6">
        <v>10600</v>
      </c>
      <c r="E739" s="5">
        <v>320</v>
      </c>
      <c r="F739" s="4" t="str">
        <f ca="1">IFERROR(__xludf.DUMMYFUNCTION("LOWER(REGEXREPLACE(B739&amp;"" ""&amp;C739,""[^а-яa-z0-9 ]"","" ""))")," олотенце детское  етское полотенце предназначено для индивидуального использования детьми в условиях дошкольного учреждения   зготовлено из гигиеничных  безопасных и легко очищаемых материалов ")</f>
        <v xml:space="preserve"> олотенце детское  етское полотенце предназначено для индивидуального использования детьми в условиях дошкольного учреждения   зготовлено из гигиеничных  безопасных и легко очищаемых материалов </v>
      </c>
      <c r="G739" s="4" t="str">
        <f ca="1">IFERROR(__xludf.DUMMYFUNCTION("TEXTJOIN(""|"",TRUE,UNIQUE(FILTER(SPLIT(F739,"" ""),LEN(SPLIT(F739,"" ""))&gt;2)))"),"олотенце|детское|етское|полотенце|предназначено|для|индивидуального|использования|детьми|условиях|дошкольного|учреждения|зготовлено|гигиеничных|безопасных|легко|очищаемых|материалов")</f>
        <v>олотенце|детское|етское|полотенце|предназначено|для|индивидуального|использования|детьми|условиях|дошкольного|учреждения|зготовлено|гигиеничных|безопасных|легко|очищаемых|материалов</v>
      </c>
      <c r="I739" s="1"/>
      <c r="J739" s="1"/>
    </row>
    <row r="740" spans="1:10" x14ac:dyDescent="0.2">
      <c r="A740" s="8" t="s">
        <v>1423</v>
      </c>
      <c r="B740" s="7" t="s">
        <v>1422</v>
      </c>
      <c r="C740" s="7" t="s">
        <v>1421</v>
      </c>
      <c r="D740" s="6">
        <v>15600</v>
      </c>
      <c r="E740" s="5">
        <v>5</v>
      </c>
      <c r="F740" s="4" t="str">
        <f ca="1">IFERROR(__xludf.DUMMYFUNCTION("LOWER(REGEXREPLACE(B740&amp;"" ""&amp;C740,""[^а-яa-z0-9 ]"","" ""))")," осуда  игровой набор металлический  11 предметов   гровой набор металлической посуды предназначен для сюжетно ролевых игр    комплект входит 11 предметов  кастрюли  сковорода  дуршлаг  кухонные принадлежности    озраст 3    атериал   металл   пособствует"&amp;" развитию воображения и социальных навыков ")</f>
        <v xml:space="preserve"> осуда  игровой набор металлический  11 предметов   гровой набор металлической посуды предназначен для сюжетно ролевых игр    комплект входит 11 предметов  кастрюли  сковорода  дуршлаг  кухонные принадлежности    озраст 3    атериал   металл   пособствует развитию воображения и социальных навыков </v>
      </c>
      <c r="G740" s="4" t="str">
        <f ca="1">IFERROR(__xludf.DUMMYFUNCTION("TEXTJOIN(""|"",TRUE,UNIQUE(FILTER(SPLIT(F740,"" ""),LEN(SPLIT(F740,"" ""))&gt;2)))"),"осуда|игровой|набор|металлический|предметов|гровой|набор|металлической|посуды|предназначен|для|сюжетно|ролевых|игр|комплект|входит|предметов|кастрюли|сковорода|дуршлаг|кухонные|принадлежности|озраст|атериал|металл|пособствует|развитию|воображения|социальн"&amp;"ых|навыков")</f>
        <v>осуда|игровой|набор|металлический|предметов|гровой|набор|металлической|посуды|предназначен|для|сюжетно|ролевых|игр|комплект|входит|предметов|кастрюли|сковорода|дуршлаг|кухонные|принадлежности|озраст|атериал|металл|пособствует|развитию|воображения|социальных|навыков</v>
      </c>
      <c r="I740" s="1"/>
      <c r="J740" s="1"/>
    </row>
    <row r="741" spans="1:10" x14ac:dyDescent="0.2">
      <c r="A741" s="8" t="s">
        <v>1420</v>
      </c>
      <c r="B741" s="7" t="s">
        <v>1419</v>
      </c>
      <c r="C741" s="7" t="s">
        <v>1418</v>
      </c>
      <c r="D741" s="6">
        <v>28500</v>
      </c>
      <c r="E741" s="5">
        <v>4</v>
      </c>
      <c r="F741" s="4" t="str">
        <f ca="1">IFERROR(__xludf.DUMMYFUNCTION("LOWER(REGEXREPLACE(B741&amp;"" ""&amp;C741,""[^а-яa-z0-9 ]"","" ""))")," отолочный светильник в виде книги  отолочный светильник в форме раскрытой книги  предназначен для общего освещения библиотечного пространства   екоративный элемент поддерживает тематику чтения и обучения  созда т уютную атмосферу ")</f>
        <v xml:space="preserve"> отолочный светильник в виде книги  отолочный светильник в форме раскрытой книги  предназначен для общего освещения библиотечного пространства   екоративный элемент поддерживает тематику чтения и обучения  созда т уютную атмосферу </v>
      </c>
      <c r="G741" s="4" t="str">
        <f ca="1">IFERROR(__xludf.DUMMYFUNCTION("TEXTJOIN(""|"",TRUE,UNIQUE(FILTER(SPLIT(F741,"" ""),LEN(SPLIT(F741,"" ""))&gt;2)))"),"отолочный|светильник|виде|книги|отолочный|светильник|форме|раскрытой|книги|предназначен|для|общего|освещения|библиотечного|пространства|екоративный|элемент|поддерживает|тематику|чтения|обучения|созда|уютную|атмосферу")</f>
        <v>отолочный|светильник|виде|книги|отолочный|светильник|форме|раскрытой|книги|предназначен|для|общего|освещения|библиотечного|пространства|екоративный|элемент|поддерживает|тематику|чтения|обучения|созда|уютную|атмосферу</v>
      </c>
      <c r="I741" s="1"/>
      <c r="J741" s="1"/>
    </row>
    <row r="742" spans="1:10" x14ac:dyDescent="0.2">
      <c r="A742" s="8" t="s">
        <v>1417</v>
      </c>
      <c r="B742" s="7" t="s">
        <v>1416</v>
      </c>
      <c r="C742" s="7" t="s">
        <v>1415</v>
      </c>
      <c r="D742" s="6">
        <v>665000</v>
      </c>
      <c r="E742" s="5">
        <v>1</v>
      </c>
      <c r="F742" s="4" t="str">
        <f ca="1">IFERROR(__xludf.DUMMYFUNCTION("LOWER(REGEXREPLACE(B742&amp;"" ""&amp;C742,""[^а-яa-z0-9 ]"","" ""))")," отолочный фиберооптический модуль   учка   енсорный потолочный модуль в виде облака предназначен для создания расслабляющей атмосферы   снащ н 600 фибероптическими волокнами длиной 2 2 м  управляется пультом      азмер 120 120 см   спользуется в сенсорны"&amp;"х и релаксационных зонах     ")</f>
        <v xml:space="preserve"> отолочный фиберооптический модуль   учка   енсорный потолочный модуль в виде облака предназначен для создания расслабляющей атмосферы   снащ н 600 фибероптическими волокнами длиной 2 2 м  управляется пультом      азмер 120 120 см   спользуется в сенсорных и релаксационных зонах     </v>
      </c>
      <c r="G742" s="4" t="str">
        <f ca="1">IFERROR(__xludf.DUMMYFUNCTION("TEXTJOIN(""|"",TRUE,UNIQUE(FILTER(SPLIT(F742,"" ""),LEN(SPLIT(F742,"" ""))&gt;2)))"),"отолочный|фиберооптический|модуль|учка|енсорный|потолочный|модуль|виде|облака|предназначен|для|создания|расслабляющей|атмосферы|снащ|600|фибероптическими|волокнами|длиной|управляется|пультом|азмер|120|120|спользуется|сенсорных|релаксационных|зонах")</f>
        <v>отолочный|фиберооптический|модуль|учка|енсорный|потолочный|модуль|виде|облака|предназначен|для|создания|расслабляющей|атмосферы|снащ|600|фибероптическими|волокнами|длиной|управляется|пультом|азмер|120|120|спользуется|сенсорных|релаксационных|зонах</v>
      </c>
      <c r="I742" s="1"/>
      <c r="J742" s="1"/>
    </row>
    <row r="743" spans="1:10" x14ac:dyDescent="0.2">
      <c r="A743" s="8" t="s">
        <v>1414</v>
      </c>
      <c r="B743" s="7" t="s">
        <v>1413</v>
      </c>
      <c r="C743" s="7" t="s">
        <v>1412</v>
      </c>
      <c r="D743" s="6">
        <v>3100</v>
      </c>
      <c r="E743" s="5">
        <v>175</v>
      </c>
      <c r="F743" s="4" t="str">
        <f ca="1">IFERROR(__xludf.DUMMYFUNCTION("LOWER(REGEXREPLACE(B743&amp;"" ""&amp;C743,""[^а-яa-z0-9 ]"","" ""))")," редметные картинки разной формы  абор предметных картинок предназначен для развития зрительного восприятия  речи и классификации предметов по форме   спользуется в образовательной деятельности дошкольного учреждения ")</f>
        <v xml:space="preserve"> редметные картинки разной формы  абор предметных картинок предназначен для развития зрительного восприятия  речи и классификации предметов по форме   спользуется в образовательной деятельности дошкольного учреждения </v>
      </c>
      <c r="G743" s="4" t="str">
        <f ca="1">IFERROR(__xludf.DUMMYFUNCTION("TEXTJOIN(""|"",TRUE,UNIQUE(FILTER(SPLIT(F743,"" ""),LEN(SPLIT(F743,"" ""))&gt;2)))"),"редметные|картинки|разной|формы|абор|предметных|картинок|предназначен|для|развития|зрительного|восприятия|речи|классификации|предметов|форме|спользуется|образовательной|деятельности|дошкольного|учреждения")</f>
        <v>редметные|картинки|разной|формы|абор|предметных|картинок|предназначен|для|развития|зрительного|восприятия|речи|классификации|предметов|форме|спользуется|образовательной|деятельности|дошкольного|учреждения</v>
      </c>
      <c r="I743" s="1"/>
      <c r="J743" s="1"/>
    </row>
    <row r="744" spans="1:10" x14ac:dyDescent="0.2">
      <c r="A744" s="8" t="s">
        <v>1411</v>
      </c>
      <c r="B744" s="7" t="s">
        <v>1410</v>
      </c>
      <c r="C744" s="7" t="s">
        <v>1409</v>
      </c>
      <c r="D744" s="6">
        <v>437000</v>
      </c>
      <c r="E744" s="5">
        <v>1</v>
      </c>
      <c r="F744" s="4" t="str">
        <f ca="1">IFERROR(__xludf.DUMMYFUNCTION("LOWER(REGEXREPLACE(B744&amp;"" ""&amp;C744,""[^а-яa-z0-9 ]"","" ""))")," оздушно пузырьковая колонна с подсветкой  оздушно пузырьковая колонна используется как декоративный и световой элемент интерьера   редставляет собой акриловую трубу  заполненную водой с подачей воздуха  создающей движение пузырьков   снащена     подсветк"&amp;"ой с возможностью выбора режимов   иаметр колонны   не менее 10 см  высота   не менее 120 см ")</f>
        <v xml:space="preserve"> оздушно пузырьковая колонна с подсветкой  оздушно пузырьковая колонна используется как декоративный и световой элемент интерьера   редставляет собой акриловую трубу  заполненную водой с подачей воздуха  создающей движение пузырьков   снащена     подсветкой с возможностью выбора режимов   иаметр колонны   не менее 10 см  высота   не менее 120 см </v>
      </c>
      <c r="G744" s="4" t="str">
        <f ca="1">IFERROR(__xludf.DUMMYFUNCTION("TEXTJOIN(""|"",TRUE,UNIQUE(FILTER(SPLIT(F744,"" ""),LEN(SPLIT(F744,"" ""))&gt;2)))"),"оздушно|пузырьковая|колонна|подсветкой|оздушно|пузырьковая|колонна|используется|как|декоративный|световой|элемент|интерьера|редставляет|собой|акриловую|трубу|заполненную|водой|подачей|воздуха|создающей|движение|пузырьков|снащена|подсветкой|возможностью|вы"&amp;"бора|режимов|иаметр|колонны|менее|высота|менее|120")</f>
        <v>оздушно|пузырьковая|колонна|подсветкой|оздушно|пузырьковая|колонна|используется|как|декоративный|световой|элемент|интерьера|редставляет|собой|акриловую|трубу|заполненную|водой|подачей|воздуха|создающей|движение|пузырьков|снащена|подсветкой|возможностью|выбора|режимов|иаметр|колонны|менее|высота|менее|120</v>
      </c>
      <c r="I744" s="1"/>
      <c r="J744" s="1"/>
    </row>
    <row r="745" spans="1:10" x14ac:dyDescent="0.2">
      <c r="A745" s="8" t="s">
        <v>1408</v>
      </c>
      <c r="B745" s="7" t="s">
        <v>1407</v>
      </c>
      <c r="C745" s="7" t="s">
        <v>1406</v>
      </c>
      <c r="D745" s="6">
        <v>129200</v>
      </c>
      <c r="E745" s="5">
        <v>2</v>
      </c>
      <c r="F745" s="4" t="str">
        <f ca="1">IFERROR(__xludf.DUMMYFUNCTION("LOWER(REGEXREPLACE(B745&amp;"" ""&amp;C745,""[^а-яa-z0-9 ]"","" ""))")," ринадлежности для работы на участке  комплект   омплект предназначен для игровой и трудовой деятельности на участке       ключает тачку  лопаты  грабли  метлу  ведро  совок   атериал   полипропилен   пособствует развитию трудовых навыков и координации дв"&amp;"ижений ")</f>
        <v xml:space="preserve"> ринадлежности для работы на участке  комплект   омплект предназначен для игровой и трудовой деятельности на участке       ключает тачку  лопаты  грабли  метлу  ведро  совок   атериал   полипропилен   пособствует развитию трудовых навыков и координации движений </v>
      </c>
      <c r="G745" s="4" t="str">
        <f ca="1">IFERROR(__xludf.DUMMYFUNCTION("TEXTJOIN(""|"",TRUE,UNIQUE(FILTER(SPLIT(F745,"" ""),LEN(SPLIT(F745,"" ""))&gt;2)))"),"ринадлежности|для|работы|участке|комплект|омплект|предназначен|для|игровой|трудовой|деятельности|участке|ключает|тачку|лопаты|грабли|метлу|ведро|совок|атериал|полипропилен|пособствует|развитию|трудовых|навыков|координации|движений")</f>
        <v>ринадлежности|для|работы|участке|комплект|омплект|предназначен|для|игровой|трудовой|деятельности|участке|ключает|тачку|лопаты|грабли|метлу|ведро|совок|атериал|полипропилен|пособствует|развитию|трудовых|навыков|координации|движений</v>
      </c>
      <c r="I745" s="1"/>
      <c r="J745" s="1"/>
    </row>
    <row r="746" spans="1:10" x14ac:dyDescent="0.2">
      <c r="A746" s="8" t="s">
        <v>1405</v>
      </c>
      <c r="B746" s="7" t="s">
        <v>1404</v>
      </c>
      <c r="C746" s="7" t="s">
        <v>1403</v>
      </c>
      <c r="D746" s="6">
        <v>76000</v>
      </c>
      <c r="E746" s="5">
        <v>1</v>
      </c>
      <c r="F746" s="4" t="str">
        <f ca="1">IFERROR(__xludf.DUMMYFUNCTION("LOWER(REGEXREPLACE(B746&amp;"" ""&amp;C746,""[^а-яa-z0-9 ]"","" ""))")," роектор   в здное небо    еверное сияние   ветовой проектор предназначен для создания расслабляющей и эмоционально комфортной атмосферы в помещениях дошкольного учреждения   снащ н     светодиодами и лазерами  поддерживает до 13 режимов цветовых эффектов"&amp;"   меет пульт дистанционного управления  встроенный  luetooth  i  i динамик  воспроизводит звуки природы  прибой  дождь  гроза  ночной лес    спользуется в сенсорных  релаксационных и психологических зонах ")</f>
        <v xml:space="preserve"> роектор   в здное небо    еверное сияние   ветовой проектор предназначен для создания расслабляющей и эмоционально комфортной атмосферы в помещениях дошкольного учреждения   снащ н     светодиодами и лазерами  поддерживает до 13 режимов цветовых эффектов   меет пульт дистанционного управления  встроенный  luetooth  i  i динамик  воспроизводит звуки природы  прибой  дождь  гроза  ночной лес    спользуется в сенсорных  релаксационных и психологических зонах </v>
      </c>
      <c r="G746" s="4" t="str">
        <f ca="1">IFERROR(__xludf.DUMMYFUNCTION("TEXTJOIN(""|"",TRUE,UNIQUE(FILTER(SPLIT(F746,"" ""),LEN(SPLIT(F746,"" ""))&gt;2)))"),"роектор|здное|небо|еверное|сияние|ветовой|проектор|предназначен|для|создания|расслабляющей|эмоционально|комфортной|атмосферы|помещениях|дошкольного|учреждения|снащ|светодиодами|лазерами|поддерживает|режимов|цветовых|эффектов|меет|пульт|дистанционного|упра"&amp;"вления|встроенный|luetooth|динамик|воспроизводит|звуки|природы|прибой|дождь|гроза|ночной|лес|спользуется|сенсорных|релаксационных|психологических|зонах")</f>
        <v>роектор|здное|небо|еверное|сияние|ветовой|проектор|предназначен|для|создания|расслабляющей|эмоционально|комфортной|атмосферы|помещениях|дошкольного|учреждения|снащ|светодиодами|лазерами|поддерживает|режимов|цветовых|эффектов|меет|пульт|дистанционного|управления|встроенный|luetooth|динамик|воспроизводит|звуки|природы|прибой|дождь|гроза|ночной|лес|спользуется|сенсорных|релаксационных|психологических|зонах</v>
      </c>
      <c r="I746" s="1"/>
      <c r="J746" s="1"/>
    </row>
    <row r="747" spans="1:10" x14ac:dyDescent="0.2">
      <c r="A747" s="8" t="s">
        <v>1402</v>
      </c>
      <c r="B747" s="7" t="s">
        <v>1401</v>
      </c>
      <c r="C747" s="7" t="s">
        <v>1400</v>
      </c>
      <c r="D747" s="6">
        <v>9000</v>
      </c>
      <c r="E747" s="5">
        <v>45</v>
      </c>
      <c r="F747" s="4" t="str">
        <f ca="1">IFERROR(__xludf.DUMMYFUNCTION("LOWER(REGEXREPLACE(B747&amp;"" ""&amp;C747,""[^а-яa-z0-9 ]"","" ""))")," розрачные контейнеры  розрачные пластиковые контейнеры предназначены для хранения и систематизации дидактических материалов  игрушек и принадлежностей  ")</f>
        <v xml:space="preserve"> розрачные контейнеры  розрачные пластиковые контейнеры предназначены для хранения и систематизации дидактических материалов  игрушек и принадлежностей  </v>
      </c>
      <c r="G747" s="4" t="str">
        <f ca="1">IFERROR(__xludf.DUMMYFUNCTION("TEXTJOIN(""|"",TRUE,UNIQUE(FILTER(SPLIT(F747,"" ""),LEN(SPLIT(F747,"" ""))&gt;2)))"),"розрачные|контейнеры|розрачные|пластиковые|контейнеры|предназначены|для|хранения|систематизации|дидактических|материалов|игрушек|принадлежностей")</f>
        <v>розрачные|контейнеры|розрачные|пластиковые|контейнеры|предназначены|для|хранения|систематизации|дидактических|материалов|игрушек|принадлежностей</v>
      </c>
      <c r="I747" s="1"/>
      <c r="J747" s="1"/>
    </row>
    <row r="748" spans="1:10" x14ac:dyDescent="0.2">
      <c r="A748" s="8" t="s">
        <v>1399</v>
      </c>
      <c r="B748" s="7" t="s">
        <v>1398</v>
      </c>
      <c r="C748" s="7" t="s">
        <v>1397</v>
      </c>
      <c r="D748" s="6">
        <v>30600</v>
      </c>
      <c r="E748" s="5">
        <v>30</v>
      </c>
      <c r="F748" s="4" t="str">
        <f ca="1">IFERROR(__xludf.DUMMYFUNCTION("LOWER(REGEXREPLACE(B748&amp;"" ""&amp;C748,""[^а-яa-z0-9 ]"","" ""))")," ротектор стеновой мягкий  м   ягкие стеновые панели предназначены для защиты стен и обеспечения безопасности детей в зонах активного движения   снова   амортизирующий наполнитель  поролон         окрытие   износостойкий влагостойкий материал      ткань  "&amp;"винилискожа  экокожа    репление скрытое  края закругл нные   стойчивы к дезинфекции  гипоаллергенные  соответствуют требованиям использования в     ")</f>
        <v xml:space="preserve"> ротектор стеновой мягкий  м   ягкие стеновые панели предназначены для защиты стен и обеспечения безопасности детей в зонах активного движения   снова   амортизирующий наполнитель  поролон         окрытие   износостойкий влагостойкий материал      ткань  винилискожа  экокожа    репление скрытое  края закругл нные   стойчивы к дезинфекции  гипоаллергенные  соответствуют требованиям использования в     </v>
      </c>
      <c r="G748" s="4" t="str">
        <f ca="1">IFERROR(__xludf.DUMMYFUNCTION("TEXTJOIN(""|"",TRUE,UNIQUE(FILTER(SPLIT(F748,"" ""),LEN(SPLIT(F748,"" ""))&gt;2)))"),"ротектор|стеновой|мягкий|ягкие|стеновые|панели|предназначены|для|защиты|стен|обеспечения|безопасности|детей|зонах|активного|движения|снова|амортизирующий|наполнитель|поролон|окрытие|износостойкий|влагостойкий|материал|ткань|винилискожа|экокожа|репление|ск"&amp;"рытое|края|закругл|нные|стойчивы|дезинфекции|гипоаллергенные|соответствуют|требованиям|использования")</f>
        <v>ротектор|стеновой|мягкий|ягкие|стеновые|панели|предназначены|для|защиты|стен|обеспечения|безопасности|детей|зонах|активного|движения|снова|амортизирующий|наполнитель|поролон|окрытие|износостойкий|влагостойкий|материал|ткань|винилискожа|экокожа|репление|скрытое|края|закругл|нные|стойчивы|дезинфекции|гипоаллергенные|соответствуют|требованиям|использования</v>
      </c>
      <c r="I748" s="1"/>
      <c r="J748" s="1"/>
    </row>
    <row r="749" spans="1:10" x14ac:dyDescent="0.2">
      <c r="A749" s="8" t="s">
        <v>1396</v>
      </c>
      <c r="B749" s="7" t="s">
        <v>1395</v>
      </c>
      <c r="C749" s="7" t="s">
        <v>1394</v>
      </c>
      <c r="D749" s="6">
        <v>13500</v>
      </c>
      <c r="E749" s="5">
        <v>2</v>
      </c>
      <c r="F749" s="4" t="str">
        <f ca="1">IFERROR(__xludf.DUMMYFUNCTION("LOWER(REGEXREPLACE(B749&amp;"" ""&amp;C749,""[^а-яa-z0-9 ]"","" ""))")," узырь для льда  спользуется для местного охлаждения при ушибах и других медицинских показаниях ")</f>
        <v xml:space="preserve"> узырь для льда  спользуется для местного охлаждения при ушибах и других медицинских показаниях </v>
      </c>
      <c r="G749" s="4" t="str">
        <f ca="1">IFERROR(__xludf.DUMMYFUNCTION("TEXTJOIN(""|"",TRUE,UNIQUE(FILTER(SPLIT(F749,"" ""),LEN(SPLIT(F749,"" ""))&gt;2)))"),"узырь|для|льда|спользуется|для|местного|охлаждения|при|ушибах|других|медицинских|показаниях")</f>
        <v>узырь|для|льда|спользуется|для|местного|охлаждения|при|ушибах|других|медицинских|показаниях</v>
      </c>
      <c r="I749" s="1"/>
      <c r="J749" s="1"/>
    </row>
    <row r="750" spans="1:10" x14ac:dyDescent="0.2">
      <c r="A750" s="8" t="s">
        <v>1393</v>
      </c>
      <c r="B750" s="7" t="s">
        <v>1392</v>
      </c>
      <c r="C750" s="7" t="s">
        <v>1391</v>
      </c>
      <c r="D750" s="6">
        <v>2000</v>
      </c>
      <c r="E750" s="5">
        <v>1</v>
      </c>
      <c r="F750" s="4" t="str">
        <f ca="1">IFERROR(__xludf.DUMMYFUNCTION("LOWER(REGEXREPLACE(B750&amp;"" ""&amp;C750,""[^а-яa-z0-9 ]"","" ""))"),"  шайман  едора  уковский   ")</f>
        <v xml:space="preserve">  шайман  едора  уковский   </v>
      </c>
      <c r="G750" s="4" t="str">
        <f ca="1">IFERROR(__xludf.DUMMYFUNCTION("TEXTJOIN(""|"",TRUE,UNIQUE(FILTER(SPLIT(F750,"" ""),LEN(SPLIT(F750,"" ""))&gt;2)))"),"шайман|едора|уковский")</f>
        <v>шайман|едора|уковский</v>
      </c>
      <c r="I750" s="1"/>
      <c r="J750" s="1"/>
    </row>
    <row r="751" spans="1:10" x14ac:dyDescent="0.2">
      <c r="A751" s="8" t="s">
        <v>1390</v>
      </c>
      <c r="B751" s="7" t="s">
        <v>1389</v>
      </c>
      <c r="C751" s="7" t="s">
        <v>1388</v>
      </c>
      <c r="D751" s="6">
        <v>8500</v>
      </c>
      <c r="E751" s="5">
        <v>5</v>
      </c>
      <c r="F751" s="4" t="str">
        <f ca="1">IFERROR(__xludf.DUMMYFUNCTION("LOWER(REGEXREPLACE(B751&amp;"" ""&amp;C751,""[^а-яa-z0-9 ]"","" ""))")," азвивающая игра   нейротренаж р   огопедический пальцеход   ейротренаж р предназначен для развития мелкой моторики  координации движений и речевых навыков   ожет использоваться как стандартный пальцеход и как база для логопедических упражнений   азмер ос"&amp;"новы  7 5 23 см    комплекте 31 фишка ")</f>
        <v xml:space="preserve"> азвивающая игра   нейротренаж р   огопедический пальцеход   ейротренаж р предназначен для развития мелкой моторики  координации движений и речевых навыков   ожет использоваться как стандартный пальцеход и как база для логопедических упражнений   азмер основы  7 5 23 см    комплекте 31 фишка </v>
      </c>
      <c r="G751" s="4" t="str">
        <f ca="1">IFERROR(__xludf.DUMMYFUNCTION("TEXTJOIN(""|"",TRUE,UNIQUE(FILTER(SPLIT(F751,"" ""),LEN(SPLIT(F751,"" ""))&gt;2)))"),"азвивающая|игра|нейротренаж|огопедический|пальцеход|ейротренаж|предназначен|для|развития|мелкой|моторики|координации|движений|речевых|навыков|ожет|использоваться|как|стандартный|пальцеход|как|база|для|логопедических|упражнений|азмер|основы|комплекте|фишка")</f>
        <v>азвивающая|игра|нейротренаж|огопедический|пальцеход|ейротренаж|предназначен|для|развития|мелкой|моторики|координации|движений|речевых|навыков|ожет|использоваться|как|стандартный|пальцеход|как|база|для|логопедических|упражнений|азмер|основы|комплекте|фишка</v>
      </c>
      <c r="I751" s="1"/>
      <c r="J751" s="1"/>
    </row>
    <row r="752" spans="1:10" x14ac:dyDescent="0.2">
      <c r="A752" s="8" t="s">
        <v>1387</v>
      </c>
      <c r="B752" s="7" t="s">
        <v>1386</v>
      </c>
      <c r="C752" s="7" t="s">
        <v>1385</v>
      </c>
      <c r="D752" s="6">
        <v>1500</v>
      </c>
      <c r="E752" s="5">
        <v>7</v>
      </c>
      <c r="F752" s="4" t="str">
        <f ca="1">IFERROR(__xludf.DUMMYFUNCTION("LOWER(REGEXREPLACE(B752&amp;"" ""&amp;C752,""[^а-яa-z0-9 ]"","" ""))")," азвивающая игра   сякая всячина   гра включает магнитную доску и набор магнитных элементов    процессе игры выполняется размещение и перемещение элементов на магнитном поле   атериалы деталей   вспененный полимер и магнитный винил ")</f>
        <v xml:space="preserve"> азвивающая игра   сякая всячина   гра включает магнитную доску и набор магнитных элементов    процессе игры выполняется размещение и перемещение элементов на магнитном поле   атериалы деталей   вспененный полимер и магнитный винил </v>
      </c>
      <c r="G752" s="4" t="str">
        <f ca="1">IFERROR(__xludf.DUMMYFUNCTION("TEXTJOIN(""|"",TRUE,UNIQUE(FILTER(SPLIT(F752,"" ""),LEN(SPLIT(F752,"" ""))&gt;2)))"),"азвивающая|игра|сякая|всячина|гра|включает|магнитную|доску|набор|магнитных|элементов|процессе|игры|выполняется|размещение|перемещение|элементов|магнитном|поле|атериалы|деталей|вспененный|полимер|магнитный|винил")</f>
        <v>азвивающая|игра|сякая|всячина|гра|включает|магнитную|доску|набор|магнитных|элементов|процессе|игры|выполняется|размещение|перемещение|элементов|магнитном|поле|атериалы|деталей|вспененный|полимер|магнитный|винил</v>
      </c>
      <c r="I752" s="1"/>
      <c r="J752" s="1"/>
    </row>
    <row r="753" spans="1:10" x14ac:dyDescent="0.2">
      <c r="A753" s="8" t="s">
        <v>1384</v>
      </c>
      <c r="B753" s="7" t="s">
        <v>1383</v>
      </c>
      <c r="C753" s="7" t="s">
        <v>1382</v>
      </c>
      <c r="D753" s="6">
        <v>6100</v>
      </c>
      <c r="E753" s="5">
        <v>7</v>
      </c>
      <c r="F753" s="4" t="str">
        <f ca="1">IFERROR(__xludf.DUMMYFUNCTION("LOWER(REGEXREPLACE(B753&amp;"" ""&amp;C753,""[^а-яa-z0-9 ]"","" ""))")," азвивающая игра   то что ест    астольная развивающая игра предназначена для формирования логического мышления  речи и навыков классификации    комплект входят мнемокарточки с липучками  велькро    еб нок соотносит объекты с карточками и закрепляет их  р"&amp;"азвивая внимание  память и координацию движений ")</f>
        <v xml:space="preserve"> азвивающая игра   то что ест    астольная развивающая игра предназначена для формирования логического мышления  речи и навыков классификации    комплект входят мнемокарточки с липучками  велькро    еб нок соотносит объекты с карточками и закрепляет их  развивая внимание  память и координацию движений </v>
      </c>
      <c r="G753" s="4" t="str">
        <f ca="1">IFERROR(__xludf.DUMMYFUNCTION("TEXTJOIN(""|"",TRUE,UNIQUE(FILTER(SPLIT(F753,"" ""),LEN(SPLIT(F753,"" ""))&gt;2)))"),"азвивающая|игра|что|ест|астольная|развивающая|игра|предназначена|для|формирования|логического|мышления|речи|навыков|классификации|комплект|входят|мнемокарточки|липучками|велькро|нок|соотносит|объекты|карточками|закрепляет|развивая|внимание|память|координа"&amp;"цию|движений")</f>
        <v>азвивающая|игра|что|ест|астольная|развивающая|игра|предназначена|для|формирования|логического|мышления|речи|навыков|классификации|комплект|входят|мнемокарточки|липучками|велькро|нок|соотносит|объекты|карточками|закрепляет|развивая|внимание|память|координацию|движений</v>
      </c>
      <c r="I753" s="1"/>
      <c r="J753" s="1"/>
    </row>
    <row r="754" spans="1:10" x14ac:dyDescent="0.2">
      <c r="A754" s="8" t="s">
        <v>1381</v>
      </c>
      <c r="B754" s="7" t="s">
        <v>1380</v>
      </c>
      <c r="C754" s="7" t="s">
        <v>1379</v>
      </c>
      <c r="D754" s="6">
        <v>3300</v>
      </c>
      <c r="E754" s="5">
        <v>5</v>
      </c>
      <c r="F754" s="4" t="str">
        <f ca="1">IFERROR(__xludf.DUMMYFUNCTION("LOWER(REGEXREPLACE(B754&amp;"" ""&amp;C754,""[^а-яa-z0-9 ]"","" ""))")," азвивающая игра   атематика для дошкольников   бучающая игра предназначена для формирования представлений о цифрах и сч те    комплект входят 20 двусторонних карточек  деревянные фишки с цифрами и знаками  игровое поле   спользуется в образовательной дея"&amp;"тельности     ")</f>
        <v xml:space="preserve"> азвивающая игра   атематика для дошкольников   бучающая игра предназначена для формирования представлений о цифрах и сч те    комплект входят 20 двусторонних карточек  деревянные фишки с цифрами и знаками  игровое поле   спользуется в образовательной деятельности     </v>
      </c>
      <c r="G754" s="4" t="str">
        <f ca="1">IFERROR(__xludf.DUMMYFUNCTION("TEXTJOIN(""|"",TRUE,UNIQUE(FILTER(SPLIT(F754,"" ""),LEN(SPLIT(F754,"" ""))&gt;2)))"),"азвивающая|игра|атематика|для|дошкольников|бучающая|игра|предназначена|для|формирования|представлений|цифрах|комплект|входят|двусторонних|карточек|деревянные|фишки|цифрами|знаками|игровое|поле|спользуется|образовательной|деятельности")</f>
        <v>азвивающая|игра|атематика|для|дошкольников|бучающая|игра|предназначена|для|формирования|представлений|цифрах|комплект|входят|двусторонних|карточек|деревянные|фишки|цифрами|знаками|игровое|поле|спользуется|образовательной|деятельности</v>
      </c>
      <c r="I754" s="1"/>
      <c r="J754" s="1"/>
    </row>
    <row r="755" spans="1:10" x14ac:dyDescent="0.2">
      <c r="A755" s="8" t="s">
        <v>1378</v>
      </c>
      <c r="B755" s="7" t="s">
        <v>1377</v>
      </c>
      <c r="C755" s="7" t="s">
        <v>1376</v>
      </c>
      <c r="D755" s="6">
        <v>2900</v>
      </c>
      <c r="E755" s="5">
        <v>20</v>
      </c>
      <c r="F755" s="4" t="str">
        <f ca="1">IFERROR(__xludf.DUMMYFUNCTION("LOWER(REGEXREPLACE(B755&amp;"" ""&amp;C755,""[^а-яa-z0-9 ]"","" ""))")," осковые карандаши  осковые карандаши используются для рисования и раскрашивания   беспечивают плотное нанесение цвета и плавное скольжение по поверхности бумаги    набор входит не менее 24 карандашей различных цветов   одходят для художественных и творче"&amp;"ских работ ")</f>
        <v xml:space="preserve"> осковые карандаши  осковые карандаши используются для рисования и раскрашивания   беспечивают плотное нанесение цвета и плавное скольжение по поверхности бумаги    набор входит не менее 24 карандашей различных цветов   одходят для художественных и творческих работ </v>
      </c>
      <c r="G755" s="4" t="str">
        <f ca="1">IFERROR(__xludf.DUMMYFUNCTION("TEXTJOIN(""|"",TRUE,UNIQUE(FILTER(SPLIT(F755,"" ""),LEN(SPLIT(F755,"" ""))&gt;2)))"),"осковые|карандаши|осковые|карандаши|используются|для|рисования|раскрашивания|беспечивают|плотное|нанесение|цвета|плавное|скольжение|поверхности|бумаги|набор|входит|менее|карандашей|различных|цветов|одходят|для|художественных|творческих|работ")</f>
        <v>осковые|карандаши|осковые|карандаши|используются|для|рисования|раскрашивания|беспечивают|плотное|нанесение|цвета|плавное|скольжение|поверхности|бумаги|набор|входит|менее|карандашей|различных|цветов|одходят|для|художественных|творческих|работ</v>
      </c>
      <c r="I755" s="1"/>
      <c r="J755" s="1"/>
    </row>
    <row r="756" spans="1:10" x14ac:dyDescent="0.2">
      <c r="A756" s="8" t="s">
        <v>1375</v>
      </c>
      <c r="B756" s="7" t="s">
        <v>1374</v>
      </c>
      <c r="C756" s="7" t="s">
        <v>1373</v>
      </c>
      <c r="D756" s="6">
        <v>17100</v>
      </c>
      <c r="E756" s="5">
        <v>1</v>
      </c>
      <c r="F756" s="4" t="str">
        <f ca="1">IFERROR(__xludf.DUMMYFUNCTION("LOWER(REGEXREPLACE(B756&amp;"" ""&amp;C756,""[^а-яa-z0-9 ]"","" ""))")," азвивающая игра   читай и проверяй   астольная развивающая игра для формирования навыков сч та и сравнения    комплект входят двусторонние карточки задания  фигурки  элементы весов и основа   спользуется для развития логического мышления и математических"&amp;" представлений ")</f>
        <v xml:space="preserve"> азвивающая игра   читай и проверяй   астольная развивающая игра для формирования навыков сч та и сравнения    комплект входят двусторонние карточки задания  фигурки  элементы весов и основа   спользуется для развития логического мышления и математических представлений </v>
      </c>
      <c r="G756" s="4" t="str">
        <f ca="1">IFERROR(__xludf.DUMMYFUNCTION("TEXTJOIN(""|"",TRUE,UNIQUE(FILTER(SPLIT(F756,"" ""),LEN(SPLIT(F756,"" ""))&gt;2)))"),"азвивающая|игра|читай|проверяй|астольная|развивающая|игра|для|формирования|навыков|сравнения|комплект|входят|двусторонние|карточки|задания|фигурки|элементы|весов|основа|спользуется|для|развития|логического|мышления|математических|представлений")</f>
        <v>азвивающая|игра|читай|проверяй|астольная|развивающая|игра|для|формирования|навыков|сравнения|комплект|входят|двусторонние|карточки|задания|фигурки|элементы|весов|основа|спользуется|для|развития|логического|мышления|математических|представлений</v>
      </c>
      <c r="I756" s="1"/>
      <c r="J756" s="1"/>
    </row>
    <row r="757" spans="1:10" x14ac:dyDescent="0.2">
      <c r="A757" s="8" t="s">
        <v>1372</v>
      </c>
      <c r="B757" s="7" t="s">
        <v>1371</v>
      </c>
      <c r="C757" s="7" t="s">
        <v>1370</v>
      </c>
      <c r="D757" s="6">
        <v>12700</v>
      </c>
      <c r="E757" s="5">
        <v>10</v>
      </c>
      <c r="F757" s="4" t="str">
        <f ca="1">IFERROR(__xludf.DUMMYFUNCTION("LOWER(REGEXREPLACE(B757&amp;"" ""&amp;C757,""[^а-яa-z0-9 ]"","" ""))")," азвивающая игра   ветные рыбки   еревянная развивающая игра предназначена для обучения распознаванию цветов и направлений   ключает доску с рыбками и карточки направлений   азвивает внимание  координацию движений и логическое мышление ")</f>
        <v xml:space="preserve"> азвивающая игра   ветные рыбки   еревянная развивающая игра предназначена для обучения распознаванию цветов и направлений   ключает доску с рыбками и карточки направлений   азвивает внимание  координацию движений и логическое мышление </v>
      </c>
      <c r="G757" s="4" t="str">
        <f ca="1">IFERROR(__xludf.DUMMYFUNCTION("TEXTJOIN(""|"",TRUE,UNIQUE(FILTER(SPLIT(F757,"" ""),LEN(SPLIT(F757,"" ""))&gt;2)))"),"азвивающая|игра|ветные|рыбки|еревянная|развивающая|игра|предназначена|для|обучения|распознаванию|цветов|направлений|ключает|доску|рыбками|карточки|направлений|азвивает|внимание|координацию|движений|логическое|мышление")</f>
        <v>азвивающая|игра|ветные|рыбки|еревянная|развивающая|игра|предназначена|для|обучения|распознаванию|цветов|направлений|ключает|доску|рыбками|карточки|направлений|азвивает|внимание|координацию|движений|логическое|мышление</v>
      </c>
      <c r="I757" s="1"/>
      <c r="J757" s="1"/>
    </row>
    <row r="758" spans="1:10" x14ac:dyDescent="0.2">
      <c r="A758" s="8" t="s">
        <v>1369</v>
      </c>
      <c r="B758" s="7" t="s">
        <v>1368</v>
      </c>
      <c r="C758" s="7" t="s">
        <v>1367</v>
      </c>
      <c r="D758" s="6">
        <v>12900</v>
      </c>
      <c r="E758" s="5">
        <v>1</v>
      </c>
      <c r="F758" s="4" t="str">
        <f ca="1">IFERROR(__xludf.DUMMYFUNCTION("LOWER(REGEXREPLACE(B758&amp;"" ""&amp;C758,""[^а-яa-z0-9 ]"","" ""))")," азвивающая игра с разноцветными стаканами  гра предназначена для развития цветового восприятия  координации движений  логического мышления и моторики у детей дошкольного возраста ")</f>
        <v xml:space="preserve"> азвивающая игра с разноцветными стаканами  гра предназначена для развития цветового восприятия  координации движений  логического мышления и моторики у детей дошкольного возраста </v>
      </c>
      <c r="G758" s="4" t="str">
        <f ca="1">IFERROR(__xludf.DUMMYFUNCTION("TEXTJOIN(""|"",TRUE,UNIQUE(FILTER(SPLIT(F758,"" ""),LEN(SPLIT(F758,"" ""))&gt;2)))"),"азвивающая|игра|разноцветными|стаканами|гра|предназначена|для|развития|цветового|восприятия|координации|движений|логического|мышления|моторики|детей|дошкольного|возраста")</f>
        <v>азвивающая|игра|разноцветными|стаканами|гра|предназначена|для|развития|цветового|восприятия|координации|движений|логического|мышления|моторики|детей|дошкольного|возраста</v>
      </c>
      <c r="I758" s="1"/>
      <c r="J758" s="1"/>
    </row>
    <row r="759" spans="1:10" x14ac:dyDescent="0.2">
      <c r="A759" s="8" t="s">
        <v>1366</v>
      </c>
      <c r="B759" s="7" t="s">
        <v>1365</v>
      </c>
      <c r="C759" s="7" t="s">
        <v>1364</v>
      </c>
      <c r="D759" s="6">
        <v>79800</v>
      </c>
      <c r="E759" s="5">
        <v>10</v>
      </c>
      <c r="F759" s="4" t="str">
        <f ca="1">IFERROR(__xludf.DUMMYFUNCTION("LOWER(REGEXREPLACE(B759&amp;"" ""&amp;C759,""[^а-яa-z0-9 ]"","" ""))")," азвивающая игрушка   ес лые совята   37 элементов   азвивающий набор для формирования навыков сч та  логического мышления  сравнения и сортировки   спользуется в индивидуальной и групповой работе с детьми дошкольного возраста ")</f>
        <v xml:space="preserve"> азвивающая игрушка   ес лые совята   37 элементов   азвивающий набор для формирования навыков сч та  логического мышления  сравнения и сортировки   спользуется в индивидуальной и групповой работе с детьми дошкольного возраста </v>
      </c>
      <c r="G759" s="4" t="str">
        <f ca="1">IFERROR(__xludf.DUMMYFUNCTION("TEXTJOIN(""|"",TRUE,UNIQUE(FILTER(SPLIT(F759,"" ""),LEN(SPLIT(F759,"" ""))&gt;2)))"),"азвивающая|игрушка|лые|совята|элементов|азвивающий|набор|для|формирования|навыков|логического|мышления|сравнения|сортировки|спользуется|индивидуальной|групповой|работе|детьми|дошкольного|возраста")</f>
        <v>азвивающая|игрушка|лые|совята|элементов|азвивающий|набор|для|формирования|навыков|логического|мышления|сравнения|сортировки|спользуется|индивидуальной|групповой|работе|детьми|дошкольного|возраста</v>
      </c>
      <c r="I759" s="1"/>
      <c r="J759" s="1"/>
    </row>
    <row r="760" spans="1:10" x14ac:dyDescent="0.2">
      <c r="A760" s="8" t="s">
        <v>1363</v>
      </c>
      <c r="B760" s="7" t="s">
        <v>1362</v>
      </c>
      <c r="C760" s="7" t="s">
        <v>1361</v>
      </c>
      <c r="D760" s="6">
        <v>17300</v>
      </c>
      <c r="E760" s="5">
        <v>5</v>
      </c>
      <c r="F760" s="4" t="str">
        <f ca="1">IFERROR(__xludf.DUMMYFUNCTION("LOWER(REGEXREPLACE(B760&amp;"" ""&amp;C760,""[^а-яa-z0-9 ]"","" ""))")," азвивающая игрушка   оя первая лаборатория   олбы с подставкой   6 элементов   абор для первичного знакомства с исследовательской и экспериментальной деятельностью   ключает колбы и подставку   спользуется для развития познавательного интереса  мелкой мо"&amp;"торики и элементарных представлений о свойствах веществ   атериалы безопасны для детей ")</f>
        <v xml:space="preserve"> азвивающая игрушка   оя первая лаборатория   олбы с подставкой   6 элементов   абор для первичного знакомства с исследовательской и экспериментальной деятельностью   ключает колбы и подставку   спользуется для развития познавательного интереса  мелкой моторики и элементарных представлений о свойствах веществ   атериалы безопасны для детей </v>
      </c>
      <c r="G760" s="4" t="str">
        <f ca="1">IFERROR(__xludf.DUMMYFUNCTION("TEXTJOIN(""|"",TRUE,UNIQUE(FILTER(SPLIT(F760,"" ""),LEN(SPLIT(F760,"" ""))&gt;2)))"),"азвивающая|игрушка|первая|лаборатория|олбы|подставкой|элементов|абор|для|первичного|знакомства|исследовательской|экспериментальной|деятельностью|ключает|колбы|подставку|спользуется|для|развития|познавательного|интереса|мелкой|моторики|элементарных|предста"&amp;"влений|свойствах|веществ|атериалы|безопасны|для|детей")</f>
        <v>азвивающая|игрушка|первая|лаборатория|олбы|подставкой|элементов|абор|для|первичного|знакомства|исследовательской|экспериментальной|деятельностью|ключает|колбы|подставку|спользуется|для|развития|познавательного|интереса|мелкой|моторики|элементарных|представлений|свойствах|веществ|атериалы|безопасны|для|детей</v>
      </c>
      <c r="I760" s="1"/>
      <c r="J760" s="1"/>
    </row>
    <row r="761" spans="1:10" x14ac:dyDescent="0.2">
      <c r="A761" s="8" t="s">
        <v>1360</v>
      </c>
      <c r="B761" s="7" t="s">
        <v>1359</v>
      </c>
      <c r="C761" s="7" t="s">
        <v>1358</v>
      </c>
      <c r="D761" s="6">
        <v>85500</v>
      </c>
      <c r="E761" s="5">
        <v>5</v>
      </c>
      <c r="F761" s="4" t="str">
        <f ca="1">IFERROR(__xludf.DUMMYFUNCTION("LOWER(REGEXREPLACE(B761&amp;"" ""&amp;C761,""[^а-яa-z0-9 ]"","" ""))")," азвивающая игрушка   оя первая лаборатория   ный исследователь   22 элемента   абор для экспериментальной и познавательной деятельности    комплект входят  мерный стакан  лупа  воронка  пипетка  колба  пинцет  защитные очки  большая пробирка с крышкой и "&amp;"подставкой  две малые пробирки с крышками  карточки с заданиями   спользуется для развития исследовательских навыков и познавательного интереса ")</f>
        <v xml:space="preserve"> азвивающая игрушка   оя первая лаборатория   ный исследователь   22 элемента   абор для экспериментальной и познавательной деятельности    комплект входят  мерный стакан  лупа  воронка  пипетка  колба  пинцет  защитные очки  большая пробирка с крышкой и подставкой  две малые пробирки с крышками  карточки с заданиями   спользуется для развития исследовательских навыков и познавательного интереса </v>
      </c>
      <c r="G761" s="4" t="str">
        <f ca="1">IFERROR(__xludf.DUMMYFUNCTION("TEXTJOIN(""|"",TRUE,UNIQUE(FILTER(SPLIT(F761,"" ""),LEN(SPLIT(F761,"" ""))&gt;2)))"),"азвивающая|игрушка|первая|лаборатория|ный|исследователь|элемента|абор|для|экспериментальной|познавательной|деятельности|комплект|входят|мерный|стакан|лупа|воронка|пипетка|колба|пинцет|защитные|очки|большая|пробирка|крышкой|подставкой|две|малые|пробирки|кр"&amp;"ышками|карточки|заданиями|спользуется|для|развития|исследовательских|навыков|познавательного|интереса")</f>
        <v>азвивающая|игрушка|первая|лаборатория|ный|исследователь|элемента|абор|для|экспериментальной|познавательной|деятельности|комплект|входят|мерный|стакан|лупа|воронка|пипетка|колба|пинцет|защитные|очки|большая|пробирка|крышкой|подставкой|две|малые|пробирки|крышками|карточки|заданиями|спользуется|для|развития|исследовательских|навыков|познавательного|интереса</v>
      </c>
      <c r="I761" s="1"/>
      <c r="J761" s="1"/>
    </row>
    <row r="762" spans="1:10" x14ac:dyDescent="0.2">
      <c r="A762" s="8" t="s">
        <v>1357</v>
      </c>
      <c r="B762" s="7" t="s">
        <v>1356</v>
      </c>
      <c r="C762" s="7" t="s">
        <v>1355</v>
      </c>
      <c r="D762" s="6">
        <v>66500</v>
      </c>
      <c r="E762" s="5">
        <v>10</v>
      </c>
      <c r="F762" s="4" t="str">
        <f ca="1">IFERROR(__xludf.DUMMYFUNCTION("LOWER(REGEXREPLACE(B762&amp;"" ""&amp;C762,""[^а-яa-z0-9 ]"","" ""))")," азвивающая игрушка   годный пирог   68 элементов   азвивающий игровой набор  предназначенный для формирования навыков сч та  сортировки  распознавания цветов и форм   спользуется в сюжетно ролевых и дидактических играх   пособствует развитию логического "&amp;"мышления и математических представлений ")</f>
        <v xml:space="preserve"> азвивающая игрушка   годный пирог   68 элементов   азвивающий игровой набор  предназначенный для формирования навыков сч та  сортировки  распознавания цветов и форм   спользуется в сюжетно ролевых и дидактических играх   пособствует развитию логического мышления и математических представлений </v>
      </c>
      <c r="G762" s="4" t="str">
        <f ca="1">IFERROR(__xludf.DUMMYFUNCTION("TEXTJOIN(""|"",TRUE,UNIQUE(FILTER(SPLIT(F762,"" ""),LEN(SPLIT(F762,"" ""))&gt;2)))"),"азвивающая|игрушка|годный|пирог|элементов|азвивающий|игровой|набор|предназначенный|для|формирования|навыков|сортировки|распознавания|цветов|форм|спользуется|сюжетно|ролевых|дидактических|играх|пособствует|развитию|логического|мышления|математических|предс"&amp;"тавлений")</f>
        <v>азвивающая|игрушка|годный|пирог|элементов|азвивающий|игровой|набор|предназначенный|для|формирования|навыков|сортировки|распознавания|цветов|форм|спользуется|сюжетно|ролевых|дидактических|играх|пособствует|развитию|логического|мышления|математических|представлений</v>
      </c>
      <c r="I762" s="1"/>
      <c r="J762" s="1"/>
    </row>
    <row r="763" spans="1:10" x14ac:dyDescent="0.2">
      <c r="A763" s="8" t="s">
        <v>1354</v>
      </c>
      <c r="B763" s="7" t="s">
        <v>1353</v>
      </c>
      <c r="C763" s="7" t="s">
        <v>1352</v>
      </c>
      <c r="D763" s="6">
        <v>5700</v>
      </c>
      <c r="E763" s="5">
        <v>14</v>
      </c>
      <c r="F763" s="4" t="str">
        <f ca="1">IFERROR(__xludf.DUMMYFUNCTION("LOWER(REGEXREPLACE(B763&amp;"" ""&amp;C763,""[^а-яa-z0-9 ]"","" ""))")," азвивающая настольная игра   омино   рукты и овощи   астольная игра предназначена для развития логического мышления  внимания и навыков сравнения    набор входит 28 карточек   редусмотрены варианты игры    омино     омандное домино     то быстрее  ")</f>
        <v xml:space="preserve"> азвивающая настольная игра   омино   рукты и овощи   астольная игра предназначена для развития логического мышления  внимания и навыков сравнения    набор входит 28 карточек   редусмотрены варианты игры    омино     омандное домино     то быстрее  </v>
      </c>
      <c r="G763" s="4" t="str">
        <f ca="1">IFERROR(__xludf.DUMMYFUNCTION("TEXTJOIN(""|"",TRUE,UNIQUE(FILTER(SPLIT(F763,"" ""),LEN(SPLIT(F763,"" ""))&gt;2)))"),"азвивающая|настольная|игра|омино|рукты|овощи|астольная|игра|предназначена|для|развития|логического|мышления|внимания|навыков|сравнения|набор|входит|карточек|редусмотрены|варианты|игры|омино|омандное|домино|быстрее")</f>
        <v>азвивающая|настольная|игра|омино|рукты|овощи|астольная|игра|предназначена|для|развития|логического|мышления|внимания|навыков|сравнения|набор|входит|карточек|редусмотрены|варианты|игры|омино|омандное|домино|быстрее</v>
      </c>
      <c r="I763" s="1"/>
      <c r="J763" s="1"/>
    </row>
    <row r="764" spans="1:10" x14ac:dyDescent="0.2">
      <c r="A764" s="8" t="s">
        <v>1351</v>
      </c>
      <c r="B764" s="7" t="s">
        <v>1350</v>
      </c>
      <c r="C764" s="7" t="s">
        <v>1349</v>
      </c>
      <c r="D764" s="6">
        <v>10600</v>
      </c>
      <c r="E764" s="5">
        <v>7</v>
      </c>
      <c r="F764" s="4" t="str">
        <f ca="1">IFERROR(__xludf.DUMMYFUNCTION("LOWER(REGEXREPLACE(B764&amp;"" ""&amp;C764,""[^а-яa-z0-9 ]"","" ""))")," азвивающая настольная игра   hair stack   астольная игра для нескольких игроков  предназначенная для развития логического мышления  координации и распознавания цветов   спользуется в игровой и развивающей деятельности ")</f>
        <v xml:space="preserve"> азвивающая настольная игра   hair stack   астольная игра для нескольких игроков  предназначенная для развития логического мышления  координации и распознавания цветов   спользуется в игровой и развивающей деятельности </v>
      </c>
      <c r="G764" s="4" t="str">
        <f ca="1">IFERROR(__xludf.DUMMYFUNCTION("TEXTJOIN(""|"",TRUE,UNIQUE(FILTER(SPLIT(F764,"" ""),LEN(SPLIT(F764,"" ""))&gt;2)))"),"азвивающая|настольная|игра|hair|stack|астольная|игра|для|нескольких|игроков|предназначенная|для|развития|логического|мышления|координации|распознавания|цветов|спользуется|игровой|развивающей|деятельности")</f>
        <v>азвивающая|настольная|игра|hair|stack|астольная|игра|для|нескольких|игроков|предназначенная|для|развития|логического|мышления|координации|распознавания|цветов|спользуется|игровой|развивающей|деятельности</v>
      </c>
      <c r="I764" s="1"/>
      <c r="J764" s="1"/>
    </row>
    <row r="765" spans="1:10" x14ac:dyDescent="0.2">
      <c r="A765" s="8" t="s">
        <v>1348</v>
      </c>
      <c r="B765" s="7" t="s">
        <v>1347</v>
      </c>
      <c r="C765" s="7" t="s">
        <v>1346</v>
      </c>
      <c r="D765" s="6">
        <v>16200</v>
      </c>
      <c r="E765" s="5">
        <v>2</v>
      </c>
      <c r="F765" s="4" t="str">
        <f ca="1">IFERROR(__xludf.DUMMYFUNCTION("LOWER(REGEXREPLACE(B765&amp;"" ""&amp;C765,""[^а-яa-z0-9 ]"","" ""))")," азвивающая настольная игра для развития пространственного мышленпия  абор предназначен детей от 3 лет для занятий по развитию пространственного  логического  критического  математического мышления без применения компьютера и мобильных устройств")</f>
        <v xml:space="preserve"> азвивающая настольная игра для развития пространственного мышленпия  абор предназначен детей от 3 лет для занятий по развитию пространственного  логического  критического  математического мышления без применения компьютера и мобильных устройств</v>
      </c>
      <c r="G765" s="4" t="str">
        <f ca="1">IFERROR(__xludf.DUMMYFUNCTION("TEXTJOIN(""|"",TRUE,UNIQUE(FILTER(SPLIT(F765,"" ""),LEN(SPLIT(F765,"" ""))&gt;2)))"),"азвивающая|настольная|игра|для|развития|пространственного|мышленпия|абор|предназначен|детей|лет|для|занятий|развитию|пространственного|логического|критического|математического|мышления|без|применения|компьютера|мобильных|устройств")</f>
        <v>азвивающая|настольная|игра|для|развития|пространственного|мышленпия|абор|предназначен|детей|лет|для|занятий|развитию|пространственного|логического|критического|математического|мышления|без|применения|компьютера|мобильных|устройств</v>
      </c>
      <c r="I765" s="1"/>
      <c r="J765" s="1"/>
    </row>
    <row r="766" spans="1:10" x14ac:dyDescent="0.2">
      <c r="A766" s="8" t="s">
        <v>1345</v>
      </c>
      <c r="B766" s="7" t="s">
        <v>1344</v>
      </c>
      <c r="C766" s="7" t="s">
        <v>1343</v>
      </c>
      <c r="D766" s="6">
        <v>3100</v>
      </c>
      <c r="E766" s="5">
        <v>2</v>
      </c>
      <c r="F766" s="4" t="str">
        <f ca="1">IFERROR(__xludf.DUMMYFUNCTION("LOWER(REGEXREPLACE(B766&amp;"" ""&amp;C766,""[^а-яa-z0-9 ]"","" ""))")," антели детские пластмассовые  етские гантели используются для выполнения простых физических упражнений   редставляют собой неразборную конструкцию с пластиковым покрытием   ес одной гантели составляет не более 0 5 кг   рименяются при организации двигател"&amp;"ьной активности ")</f>
        <v xml:space="preserve"> антели детские пластмассовые  етские гантели используются для выполнения простых физических упражнений   редставляют собой неразборную конструкцию с пластиковым покрытием   ес одной гантели составляет не более 0 5 кг   рименяются при организации двигательной активности </v>
      </c>
      <c r="G766" s="4" t="str">
        <f ca="1">IFERROR(__xludf.DUMMYFUNCTION("TEXTJOIN(""|"",TRUE,UNIQUE(FILTER(SPLIT(F766,"" ""),LEN(SPLIT(F766,"" ""))&gt;2)))"),"антели|детские|пластмассовые|етские|гантели|используются|для|выполнения|простых|физических|упражнений|редставляют|собой|неразборную|конструкцию|пластиковым|покрытием|одной|гантели|составляет|более|рименяются|при|организации|двигательной|активности")</f>
        <v>антели|детские|пластмассовые|етские|гантели|используются|для|выполнения|простых|физических|упражнений|редставляют|собой|неразборную|конструкцию|пластиковым|покрытием|одной|гантели|составляет|более|рименяются|при|организации|двигательной|активности</v>
      </c>
      <c r="I766" s="1"/>
      <c r="J766" s="1"/>
    </row>
    <row r="767" spans="1:10" x14ac:dyDescent="0.2">
      <c r="A767" s="8" t="s">
        <v>1342</v>
      </c>
      <c r="B767" s="7" t="s">
        <v>1341</v>
      </c>
      <c r="C767" s="7" t="s">
        <v>1340</v>
      </c>
      <c r="D767" s="6">
        <v>6700</v>
      </c>
      <c r="E767" s="5">
        <v>2</v>
      </c>
      <c r="F767" s="4" t="str">
        <f ca="1">IFERROR(__xludf.DUMMYFUNCTION("LOWER(REGEXREPLACE(B767&amp;"" ""&amp;C767,""[^а-яa-z0-9 ]"","" ""))")," азвивающая настольная логопедическая игра    говорю   фразовый конструктор   огопедическая игра предназначена для формирования связной речи   ключает карточки на липучках для составления фраз   спользуется в работе логопеда с детьми от 3 до 7 лет ")</f>
        <v xml:space="preserve"> азвивающая настольная логопедическая игра    говорю   фразовый конструктор   огопедическая игра предназначена для формирования связной речи   ключает карточки на липучках для составления фраз   спользуется в работе логопеда с детьми от 3 до 7 лет </v>
      </c>
      <c r="G767" s="4" t="str">
        <f ca="1">IFERROR(__xludf.DUMMYFUNCTION("TEXTJOIN(""|"",TRUE,UNIQUE(FILTER(SPLIT(F767,"" ""),LEN(SPLIT(F767,"" ""))&gt;2)))"),"азвивающая|настольная|логопедическая|игра|говорю|фразовый|конструктор|огопедическая|игра|предназначена|для|формирования|связной|речи|ключает|карточки|липучках|для|составления|фраз|спользуется|работе|логопеда|детьми|лет")</f>
        <v>азвивающая|настольная|логопедическая|игра|говорю|фразовый|конструктор|огопедическая|игра|предназначена|для|формирования|связной|речи|ключает|карточки|липучках|для|составления|фраз|спользуется|работе|логопеда|детьми|лет</v>
      </c>
      <c r="I767" s="1"/>
      <c r="J767" s="1"/>
    </row>
    <row r="768" spans="1:10" x14ac:dyDescent="0.2">
      <c r="A768" s="8" t="s">
        <v>1339</v>
      </c>
      <c r="B768" s="7" t="s">
        <v>1338</v>
      </c>
      <c r="C768" s="7" t="s">
        <v>1337</v>
      </c>
      <c r="D768" s="6">
        <v>4300</v>
      </c>
      <c r="E768" s="5">
        <v>5</v>
      </c>
      <c r="F768" s="4" t="str">
        <f ca="1">IFERROR(__xludf.DUMMYFUNCTION("LOWER(REGEXREPLACE(B768&amp;"" ""&amp;C768,""[^а-яa-z0-9 ]"","" ""))")," азвивающая настольная магнитная игра   чимся сортировать мусор   бучающая игра предназначена для формирования экологического мышления   ренд   есятое королевство    азвивает моторику  внимание и кругозор   оличество игроков   от 2 до 5 ")</f>
        <v xml:space="preserve"> азвивающая настольная магнитная игра   чимся сортировать мусор   бучающая игра предназначена для формирования экологического мышления   ренд   есятое королевство    азвивает моторику  внимание и кругозор   оличество игроков   от 2 до 5 </v>
      </c>
      <c r="G768" s="4" t="str">
        <f ca="1">IFERROR(__xludf.DUMMYFUNCTION("TEXTJOIN(""|"",TRUE,UNIQUE(FILTER(SPLIT(F768,"" ""),LEN(SPLIT(F768,"" ""))&gt;2)))"),"азвивающая|настольная|магнитная|игра|чимся|сортировать|мусор|бучающая|игра|предназначена|для|формирования|экологического|мышления|ренд|есятое|королевство|азвивает|моторику|внимание|кругозор|оличество|игроков")</f>
        <v>азвивающая|настольная|магнитная|игра|чимся|сортировать|мусор|бучающая|игра|предназначена|для|формирования|экологического|мышления|ренд|есятое|королевство|азвивает|моторику|внимание|кругозор|оличество|игроков</v>
      </c>
      <c r="I768" s="1"/>
      <c r="J768" s="1"/>
    </row>
    <row r="769" spans="1:10" x14ac:dyDescent="0.2">
      <c r="A769" s="8" t="s">
        <v>1336</v>
      </c>
      <c r="B769" s="7" t="s">
        <v>1335</v>
      </c>
      <c r="C769" s="7" t="s">
        <v>1334</v>
      </c>
      <c r="D769" s="6">
        <v>8600</v>
      </c>
      <c r="E769" s="5">
        <v>7</v>
      </c>
      <c r="F769" s="4" t="str">
        <f ca="1">IFERROR(__xludf.DUMMYFUNCTION("LOWER(REGEXREPLACE(B769&amp;"" ""&amp;C769,""[^а-яa-z0-9 ]"","" ""))")," азвивающая пирамидка  еревянная пирамидка с шариками предназначена для развития моторики  внимания и слухового восприятия   арик  скатываясь  изда т мелодичные звуки   атериал   натуральное дерево  безопасные краски ")</f>
        <v xml:space="preserve"> азвивающая пирамидка  еревянная пирамидка с шариками предназначена для развития моторики  внимания и слухового восприятия   арик  скатываясь  изда т мелодичные звуки   атериал   натуральное дерево  безопасные краски </v>
      </c>
      <c r="G769" s="4" t="str">
        <f ca="1">IFERROR(__xludf.DUMMYFUNCTION("TEXTJOIN(""|"",TRUE,UNIQUE(FILTER(SPLIT(F769,"" ""),LEN(SPLIT(F769,"" ""))&gt;2)))"),"азвивающая|пирамидка|еревянная|пирамидка|шариками|предназначена|для|развития|моторики|внимания|слухового|восприятия|арик|скатываясь|изда|мелодичные|звуки|атериал|натуральное|дерево|безопасные|краски")</f>
        <v>азвивающая|пирамидка|еревянная|пирамидка|шариками|предназначена|для|развития|моторики|внимания|слухового|восприятия|арик|скатываясь|изда|мелодичные|звуки|атериал|натуральное|дерево|безопасные|краски</v>
      </c>
      <c r="I769" s="1"/>
      <c r="J769" s="1"/>
    </row>
    <row r="770" spans="1:10" x14ac:dyDescent="0.2">
      <c r="A770" s="8" t="s">
        <v>1333</v>
      </c>
      <c r="B770" s="7" t="s">
        <v>1332</v>
      </c>
      <c r="C770" s="7" t="s">
        <v>1331</v>
      </c>
      <c r="D770" s="6">
        <v>5700</v>
      </c>
      <c r="E770" s="5">
        <v>1</v>
      </c>
      <c r="F770" s="4" t="str">
        <f ca="1">IFERROR(__xludf.DUMMYFUNCTION("LOWER(REGEXREPLACE(B770&amp;"" ""&amp;C770,""[^а-яa-z0-9 ]"","" ""))")," азвивающие игрушки   илый  жик   енсорная развивающая игрушка предназначена для стимуляции тактильных ощущений и мелкой моторики   атериал   пластик   спользуется в индивидуальных и групповых играх ")</f>
        <v xml:space="preserve"> азвивающие игрушки   илый  жик   енсорная развивающая игрушка предназначена для стимуляции тактильных ощущений и мелкой моторики   атериал   пластик   спользуется в индивидуальных и групповых играх </v>
      </c>
      <c r="G770" s="4" t="str">
        <f ca="1">IFERROR(__xludf.DUMMYFUNCTION("TEXTJOIN(""|"",TRUE,UNIQUE(FILTER(SPLIT(F770,"" ""),LEN(SPLIT(F770,"" ""))&gt;2)))"),"азвивающие|игрушки|илый|жик|енсорная|развивающая|игрушка|предназначена|для|стимуляции|тактильных|ощущений|мелкой|моторики|атериал|пластик|спользуется|индивидуальных|групповых|играх")</f>
        <v>азвивающие|игрушки|илый|жик|енсорная|развивающая|игрушка|предназначена|для|стимуляции|тактильных|ощущений|мелкой|моторики|атериал|пластик|спользуется|индивидуальных|групповых|играх</v>
      </c>
      <c r="I770" s="1"/>
      <c r="J770" s="1"/>
    </row>
    <row r="771" spans="1:10" x14ac:dyDescent="0.2">
      <c r="A771" s="8" t="s">
        <v>1330</v>
      </c>
      <c r="B771" s="7" t="s">
        <v>1329</v>
      </c>
      <c r="C771" s="7" t="s">
        <v>1328</v>
      </c>
      <c r="D771" s="6">
        <v>33400</v>
      </c>
      <c r="E771" s="5">
        <v>1</v>
      </c>
      <c r="F771" s="4" t="str">
        <f ca="1">IFERROR(__xludf.DUMMYFUNCTION("LOWER(REGEXREPLACE(B771&amp;"" ""&amp;C771,""[^а-яa-z0-9 ]"","" ""))")," азвивающие карточки  азвивающие карточки предназначены для запуска и развития речи у детей дошкольного возраста   спользуются в логопедической и коррекционной работе ")</f>
        <v xml:space="preserve"> азвивающие карточки  азвивающие карточки предназначены для запуска и развития речи у детей дошкольного возраста   спользуются в логопедической и коррекционной работе </v>
      </c>
      <c r="G771" s="4" t="str">
        <f ca="1">IFERROR(__xludf.DUMMYFUNCTION("TEXTJOIN(""|"",TRUE,UNIQUE(FILTER(SPLIT(F771,"" ""),LEN(SPLIT(F771,"" ""))&gt;2)))"),"азвивающие|карточки|азвивающие|карточки|предназначены|для|запуска|развития|речи|детей|дошкольного|возраста|спользуются|логопедической|коррекционной|работе")</f>
        <v>азвивающие|карточки|азвивающие|карточки|предназначены|для|запуска|развития|речи|детей|дошкольного|возраста|спользуются|логопедической|коррекционной|работе</v>
      </c>
      <c r="I771" s="1"/>
      <c r="J771" s="1"/>
    </row>
    <row r="772" spans="1:10" x14ac:dyDescent="0.2">
      <c r="A772" s="8" t="s">
        <v>1327</v>
      </c>
      <c r="B772" s="7" t="s">
        <v>1326</v>
      </c>
      <c r="C772" s="7" t="s">
        <v>1325</v>
      </c>
      <c r="D772" s="6">
        <v>10800</v>
      </c>
      <c r="E772" s="5">
        <v>1</v>
      </c>
      <c r="F772" s="4" t="str">
        <f ca="1">IFERROR(__xludf.DUMMYFUNCTION("LOWER(REGEXREPLACE(B772&amp;"" ""&amp;C772,""[^а-яa-z0-9 ]"","" ""))")," азвивающие карточки   ачинаю говорить   набор   абор включает двусторонние карточки с первыми словами и изображениями для работы над словар м    процессе занятий выполняется называние  группировка по темам и составление простых предложений    комплект вх"&amp;"одит не менее 50 карточек и буклет с заданиями   атериал подходит для индивидуальной и подгрупповой работы   ассчитан на многократное использование ")</f>
        <v xml:space="preserve"> азвивающие карточки   ачинаю говорить   набор   абор включает двусторонние карточки с первыми словами и изображениями для работы над словар м    процессе занятий выполняется называние  группировка по темам и составление простых предложений    комплект входит не менее 50 карточек и буклет с заданиями   атериал подходит для индивидуальной и подгрупповой работы   ассчитан на многократное использование </v>
      </c>
      <c r="G772" s="4" t="str">
        <f ca="1">IFERROR(__xludf.DUMMYFUNCTION("TEXTJOIN(""|"",TRUE,UNIQUE(FILTER(SPLIT(F772,"" ""),LEN(SPLIT(F772,"" ""))&gt;2)))"),"азвивающие|карточки|ачинаю|говорить|набор|абор|включает|двусторонние|карточки|первыми|словами|изображениями|для|работы|над|словар|процессе|занятий|выполняется|называние|группировка|темам|составление|простых|предложений|комплект|входит|менее|карточек|букле"&amp;"т|заданиями|атериал|подходит|для|индивидуальной|подгрупповой|работы|ассчитан|многократное|использование")</f>
        <v>азвивающие|карточки|ачинаю|говорить|набор|абор|включает|двусторонние|карточки|первыми|словами|изображениями|для|работы|над|словар|процессе|занятий|выполняется|называние|группировка|темам|составление|простых|предложений|комплект|входит|менее|карточек|буклет|заданиями|атериал|подходит|для|индивидуальной|подгрупповой|работы|ассчитан|многократное|использование</v>
      </c>
      <c r="I772" s="1"/>
      <c r="J772" s="1"/>
    </row>
    <row r="773" spans="1:10" x14ac:dyDescent="0.2">
      <c r="A773" s="8" t="s">
        <v>1324</v>
      </c>
      <c r="B773" s="7" t="s">
        <v>1323</v>
      </c>
      <c r="C773" s="7" t="s">
        <v>1322</v>
      </c>
      <c r="D773" s="6">
        <v>28500</v>
      </c>
      <c r="E773" s="5">
        <v>1</v>
      </c>
      <c r="F773" s="4" t="str">
        <f ca="1">IFERROR(__xludf.DUMMYFUNCTION("LOWER(REGEXREPLACE(B773&amp;"" ""&amp;C773,""[^а-яa-z0-9 ]"","" ""))")," азвивающие карточки для малышей             актильные карточки предназначены для сенсорного развития и раннего обучения   спользуются для знакомства с животными и стимуляции тактильного восприятия ")</f>
        <v xml:space="preserve"> азвивающие карточки для малышей             актильные карточки предназначены для сенсорного развития и раннего обучения   спользуются для знакомства с животными и стимуляции тактильного восприятия </v>
      </c>
      <c r="G773" s="4" t="str">
        <f ca="1">IFERROR(__xludf.DUMMYFUNCTION("TEXTJOIN(""|"",TRUE,UNIQUE(FILTER(SPLIT(F773,"" ""),LEN(SPLIT(F773,"" ""))&gt;2)))"),"азвивающие|карточки|для|малышей|актильные|карточки|предназначены|для|сенсорного|развития|раннего|обучения|спользуются|для|знакомства|животными|стимуляции|тактильного|восприятия")</f>
        <v>азвивающие|карточки|для|малышей|актильные|карточки|предназначены|для|сенсорного|развития|раннего|обучения|спользуются|для|знакомства|животными|стимуляции|тактильного|восприятия</v>
      </c>
      <c r="I773" s="1"/>
      <c r="J773" s="1"/>
    </row>
    <row r="774" spans="1:10" x14ac:dyDescent="0.2">
      <c r="A774" s="8" t="s">
        <v>1321</v>
      </c>
      <c r="B774" s="7" t="s">
        <v>1320</v>
      </c>
      <c r="C774" s="7" t="s">
        <v>1319</v>
      </c>
      <c r="D774" s="6">
        <v>19000</v>
      </c>
      <c r="E774" s="5">
        <v>2</v>
      </c>
      <c r="F774" s="4" t="str">
        <f ca="1">IFERROR(__xludf.DUMMYFUNCTION("LOWER(REGEXREPLACE(B774&amp;"" ""&amp;C774,""[^а-яa-z0-9 ]"","" ""))")," азвивающий набор   ес лые звуки   азвивающий набор предназначен для тренировки слуха  памяти и мышления   спользуется в образовательной и коррекционной деятельности с детьми дошкольного возраста ")</f>
        <v xml:space="preserve"> азвивающий набор   ес лые звуки   азвивающий набор предназначен для тренировки слуха  памяти и мышления   спользуется в образовательной и коррекционной деятельности с детьми дошкольного возраста </v>
      </c>
      <c r="G774" s="4" t="str">
        <f ca="1">IFERROR(__xludf.DUMMYFUNCTION("TEXTJOIN(""|"",TRUE,UNIQUE(FILTER(SPLIT(F774,"" ""),LEN(SPLIT(F774,"" ""))&gt;2)))"),"азвивающий|набор|лые|звуки|азвивающий|набор|предназначен|для|тренировки|слуха|памяти|мышления|спользуется|образовательной|коррекционной|деятельности|детьми|дошкольного|возраста")</f>
        <v>азвивающий|набор|лые|звуки|азвивающий|набор|предназначен|для|тренировки|слуха|памяти|мышления|спользуется|образовательной|коррекционной|деятельности|детьми|дошкольного|возраста</v>
      </c>
      <c r="I774" s="1"/>
      <c r="J774" s="1"/>
    </row>
    <row r="775" spans="1:10" x14ac:dyDescent="0.2">
      <c r="A775" s="8" t="s">
        <v>1318</v>
      </c>
      <c r="B775" s="7" t="s">
        <v>1317</v>
      </c>
      <c r="C775" s="7" t="s">
        <v>1316</v>
      </c>
      <c r="D775" s="6">
        <v>22000</v>
      </c>
      <c r="E775" s="5">
        <v>14</v>
      </c>
      <c r="F775" s="4" t="str">
        <f ca="1">IFERROR(__xludf.DUMMYFUNCTION("LOWER(REGEXREPLACE(B775&amp;"" ""&amp;C775,""[^а-яa-z0-9 ]"","" ""))")," азвивающий набор   олшебная мозаика   азвивающий набор предназначен для развития моторики  воображения и навыков сч та    комплект входят 50 светящихся камешков и 5 двусторонних карточек   амешки заряжаются от света и светятся в темноте   екомендован дет"&amp;"ям от 3 лет ")</f>
        <v xml:space="preserve"> азвивающий набор   олшебная мозаика   азвивающий набор предназначен для развития моторики  воображения и навыков сч та    комплект входят 50 светящихся камешков и 5 двусторонних карточек   амешки заряжаются от света и светятся в темноте   екомендован детям от 3 лет </v>
      </c>
      <c r="G775" s="4" t="str">
        <f ca="1">IFERROR(__xludf.DUMMYFUNCTION("TEXTJOIN(""|"",TRUE,UNIQUE(FILTER(SPLIT(F775,"" ""),LEN(SPLIT(F775,"" ""))&gt;2)))"),"азвивающий|набор|олшебная|мозаика|азвивающий|набор|предназначен|для|развития|моторики|воображения|навыков|комплект|входят|светящихся|камешков|двусторонних|карточек|амешки|заряжаются|света|светятся|темноте|екомендован|детям|лет")</f>
        <v>азвивающий|набор|олшебная|мозаика|азвивающий|набор|предназначен|для|развития|моторики|воображения|навыков|комплект|входят|светящихся|камешков|двусторонних|карточек|амешки|заряжаются|света|светятся|темноте|екомендован|детям|лет</v>
      </c>
      <c r="I775" s="1"/>
      <c r="J775" s="1"/>
    </row>
    <row r="776" spans="1:10" x14ac:dyDescent="0.2">
      <c r="A776" s="8" t="s">
        <v>1315</v>
      </c>
      <c r="B776" s="7" t="s">
        <v>1314</v>
      </c>
      <c r="C776" s="7" t="s">
        <v>1313</v>
      </c>
      <c r="D776" s="6">
        <v>12200</v>
      </c>
      <c r="E776" s="5">
        <v>7</v>
      </c>
      <c r="F776" s="4" t="str">
        <f ca="1">IFERROR(__xludf.DUMMYFUNCTION("LOWER(REGEXREPLACE(B776&amp;"" ""&amp;C776,""[^а-яa-z0-9 ]"","" ""))")," азвивающий набор   убик с мозаикой   азвивающий набор предназначен для развития мелкой моторики  логического мышления и сенсорного восприятия у детей дошкольного возраста   ыполнен в форме кубика с элементами мозаики  привлекает внимание ярким и трогател"&amp;"ьным дизайном   пособствует длительной самостоятельной игровой деятельности и развитию познавательных навыков ")</f>
        <v xml:space="preserve"> азвивающий набор   убик с мозаикой   азвивающий набор предназначен для развития мелкой моторики  логического мышления и сенсорного восприятия у детей дошкольного возраста   ыполнен в форме кубика с элементами мозаики  привлекает внимание ярким и трогательным дизайном   пособствует длительной самостоятельной игровой деятельности и развитию познавательных навыков </v>
      </c>
      <c r="G776" s="4" t="str">
        <f ca="1">IFERROR(__xludf.DUMMYFUNCTION("TEXTJOIN(""|"",TRUE,UNIQUE(FILTER(SPLIT(F776,"" ""),LEN(SPLIT(F776,"" ""))&gt;2)))"),"азвивающий|набор|убик|мозаикой|азвивающий|набор|предназначен|для|развития|мелкой|моторики|логического|мышления|сенсорного|восприятия|детей|дошкольного|возраста|ыполнен|форме|кубика|элементами|мозаики|привлекает|внимание|ярким|трогательным|дизайном|пособст"&amp;"вует|длительной|самостоятельной|игровой|деятельности|развитию|познавательных|навыков")</f>
        <v>азвивающий|набор|убик|мозаикой|азвивающий|набор|предназначен|для|развития|мелкой|моторики|логического|мышления|сенсорного|восприятия|детей|дошкольного|возраста|ыполнен|форме|кубика|элементами|мозаики|привлекает|внимание|ярким|трогательным|дизайном|пособствует|длительной|самостоятельной|игровой|деятельности|развитию|познавательных|навыков</v>
      </c>
      <c r="I776" s="1"/>
      <c r="J776" s="1"/>
    </row>
    <row r="777" spans="1:10" x14ac:dyDescent="0.2">
      <c r="A777" s="8" t="s">
        <v>1312</v>
      </c>
      <c r="B777" s="7" t="s">
        <v>1311</v>
      </c>
      <c r="C777" s="7" t="s">
        <v>1310</v>
      </c>
      <c r="D777" s="6">
        <v>30400</v>
      </c>
      <c r="E777" s="5">
        <v>10</v>
      </c>
      <c r="F777" s="4" t="str">
        <f ca="1">IFERROR(__xludf.DUMMYFUNCTION("LOWER(REGEXREPLACE(B777&amp;"" ""&amp;C777,""[^а-яa-z0-9 ]"","" ""))")," еометрическая головоломка   веток   еометрическая головоломка используется для сборки фигуры из отдельных элементов    процессе работы выполняется подбор деталей по форме и расположению   акая деятельность способствует развитию пространственного мышления"&amp;" и логического анализа   лементы выполнены из прочных материалов ")</f>
        <v xml:space="preserve"> еометрическая головоломка   веток   еометрическая головоломка используется для сборки фигуры из отдельных элементов    процессе работы выполняется подбор деталей по форме и расположению   акая деятельность способствует развитию пространственного мышления и логического анализа   лементы выполнены из прочных материалов </v>
      </c>
      <c r="G777" s="4" t="str">
        <f ca="1">IFERROR(__xludf.DUMMYFUNCTION("TEXTJOIN(""|"",TRUE,UNIQUE(FILTER(SPLIT(F777,"" ""),LEN(SPLIT(F777,"" ""))&gt;2)))"),"еометрическая|головоломка|веток|еометрическая|головоломка|используется|для|сборки|фигуры|отдельных|элементов|процессе|работы|выполняется|подбор|деталей|форме|расположению|акая|деятельность|способствует|развитию|пространственного|мышления|логического|анали"&amp;"за|лементы|выполнены|прочных|материалов")</f>
        <v>еометрическая|головоломка|веток|еометрическая|головоломка|используется|для|сборки|фигуры|отдельных|элементов|процессе|работы|выполняется|подбор|деталей|форме|расположению|акая|деятельность|способствует|развитию|пространственного|мышления|логического|анализа|лементы|выполнены|прочных|материалов</v>
      </c>
      <c r="I777" s="1"/>
      <c r="J777" s="1"/>
    </row>
    <row r="778" spans="1:10" x14ac:dyDescent="0.2">
      <c r="A778" s="8" t="s">
        <v>1309</v>
      </c>
      <c r="B778" s="7" t="s">
        <v>1308</v>
      </c>
      <c r="C778" s="7" t="s">
        <v>1307</v>
      </c>
      <c r="D778" s="6">
        <v>5400</v>
      </c>
      <c r="E778" s="5">
        <v>4</v>
      </c>
      <c r="F778" s="4" t="str">
        <f ca="1">IFERROR(__xludf.DUMMYFUNCTION("LOWER(REGEXREPLACE(B778&amp;"" ""&amp;C778,""[^а-яa-z0-9 ]"","" ""))")," азвитие речи и художественная литература  рестоматия предназначена для детей от 2 лет   спользуется для развития речи  расширения словарного запаса  формирования интереса к художественной литературе и навыков слушания   рименяется в образовательной деяте"&amp;"льности дошкольного учреждения ")</f>
        <v xml:space="preserve"> азвитие речи и художественная литература  рестоматия предназначена для детей от 2 лет   спользуется для развития речи  расширения словарного запаса  формирования интереса к художественной литературе и навыков слушания   рименяется в образовательной деятельности дошкольного учреждения </v>
      </c>
      <c r="G778" s="4" t="str">
        <f ca="1">IFERROR(__xludf.DUMMYFUNCTION("TEXTJOIN(""|"",TRUE,UNIQUE(FILTER(SPLIT(F778,"" ""),LEN(SPLIT(F778,"" ""))&gt;2)))"),"азвитие|речи|художественная|литература|рестоматия|предназначена|для|детей|лет|спользуется|для|развития|речи|расширения|словарного|запаса|формирования|интереса|художественной|литературе|навыков|слушания|рименяется|образовательной|деятельности|дошкольного|у"&amp;"чреждения")</f>
        <v>азвитие|речи|художественная|литература|рестоматия|предназначена|для|детей|лет|спользуется|для|развития|речи|расширения|словарного|запаса|формирования|интереса|художественной|литературе|навыков|слушания|рименяется|образовательной|деятельности|дошкольного|учреждения</v>
      </c>
      <c r="I778" s="1"/>
      <c r="J778" s="1"/>
    </row>
    <row r="779" spans="1:10" x14ac:dyDescent="0.2">
      <c r="A779" s="8" t="s">
        <v>1306</v>
      </c>
      <c r="B779" s="7" t="s">
        <v>1305</v>
      </c>
      <c r="C779" s="7" t="s">
        <v>1304</v>
      </c>
      <c r="D779" s="6">
        <v>8900</v>
      </c>
      <c r="E779" s="5">
        <v>7</v>
      </c>
      <c r="F779" s="4" t="str">
        <f ca="1">IFERROR(__xludf.DUMMYFUNCTION("LOWER(REGEXREPLACE(B779&amp;"" ""&amp;C779,""[^а-яa-z0-9 ]"","" ""))")," аздаточные материалы для занятий по рисованию  аздаточные материалы предназначены для выполнения практических заданий по рисованию   спользуются при освоении различных изобразительных при мов и техник   рименяются в индивидуальной и групповой работе   ат"&amp;"ериалы рассчитаны на использование в образовательном процессе ")</f>
        <v xml:space="preserve"> аздаточные материалы для занятий по рисованию  аздаточные материалы предназначены для выполнения практических заданий по рисованию   спользуются при освоении различных изобразительных при мов и техник   рименяются в индивидуальной и групповой работе   атериалы рассчитаны на использование в образовательном процессе </v>
      </c>
      <c r="G779" s="4" t="str">
        <f ca="1">IFERROR(__xludf.DUMMYFUNCTION("TEXTJOIN(""|"",TRUE,UNIQUE(FILTER(SPLIT(F779,"" ""),LEN(SPLIT(F779,"" ""))&gt;2)))"),"аздаточные|материалы|для|занятий|рисованию|аздаточные|материалы|предназначены|для|выполнения|практических|заданий|рисованию|спользуются|при|освоении|различных|изобразительных|при|мов|техник|рименяются|индивидуальной|групповой|работе|атериалы|рассчитаны|ис"&amp;"пользование|образовательном|процессе")</f>
        <v>аздаточные|материалы|для|занятий|рисованию|аздаточные|материалы|предназначены|для|выполнения|практических|заданий|рисованию|спользуются|при|освоении|различных|изобразительных|при|мов|техник|рименяются|индивидуальной|групповой|работе|атериалы|рассчитаны|использование|образовательном|процессе</v>
      </c>
      <c r="I779" s="1"/>
      <c r="J779" s="1"/>
    </row>
    <row r="780" spans="1:10" x14ac:dyDescent="0.2">
      <c r="A780" s="8" t="s">
        <v>1303</v>
      </c>
      <c r="B780" s="7" t="s">
        <v>1302</v>
      </c>
      <c r="C780" s="7" t="s">
        <v>1301</v>
      </c>
      <c r="D780" s="6">
        <v>12600</v>
      </c>
      <c r="E780" s="5">
        <v>7</v>
      </c>
      <c r="F780" s="4" t="str">
        <f ca="1">IFERROR(__xludf.DUMMYFUNCTION("LOWER(REGEXREPLACE(B780&amp;"" ""&amp;C780,""[^а-яa-z0-9 ]"","" ""))")," аздаточные материалы используются при выполнении аппликационных заданий в рамках творческой деятельности   одержат элементы и заготовки для практической работы с формой  цветом и композицией   рименяются при выполнении заданий по наклеиванию и комбиниров"&amp;"анию деталей   атериалы рассчитаны на многократное использование в учебных и практических работах   грушечный автомобиль используется для сюжетно ролевых игр с моделированием дорожных и бытовых ситуаций    процессе игры воспроизводятся действия с транспор"&amp;"тным средством   акая деятельность способствует развитию воображения и представлений о транспорте   зделие выполнено из прочных материалов ")</f>
        <v xml:space="preserve"> аздаточные материалы используются при выполнении аппликационных заданий в рамках творческой деятельности   одержат элементы и заготовки для практической работы с формой  цветом и композицией   рименяются при выполнении заданий по наклеиванию и комбинированию деталей   атериалы рассчитаны на многократное использование в учебных и практических работах   грушечный автомобиль используется для сюжетно ролевых игр с моделированием дорожных и бытовых ситуаций    процессе игры воспроизводятся действия с транспортным средством   акая деятельность способствует развитию воображения и представлений о транспорте   зделие выполнено из прочных материалов </v>
      </c>
      <c r="G780" s="4" t="str">
        <f ca="1">IFERROR(__xludf.DUMMYFUNCTION("TEXTJOIN(""|"",TRUE,UNIQUE(FILTER(SPLIT(F780,"" ""),LEN(SPLIT(F780,"" ""))&gt;2)))"),"аздаточные|материалы|используются|при|выполнении|аппликационных|заданий|рамках|творческой|деятельности|одержат|элементы|заготовки|для|практической|работы|формой|цветом|композицией|рименяются|при|выполнении|заданий|наклеиванию|комбинированию|деталей|атериа"&amp;"лы|рассчитаны|многократное|использование|учебных|практических|работах|грушечный|автомобиль|используется|для|сюжетно|ролевых|игр|моделированием|дорожных|бытовых|ситуаций|процессе|игры|воспроизводятся|действия|транспортным|средством|акая|деятельность|способ"&amp;"ствует|развитию|воображения|представлений|транспорте|зделие|выполнено|прочных|материалов")</f>
        <v>аздаточные|материалы|используются|при|выполнении|аппликационных|заданий|рамках|творческой|деятельности|одержат|элементы|заготовки|для|практической|работы|формой|цветом|композицией|рименяются|при|выполнении|заданий|наклеиванию|комбинированию|деталей|атериалы|рассчитаны|многократное|использование|учебных|практических|работах|грушечный|автомобиль|используется|для|сюжетно|ролевых|игр|моделированием|дорожных|бытовых|ситуаций|процессе|игры|воспроизводятся|действия|транспортным|средством|акая|деятельность|способствует|развитию|воображения|представлений|транспорте|зделие|выполнено|прочных|материалов</v>
      </c>
      <c r="I780" s="1"/>
      <c r="J780" s="1"/>
    </row>
    <row r="781" spans="1:10" x14ac:dyDescent="0.2">
      <c r="A781" s="8" t="s">
        <v>1300</v>
      </c>
      <c r="B781" s="7" t="s">
        <v>1299</v>
      </c>
      <c r="C781" s="7" t="s">
        <v>1298</v>
      </c>
      <c r="D781" s="6">
        <v>9700</v>
      </c>
      <c r="E781" s="5">
        <v>1</v>
      </c>
      <c r="F781" s="4" t="str">
        <f ca="1">IFERROR(__xludf.DUMMYFUNCTION("LOWER(REGEXREPLACE(B781&amp;"" ""&amp;C781,""[^а-яa-z0-9 ]"","" ""))")," аздаточные материалы по аппликации 2  лет  аздаточные материалы предназначены для выполнения аппликационных заданий и практических работ   спользуются при освоении при мов наклеивания и комбинирования элементов   адания направлены на формирование предста"&amp;"влений о форме  цвете и композиции   рименяются в индивидуальной и групповой работе ")</f>
        <v xml:space="preserve"> аздаточные материалы по аппликации 2  лет  аздаточные материалы предназначены для выполнения аппликационных заданий и практических работ   спользуются при освоении при мов наклеивания и комбинирования элементов   адания направлены на формирование представлений о форме  цвете и композиции   рименяются в индивидуальной и групповой работе </v>
      </c>
      <c r="G781" s="4" t="str">
        <f ca="1">IFERROR(__xludf.DUMMYFUNCTION("TEXTJOIN(""|"",TRUE,UNIQUE(FILTER(SPLIT(F781,"" ""),LEN(SPLIT(F781,"" ""))&gt;2)))"),"аздаточные|материалы|аппликации|лет|аздаточные|материалы|предназначены|для|выполнения|аппликационных|заданий|практических|работ|спользуются|при|освоении|при|мов|наклеивания|комбинирования|элементов|адания|направлены|формирование|представлений|форме|цвете|"&amp;"композиции|рименяются|индивидуальной|групповой|работе")</f>
        <v>аздаточные|материалы|аппликации|лет|аздаточные|материалы|предназначены|для|выполнения|аппликационных|заданий|практических|работ|спользуются|при|освоении|при|мов|наклеивания|комбинирования|элементов|адания|направлены|формирование|представлений|форме|цвете|композиции|рименяются|индивидуальной|групповой|работе</v>
      </c>
      <c r="I781" s="1"/>
      <c r="J781" s="1"/>
    </row>
    <row r="782" spans="1:10" x14ac:dyDescent="0.2">
      <c r="A782" s="8" t="s">
        <v>1297</v>
      </c>
      <c r="B782" s="7" t="s">
        <v>1296</v>
      </c>
      <c r="C782" s="7" t="s">
        <v>1295</v>
      </c>
      <c r="D782" s="6">
        <v>10900</v>
      </c>
      <c r="E782" s="5">
        <v>7</v>
      </c>
      <c r="F782" s="4" t="str">
        <f ca="1">IFERROR(__xludf.DUMMYFUNCTION("LOWER(REGEXREPLACE(B782&amp;"" ""&amp;C782,""[^а-яa-z0-9 ]"","" ""))")," аздаточные материалы по развитию речи и художественной литературе  аздаточные материалы применяются при выполнении заданий  связанных с речевой деятельностью и работой с текстами   спользуются для индивидуальной и подгрупповой работы   озволяют закреплят"&amp;"ь содержание произведений и речевые упражнения   атериалы рассчитаны на использование в образовательной практике ")</f>
        <v xml:space="preserve"> аздаточные материалы по развитию речи и художественной литературе  аздаточные материалы применяются при выполнении заданий  связанных с речевой деятельностью и работой с текстами   спользуются для индивидуальной и подгрупповой работы   озволяют закреплять содержание произведений и речевые упражнения   атериалы рассчитаны на использование в образовательной практике </v>
      </c>
      <c r="G782" s="4" t="str">
        <f ca="1">IFERROR(__xludf.DUMMYFUNCTION("TEXTJOIN(""|"",TRUE,UNIQUE(FILTER(SPLIT(F782,"" ""),LEN(SPLIT(F782,"" ""))&gt;2)))"),"аздаточные|материалы|развитию|речи|художественной|литературе|аздаточные|материалы|применяются|при|выполнении|заданий|связанных|речевой|деятельностью|работой|текстами|спользуются|для|индивидуальной|подгрупповой|работы|озволяют|закреплять|содержание|произве"&amp;"дений|речевые|упражнения|атериалы|рассчитаны|использование|образовательной|практике")</f>
        <v>аздаточные|материалы|развитию|речи|художественной|литературе|аздаточные|материалы|применяются|при|выполнении|заданий|связанных|речевой|деятельностью|работой|текстами|спользуются|для|индивидуальной|подгрупповой|работы|озволяют|закреплять|содержание|произведений|речевые|упражнения|атериалы|рассчитаны|использование|образовательной|практике</v>
      </c>
      <c r="I782" s="1"/>
      <c r="J782" s="1"/>
    </row>
    <row r="783" spans="1:10" x14ac:dyDescent="0.2">
      <c r="A783" s="8" t="s">
        <v>1294</v>
      </c>
      <c r="B783" s="7" t="s">
        <v>1293</v>
      </c>
      <c r="C783" s="7" t="s">
        <v>1292</v>
      </c>
      <c r="D783" s="6">
        <v>6200</v>
      </c>
      <c r="E783" s="5">
        <v>50</v>
      </c>
      <c r="F783" s="4" t="str">
        <f ca="1">IFERROR(__xludf.DUMMYFUNCTION("LOWER(REGEXREPLACE(B783&amp;"" ""&amp;C783,""[^а-яa-z0-9 ]"","" ""))")," азделитель для папки  ластиковые разделители с индексами предназначены для систематизации документов  методических материалов и рабочей документации   спользуются в папках формата  4  обеспечивают удобство навигации и хранения ")</f>
        <v xml:space="preserve"> азделитель для папки  ластиковые разделители с индексами предназначены для систематизации документов  методических материалов и рабочей документации   спользуются в папках формата  4  обеспечивают удобство навигации и хранения </v>
      </c>
      <c r="G783" s="4" t="str">
        <f ca="1">IFERROR(__xludf.DUMMYFUNCTION("TEXTJOIN(""|"",TRUE,UNIQUE(FILTER(SPLIT(F783,"" ""),LEN(SPLIT(F783,"" ""))&gt;2)))"),"азделитель|для|папки|ластиковые|разделители|индексами|предназначены|для|систематизации|документов|методических|материалов|рабочей|документации|спользуются|папках|формата|обеспечивают|удобство|навигации|хранения")</f>
        <v>азделитель|для|папки|ластиковые|разделители|индексами|предназначены|для|систематизации|документов|методических|материалов|рабочей|документации|спользуются|папках|формата|обеспечивают|удобство|навигации|хранения</v>
      </c>
      <c r="I783" s="1"/>
      <c r="J783" s="1"/>
    </row>
    <row r="784" spans="1:10" x14ac:dyDescent="0.2">
      <c r="A784" s="8" t="s">
        <v>1291</v>
      </c>
      <c r="B784" s="7" t="s">
        <v>1290</v>
      </c>
      <c r="C784" s="7" t="s">
        <v>1289</v>
      </c>
      <c r="D784" s="6">
        <v>2800</v>
      </c>
      <c r="E784" s="5">
        <v>5</v>
      </c>
      <c r="F784" s="4" t="str">
        <f ca="1">IFERROR(__xludf.DUMMYFUNCTION("LOWER(REGEXREPLACE(B784&amp;"" ""&amp;C784,""[^а-яa-z0-9 ]"","" ""))")," акушки морские натуральные для декора  атуральные морские ракушки предназначены для декоративных  сенсорных и творческих занятий   ип   природные материалы   ес набора   85 г   оличество в упаковке   15 шт   спользуются в оформлении  арт терапии и развив"&amp;"ающих играх ")</f>
        <v xml:space="preserve"> акушки морские натуральные для декора  атуральные морские ракушки предназначены для декоративных  сенсорных и творческих занятий   ип   природные материалы   ес набора   85 г   оличество в упаковке   15 шт   спользуются в оформлении  арт терапии и развивающих играх </v>
      </c>
      <c r="G784" s="4" t="str">
        <f ca="1">IFERROR(__xludf.DUMMYFUNCTION("TEXTJOIN(""|"",TRUE,UNIQUE(FILTER(SPLIT(F784,"" ""),LEN(SPLIT(F784,"" ""))&gt;2)))"),"акушки|морские|натуральные|для|декора|атуральные|морские|ракушки|предназначены|для|декоративных|сенсорных|творческих|занятий|природные|материалы|набора|оличество|упаковке|спользуются|оформлении|арт|терапии|развивающих|играх")</f>
        <v>акушки|морские|натуральные|для|декора|атуральные|морские|ракушки|предназначены|для|декоративных|сенсорных|творческих|занятий|природные|материалы|набора|оличество|упаковке|спользуются|оформлении|арт|терапии|развивающих|играх</v>
      </c>
      <c r="I784" s="1"/>
      <c r="J784" s="1"/>
    </row>
    <row r="785" spans="1:10" x14ac:dyDescent="0.2">
      <c r="A785" s="8" t="s">
        <v>1288</v>
      </c>
      <c r="B785" s="7" t="s">
        <v>1287</v>
      </c>
      <c r="C785" s="7" t="s">
        <v>1286</v>
      </c>
      <c r="D785" s="6">
        <v>2700</v>
      </c>
      <c r="E785" s="5">
        <v>1</v>
      </c>
      <c r="F785" s="4" t="str">
        <f ca="1">IFERROR(__xludf.DUMMYFUNCTION("LOWER(REGEXREPLACE(B785&amp;"" ""&amp;C785,""[^а-яa-z0-9 ]"","" ""))")," амка вкладыш   то где жив т   амка вкладыш представляет собой деревянную основу с фигурными элементами по тематике среды обитания животных    процессе работы выполняется подбор и размещение деталей в соответствующие отверстия   акая деятельность способст"&amp;"вует развитию наглядно образного мышления и навыков соотнесения   абор включает не менее 11 элементов ")</f>
        <v xml:space="preserve"> амка вкладыш   то где жив т   амка вкладыш представляет собой деревянную основу с фигурными элементами по тематике среды обитания животных    процессе работы выполняется подбор и размещение деталей в соответствующие отверстия   акая деятельность способствует развитию наглядно образного мышления и навыков соотнесения   абор включает не менее 11 элементов </v>
      </c>
      <c r="G785" s="4" t="str">
        <f ca="1">IFERROR(__xludf.DUMMYFUNCTION("TEXTJOIN(""|"",TRUE,UNIQUE(FILTER(SPLIT(F785,"" ""),LEN(SPLIT(F785,"" ""))&gt;2)))"),"амка|вкладыш|где|жив|амка|вкладыш|представляет|собой|деревянную|основу|фигурными|элементами|тематике|среды|обитания|животных|процессе|работы|выполняется|подбор|размещение|деталей|соответствующие|отверстия|акая|деятельность|способствует|развитию|наглядно|о"&amp;"бразного|мышления|навыков|соотнесения|абор|включает|менее|элементов")</f>
        <v>амка|вкладыш|где|жив|амка|вкладыш|представляет|собой|деревянную|основу|фигурными|элементами|тематике|среды|обитания|животных|процессе|работы|выполняется|подбор|размещение|деталей|соответствующие|отверстия|акая|деятельность|способствует|развитию|наглядно|образного|мышления|навыков|соотнесения|абор|включает|менее|элементов</v>
      </c>
      <c r="I785" s="1"/>
      <c r="J785" s="1"/>
    </row>
    <row r="786" spans="1:10" x14ac:dyDescent="0.2">
      <c r="A786" s="8" t="s">
        <v>1285</v>
      </c>
      <c r="B786" s="7" t="s">
        <v>1284</v>
      </c>
      <c r="C786" s="7" t="s">
        <v>1283</v>
      </c>
      <c r="D786" s="6">
        <v>3500</v>
      </c>
      <c r="E786" s="5">
        <v>5</v>
      </c>
      <c r="F786" s="4" t="str">
        <f ca="1">IFERROR(__xludf.DUMMYFUNCTION("LOWER(REGEXREPLACE(B786&amp;"" ""&amp;C786,""[^а-яa-z0-9 ]"","" ""))")," аскраска   абайы жануарларды б лес   бе    аскраска используется для раскрашивания изображений диких животных    процессе работы выполняется закрашивание контуров и рассматривание изображений   рименяется в творческой деятельности ")</f>
        <v xml:space="preserve"> аскраска   абайы жануарларды б лес   бе    аскраска используется для раскрашивания изображений диких животных    процессе работы выполняется закрашивание контуров и рассматривание изображений   рименяется в творческой деятельности </v>
      </c>
      <c r="G786" s="4" t="str">
        <f ca="1">IFERROR(__xludf.DUMMYFUNCTION("TEXTJOIN(""|"",TRUE,UNIQUE(FILTER(SPLIT(F786,"" ""),LEN(SPLIT(F786,"" ""))&gt;2)))"),"аскраска|абайы|жануарларды|лес|аскраска|используется|для|раскрашивания|изображений|диких|животных|процессе|работы|выполняется|закрашивание|контуров|рассматривание|изображений|рименяется|творческой|деятельности")</f>
        <v>аскраска|абайы|жануарларды|лес|аскраска|используется|для|раскрашивания|изображений|диких|животных|процессе|работы|выполняется|закрашивание|контуров|рассматривание|изображений|рименяется|творческой|деятельности</v>
      </c>
      <c r="I786" s="1"/>
      <c r="J786" s="1"/>
    </row>
    <row r="787" spans="1:10" x14ac:dyDescent="0.2">
      <c r="A787" s="8" t="s">
        <v>1282</v>
      </c>
      <c r="B787" s="7" t="s">
        <v>1281</v>
      </c>
      <c r="C787" s="7" t="s">
        <v>1280</v>
      </c>
      <c r="D787" s="6">
        <v>3200</v>
      </c>
      <c r="E787" s="5">
        <v>7</v>
      </c>
      <c r="F787" s="4" t="str">
        <f ca="1">IFERROR(__xludf.DUMMYFUNCTION("LOWER(REGEXREPLACE(B787&amp;"" ""&amp;C787,""[^а-яa-z0-9 ]"","" ""))")," аскраска   azakhstan   stana   аскраска предназначена для развития мелкой моторики  воображения и знакомства детей с архитектурой и культурными объектами   спользуется в изобразительной деятельности ")</f>
        <v xml:space="preserve"> аскраска   azakhstan   stana   аскраска предназначена для развития мелкой моторики  воображения и знакомства детей с архитектурой и культурными объектами   спользуется в изобразительной деятельности </v>
      </c>
      <c r="G787" s="4" t="str">
        <f ca="1">IFERROR(__xludf.DUMMYFUNCTION("TEXTJOIN(""|"",TRUE,UNIQUE(FILTER(SPLIT(F787,"" ""),LEN(SPLIT(F787,"" ""))&gt;2)))"),"аскраска|azakhstan|stana|аскраска|предназначена|для|развития|мелкой|моторики|воображения|знакомства|детей|архитектурой|культурными|объектами|спользуется|изобразительной|деятельности")</f>
        <v>аскраска|azakhstan|stana|аскраска|предназначена|для|развития|мелкой|моторики|воображения|знакомства|детей|архитектурой|культурными|объектами|спользуется|изобразительной|деятельности</v>
      </c>
      <c r="I787" s="1"/>
      <c r="J787" s="1"/>
    </row>
    <row r="788" spans="1:10" x14ac:dyDescent="0.2">
      <c r="A788" s="8" t="s">
        <v>1279</v>
      </c>
      <c r="B788" s="7" t="s">
        <v>1278</v>
      </c>
      <c r="C788" s="9" t="s">
        <v>1277</v>
      </c>
      <c r="D788" s="6">
        <v>11607</v>
      </c>
      <c r="E788" s="5">
        <v>20</v>
      </c>
      <c r="F788" s="4" t="str">
        <f ca="1">IFERROR(__xludf.DUMMYFUNCTION("LOWER(REGEXREPLACE(B788&amp;"" ""&amp;C788,""[^а-яa-z0-9 ]"","" ""))")," игрометр  игрометр 0 25 градусов")</f>
        <v xml:space="preserve"> игрометр  игрометр 0 25 градусов</v>
      </c>
      <c r="G788" s="4" t="str">
        <f ca="1">IFERROR(__xludf.DUMMYFUNCTION("TEXTJOIN(""|"",TRUE,UNIQUE(FILTER(SPLIT(F788,"" ""),LEN(SPLIT(F788,"" ""))&gt;2)))"),"игрометр|игрометр|градусов")</f>
        <v>игрометр|игрометр|градусов</v>
      </c>
      <c r="I788" s="1"/>
      <c r="J788" s="1"/>
    </row>
    <row r="789" spans="1:10" x14ac:dyDescent="0.2">
      <c r="A789" s="8" t="s">
        <v>1276</v>
      </c>
      <c r="B789" s="7" t="s">
        <v>1275</v>
      </c>
      <c r="C789" s="7" t="s">
        <v>1274</v>
      </c>
      <c r="D789" s="6">
        <v>95000</v>
      </c>
      <c r="E789" s="5">
        <v>4</v>
      </c>
      <c r="F789" s="4" t="str">
        <f ca="1">IFERROR(__xludf.DUMMYFUNCTION("LOWER(REGEXREPLACE(B789&amp;"" ""&amp;C789,""[^а-яa-z0-9 ]"","" ""))")," астения  цветы   еприхотливые в уходе  безопасные для детей растения  не имеющие острых элементов и токсичных свойств   ысота растений   400 800 мм  диаметр горшка   180 250 мм ")</f>
        <v xml:space="preserve"> астения  цветы   еприхотливые в уходе  безопасные для детей растения  не имеющие острых элементов и токсичных свойств   ысота растений   400 800 мм  диаметр горшка   180 250 мм </v>
      </c>
      <c r="G789" s="4" t="str">
        <f ca="1">IFERROR(__xludf.DUMMYFUNCTION("TEXTJOIN(""|"",TRUE,UNIQUE(FILTER(SPLIT(F789,"" ""),LEN(SPLIT(F789,"" ""))&gt;2)))"),"астения|цветы|еприхотливые|уходе|безопасные|для|детей|растения|имеющие|острых|элементов|токсичных|свойств|ысота|растений|400|800|диаметр|горшка|180|250")</f>
        <v>астения|цветы|еприхотливые|уходе|безопасные|для|детей|растения|имеющие|острых|элементов|токсичных|свойств|ысота|растений|400|800|диаметр|горшка|180|250</v>
      </c>
      <c r="I789" s="1"/>
      <c r="J789" s="1"/>
    </row>
    <row r="790" spans="1:10" x14ac:dyDescent="0.2">
      <c r="A790" s="8" t="s">
        <v>1273</v>
      </c>
      <c r="B790" s="7" t="s">
        <v>1272</v>
      </c>
      <c r="C790" s="7" t="s">
        <v>1271</v>
      </c>
      <c r="D790" s="6">
        <v>22800</v>
      </c>
      <c r="E790" s="5">
        <v>5</v>
      </c>
      <c r="F790" s="4" t="str">
        <f ca="1">IFERROR(__xludf.DUMMYFUNCTION("LOWER(REGEXREPLACE(B790&amp;"" ""&amp;C790,""[^а-яa-z0-9 ]"","" ""))")," астения с крупными листьями для изучения формы  астения с крупными выразительными листьями предназначены для наглядного изучения формы  размера и структуры листа в образовательной деятельности   спользуются в экологическом воспитании  сенсорном развитии "&amp;"и ознакомлении с окружающим миром   одбираются нетоксичные  безопасные для детей виды  устойчивые к комнатным условиям ")</f>
        <v xml:space="preserve"> астения с крупными листьями для изучения формы  астения с крупными выразительными листьями предназначены для наглядного изучения формы  размера и структуры листа в образовательной деятельности   спользуются в экологическом воспитании  сенсорном развитии и ознакомлении с окружающим миром   одбираются нетоксичные  безопасные для детей виды  устойчивые к комнатным условиям </v>
      </c>
      <c r="G790" s="4" t="str">
        <f ca="1">IFERROR(__xludf.DUMMYFUNCTION("TEXTJOIN(""|"",TRUE,UNIQUE(FILTER(SPLIT(F790,"" ""),LEN(SPLIT(F790,"" ""))&gt;2)))"),"астения|крупными|листьями|для|изучения|формы|астения|крупными|выразительными|листьями|предназначены|для|наглядного|изучения|формы|размера|структуры|листа|образовательной|деятельности|спользуются|экологическом|воспитании|сенсорном|развитии|ознакомлении|окр"&amp;"ужающим|миром|одбираются|нетоксичные|безопасные|для|детей|виды|устойчивые|комнатным|условиям")</f>
        <v>астения|крупными|листьями|для|изучения|формы|астения|крупными|выразительными|листьями|предназначены|для|наглядного|изучения|формы|размера|структуры|листа|образовательной|деятельности|спользуются|экологическом|воспитании|сенсорном|развитии|ознакомлении|окружающим|миром|одбираются|нетоксичные|безопасные|для|детей|виды|устойчивые|комнатным|условиям</v>
      </c>
      <c r="I790" s="1"/>
      <c r="J790" s="1"/>
    </row>
    <row r="791" spans="1:10" x14ac:dyDescent="0.2">
      <c r="A791" s="8" t="s">
        <v>1270</v>
      </c>
      <c r="B791" s="7" t="s">
        <v>1269</v>
      </c>
      <c r="C791" s="7" t="s">
        <v>1268</v>
      </c>
      <c r="D791" s="6">
        <v>95000</v>
      </c>
      <c r="E791" s="5">
        <v>14</v>
      </c>
      <c r="F791" s="4" t="str">
        <f ca="1">IFERROR(__xludf.DUMMYFUNCTION("LOWER(REGEXREPLACE(B791&amp;"" ""&amp;C791,""[^а-яa-z0-9 ]"","" ""))")," астения  набор  бразовательный набор предназначен для детей 3 6 лет   ключает 126 элементов для создания букетов и садовых композиций   спользуется для развития творческого мышления  мелкой моторики и познавательных навыков в формате      обучения ")</f>
        <v xml:space="preserve"> астения  набор  бразовательный набор предназначен для детей 3 6 лет   ключает 126 элементов для создания букетов и садовых композиций   спользуется для развития творческого мышления  мелкой моторики и познавательных навыков в формате      обучения </v>
      </c>
      <c r="G791" s="4" t="str">
        <f ca="1">IFERROR(__xludf.DUMMYFUNCTION("TEXTJOIN(""|"",TRUE,UNIQUE(FILTER(SPLIT(F791,"" ""),LEN(SPLIT(F791,"" ""))&gt;2)))"),"астения|набор|бразовательный|набор|предназначен|для|детей|лет|ключает|126|элементов|для|создания|букетов|садовых|композиций|спользуется|для|развития|творческого|мышления|мелкой|моторики|познавательных|навыков|формате|обучения")</f>
        <v>астения|набор|бразовательный|набор|предназначен|для|детей|лет|ключает|126|элементов|для|создания|букетов|садовых|композиций|спользуется|для|развития|творческого|мышления|мелкой|моторики|познавательных|навыков|формате|обучения</v>
      </c>
      <c r="I791" s="1"/>
      <c r="J791" s="1"/>
    </row>
    <row r="792" spans="1:10" x14ac:dyDescent="0.2">
      <c r="A792" s="8" t="s">
        <v>1267</v>
      </c>
      <c r="B792" s="7" t="s">
        <v>1266</v>
      </c>
      <c r="C792" s="7" t="s">
        <v>1265</v>
      </c>
      <c r="D792" s="6">
        <v>22800</v>
      </c>
      <c r="E792" s="5">
        <v>2</v>
      </c>
      <c r="F792" s="4" t="str">
        <f ca="1">IFERROR(__xludf.DUMMYFUNCTION("LOWER(REGEXREPLACE(B792&amp;"" ""&amp;C792,""[^а-яa-z0-9 ]"","" ""))"),"ренаж р логопедический  перекидной   вукотренировка   истоговорки  игры  огопедический тренаж р предназначен для формирования и автоматизации звуков                       развития фонематического слуха и навыков анализа звуков в словах   спользуется в инд"&amp;"ивидуальной и подгрупповой логопедической работе   ерекидные карточки соединены пружиной  что предотвращает их потерю   ветовая маркировка тв рдых и мягких согласных облегчает восприятие материала ")</f>
        <v xml:space="preserve">ренаж р логопедический  перекидной   вукотренировка   истоговорки  игры  огопедический тренаж р предназначен для формирования и автоматизации звуков                       развития фонематического слуха и навыков анализа звуков в словах   спользуется в индивидуальной и подгрупповой логопедической работе   ерекидные карточки соединены пружиной  что предотвращает их потерю   ветовая маркировка тв рдых и мягких согласных облегчает восприятие материала </v>
      </c>
      <c r="G792" s="4" t="str">
        <f ca="1">IFERROR(__xludf.DUMMYFUNCTION("TEXTJOIN(""|"",TRUE,UNIQUE(FILTER(SPLIT(F792,"" ""),LEN(SPLIT(F792,"" ""))&gt;2)))"),"ренаж|логопедический|перекидной|вукотренировка|истоговорки|игры|огопедический|тренаж|предназначен|для|формирования|автоматизации|звуков|развития|фонематического|слуха|навыков|анализа|звуков|словах|спользуется|индивидуальной|подгрупповой|логопедической|раб"&amp;"оте|ерекидные|карточки|соединены|пружиной|что|предотвращает|потерю|ветовая|маркировка|рдых|мягких|согласных|облегчает|восприятие|материала")</f>
        <v>ренаж|логопедический|перекидной|вукотренировка|истоговорки|игры|огопедический|тренаж|предназначен|для|формирования|автоматизации|звуков|развития|фонематического|слуха|навыков|анализа|звуков|словах|спользуется|индивидуальной|подгрупповой|логопедической|работе|ерекидные|карточки|соединены|пружиной|что|предотвращает|потерю|ветовая|маркировка|рдых|мягких|согласных|облегчает|восприятие|материала</v>
      </c>
      <c r="I792" s="1"/>
      <c r="J792" s="1"/>
    </row>
    <row r="793" spans="1:10" x14ac:dyDescent="0.2">
      <c r="A793" s="8" t="s">
        <v>1264</v>
      </c>
      <c r="B793" s="7" t="s">
        <v>1263</v>
      </c>
      <c r="C793" s="7" t="s">
        <v>1262</v>
      </c>
      <c r="D793" s="6">
        <v>97500</v>
      </c>
      <c r="E793" s="5">
        <v>1</v>
      </c>
      <c r="F793" s="4" t="str">
        <f ca="1">IFERROR(__xludf.DUMMYFUNCTION("LOWER(REGEXREPLACE(B793&amp;"" ""&amp;C793,""[^а-яa-z0-9 ]"","" ""))")," остомер механический напольный      коном   спользуется для измерения роста детей   стойчивый  простой в эксплуатации  соответствует требованиям     ")</f>
        <v xml:space="preserve"> остомер механический напольный      коном   спользуется для измерения роста детей   стойчивый  простой в эксплуатации  соответствует требованиям     </v>
      </c>
      <c r="G793" s="4" t="str">
        <f ca="1">IFERROR(__xludf.DUMMYFUNCTION("TEXTJOIN(""|"",TRUE,UNIQUE(FILTER(SPLIT(F793,"" ""),LEN(SPLIT(F793,"" ""))&gt;2)))"),"остомер|механический|напольный|коном|спользуется|для|измерения|роста|детей|стойчивый|простой|эксплуатации|соответствует|требованиям")</f>
        <v>остомер|механический|напольный|коном|спользуется|для|измерения|роста|детей|стойчивый|простой|эксплуатации|соответствует|требованиям</v>
      </c>
      <c r="I793" s="1"/>
      <c r="J793" s="1"/>
    </row>
    <row r="794" spans="1:10" x14ac:dyDescent="0.2">
      <c r="A794" s="8" t="s">
        <v>1261</v>
      </c>
      <c r="B794" s="7" t="s">
        <v>1260</v>
      </c>
      <c r="C794" s="7" t="s">
        <v>1259</v>
      </c>
      <c r="D794" s="6">
        <v>8000</v>
      </c>
      <c r="E794" s="5">
        <v>91</v>
      </c>
      <c r="F794" s="4" t="str">
        <f ca="1">IFERROR(__xludf.DUMMYFUNCTION("LOWER(REGEXREPLACE(B794&amp;"" ""&amp;C794,""[^а-яa-z0-9 ]"","" ""))")," остомер настенный  остомер используется для измерения роста   зготовлен в виде наклеек  размещаемых на стене   ысота шкалы составляет около 135 см   атериал   пл нка ")</f>
        <v xml:space="preserve"> остомер настенный  остомер используется для измерения роста   зготовлен в виде наклеек  размещаемых на стене   ысота шкалы составляет около 135 см   атериал   пл нка </v>
      </c>
      <c r="G794" s="4" t="str">
        <f ca="1">IFERROR(__xludf.DUMMYFUNCTION("TEXTJOIN(""|"",TRUE,UNIQUE(FILTER(SPLIT(F794,"" ""),LEN(SPLIT(F794,"" ""))&gt;2)))"),"остомер|настенный|остомер|используется|для|измерения|роста|зготовлен|виде|наклеек|размещаемых|стене|ысота|шкалы|составляет|около|135|атериал|нка")</f>
        <v>остомер|настенный|остомер|используется|для|измерения|роста|зготовлен|виде|наклеек|размещаемых|стене|ысота|шкалы|составляет|около|135|атериал|нка</v>
      </c>
      <c r="I794" s="1"/>
      <c r="J794" s="1"/>
    </row>
    <row r="795" spans="1:10" x14ac:dyDescent="0.2">
      <c r="A795" s="8" t="s">
        <v>1258</v>
      </c>
      <c r="B795" s="7" t="s">
        <v>1257</v>
      </c>
      <c r="C795" s="7" t="s">
        <v>1256</v>
      </c>
      <c r="D795" s="6">
        <v>200600</v>
      </c>
      <c r="E795" s="5">
        <v>6</v>
      </c>
      <c r="F795" s="4" t="str">
        <f ca="1">IFERROR(__xludf.DUMMYFUNCTION("LOWER(REGEXREPLACE(B795&amp;"" ""&amp;C795,""[^а-яa-z0-9 ]"","" ""))")," укомойник с коленным управлением ce dke50x40  ержавеющая сталь 430   араметры  500 400 310 mm")</f>
        <v xml:space="preserve"> укомойник с коленным управлением ce dke50x40  ержавеющая сталь 430   араметры  500 400 310 mm</v>
      </c>
      <c r="G795" s="4" t="str">
        <f ca="1">IFERROR(__xludf.DUMMYFUNCTION("TEXTJOIN(""|"",TRUE,UNIQUE(FILTER(SPLIT(F795,"" ""),LEN(SPLIT(F795,"" ""))&gt;2)))"),"укомойник|коленным|управлением|dke50x40|ержавеющая|сталь|430|араметры|500|400|310")</f>
        <v>укомойник|коленным|управлением|dke50x40|ержавеющая|сталь|430|араметры|500|400|310</v>
      </c>
      <c r="I795" s="1"/>
      <c r="J795" s="1"/>
    </row>
    <row r="796" spans="1:10" x14ac:dyDescent="0.2">
      <c r="A796" s="8" t="s">
        <v>1255</v>
      </c>
      <c r="B796" s="7" t="s">
        <v>1254</v>
      </c>
      <c r="C796" s="7" t="s">
        <v>1253</v>
      </c>
      <c r="D796" s="6">
        <v>15200</v>
      </c>
      <c r="E796" s="5">
        <v>1</v>
      </c>
      <c r="F796" s="4" t="str">
        <f ca="1">IFERROR(__xludf.DUMMYFUNCTION("LOWER(REGEXREPLACE(B796&amp;"" ""&amp;C796,""[^а-яa-z0-9 ]"","" ""))")," учная кукла животных  учные куклы животных предназначены для сюжетно ролевых игр  театрализованных занятий и развития речи   спользуются в коррекционной  игровой и образовательной деятельности ")</f>
        <v xml:space="preserve"> учная кукла животных  учные куклы животных предназначены для сюжетно ролевых игр  театрализованных занятий и развития речи   спользуются в коррекционной  игровой и образовательной деятельности </v>
      </c>
      <c r="G796" s="4" t="str">
        <f ca="1">IFERROR(__xludf.DUMMYFUNCTION("TEXTJOIN(""|"",TRUE,UNIQUE(FILTER(SPLIT(F796,"" ""),LEN(SPLIT(F796,"" ""))&gt;2)))"),"учная|кукла|животных|учные|куклы|животных|предназначены|для|сюжетно|ролевых|игр|театрализованных|занятий|развития|речи|спользуются|коррекционной|игровой|образовательной|деятельности")</f>
        <v>учная|кукла|животных|учные|куклы|животных|предназначены|для|сюжетно|ролевых|игр|театрализованных|занятий|развития|речи|спользуются|коррекционной|игровой|образовательной|деятельности</v>
      </c>
      <c r="I796" s="1"/>
      <c r="J796" s="1"/>
    </row>
    <row r="797" spans="1:10" x14ac:dyDescent="0.2">
      <c r="A797" s="8" t="s">
        <v>1252</v>
      </c>
      <c r="B797" s="7" t="s">
        <v>1251</v>
      </c>
      <c r="C797" s="7" t="s">
        <v>1250</v>
      </c>
      <c r="D797" s="6">
        <v>3600</v>
      </c>
      <c r="E797" s="5">
        <v>10</v>
      </c>
      <c r="F797" s="4" t="str">
        <f ca="1">IFERROR(__xludf.DUMMYFUNCTION("LOWER(REGEXREPLACE(B797&amp;"" ""&amp;C797,""[^а-яa-z0-9 ]"","" ""))")," алфетки  алфетки влажные и сухие предназначены для санитарно гигиенических нужд  ухода за поверхностями и соблюдения чистоты в помещениях дошкольного учреждения ")</f>
        <v xml:space="preserve"> алфетки  алфетки влажные и сухие предназначены для санитарно гигиенических нужд  ухода за поверхностями и соблюдения чистоты в помещениях дошкольного учреждения </v>
      </c>
      <c r="G797" s="4" t="str">
        <f ca="1">IFERROR(__xludf.DUMMYFUNCTION("TEXTJOIN(""|"",TRUE,UNIQUE(FILTER(SPLIT(F797,"" ""),LEN(SPLIT(F797,"" ""))&gt;2)))"),"алфетки|алфетки|влажные|сухие|предназначены|для|санитарно|гигиенических|нужд|ухода|поверхностями|соблюдения|чистоты|помещениях|дошкольного|учреждения")</f>
        <v>алфетки|алфетки|влажные|сухие|предназначены|для|санитарно|гигиенических|нужд|ухода|поверхностями|соблюдения|чистоты|помещениях|дошкольного|учреждения</v>
      </c>
      <c r="I797" s="1"/>
      <c r="J797" s="1"/>
    </row>
    <row r="798" spans="1:10" x14ac:dyDescent="0.2">
      <c r="A798" s="8" t="s">
        <v>1249</v>
      </c>
      <c r="B798" s="7" t="s">
        <v>1248</v>
      </c>
      <c r="C798" s="7" t="s">
        <v>1247</v>
      </c>
      <c r="D798" s="6">
        <v>123500</v>
      </c>
      <c r="E798" s="5">
        <v>5</v>
      </c>
      <c r="F798" s="4" t="str">
        <f ca="1">IFERROR(__xludf.DUMMYFUNCTION("LOWER(REGEXREPLACE(B798&amp;"" ""&amp;C798,""[^а-яa-z0-9 ]"","" ""))")," идропонная установка учебно демонстрационная  идропонная установка используется для наглядного выращивания растений без использования грунта   озволяет наблюдать процесс развития корневой системы и надземной части растений   абаритные размеры установки с"&amp;"оставляют не менее 205 205 50 мм   онструкция рассчитана на эксплуатацию в помещениях ")</f>
        <v xml:space="preserve"> идропонная установка учебно демонстрационная  идропонная установка используется для наглядного выращивания растений без использования грунта   озволяет наблюдать процесс развития корневой системы и надземной части растений   абаритные размеры установки составляют не менее 205 205 50 мм   онструкция рассчитана на эксплуатацию в помещениях </v>
      </c>
      <c r="G798" s="4" t="str">
        <f ca="1">IFERROR(__xludf.DUMMYFUNCTION("TEXTJOIN(""|"",TRUE,UNIQUE(FILTER(SPLIT(F798,"" ""),LEN(SPLIT(F798,"" ""))&gt;2)))"),"идропонная|установка|учебно|демонстрационная|идропонная|установка|используется|для|наглядного|выращивания|растений|без|использования|грунта|озволяет|наблюдать|процесс|развития|корневой|системы|надземной|части|растений|абаритные|размеры|установки|составляю"&amp;"т|менее|205|205|онструкция|рассчитана|эксплуатацию|помещениях")</f>
        <v>идропонная|установка|учебно|демонстрационная|идропонная|установка|используется|для|наглядного|выращивания|растений|без|использования|грунта|озволяет|наблюдать|процесс|развития|корневой|системы|надземной|части|растений|абаритные|размеры|установки|составляют|менее|205|205|онструкция|рассчитана|эксплуатацию|помещениях</v>
      </c>
      <c r="I798" s="1"/>
      <c r="J798" s="1"/>
    </row>
    <row r="799" spans="1:10" x14ac:dyDescent="0.2">
      <c r="A799" s="8" t="s">
        <v>1246</v>
      </c>
      <c r="B799" s="7" t="s">
        <v>1245</v>
      </c>
      <c r="C799" s="7" t="s">
        <v>1244</v>
      </c>
      <c r="D799" s="6">
        <v>24900</v>
      </c>
      <c r="E799" s="5">
        <v>1</v>
      </c>
      <c r="F799" s="4" t="str">
        <f ca="1">IFERROR(__xludf.DUMMYFUNCTION("LOWER(REGEXREPLACE(B799&amp;"" ""&amp;C799,""[^а-яa-z0-9 ]"","" ""))")," ан сауалды  жауабы   нциклопедиясы под ред      ренсис      ьюстон  перевод  арипова    ")</f>
        <v xml:space="preserve"> ан сауалды  жауабы   нциклопедиясы под ред      ренсис      ьюстон  перевод  арипова    </v>
      </c>
      <c r="G799" s="4" t="str">
        <f ca="1">IFERROR(__xludf.DUMMYFUNCTION("TEXTJOIN(""|"",TRUE,UNIQUE(FILTER(SPLIT(F799,"" ""),LEN(SPLIT(F799,"" ""))&gt;2)))"),"сауалды|жауабы|нциклопедиясы|под|ред|ренсис|ьюстон|перевод|арипова")</f>
        <v>сауалды|жауабы|нциклопедиясы|под|ред|ренсис|ьюстон|перевод|арипова</v>
      </c>
      <c r="I799" s="1"/>
      <c r="J799" s="1"/>
    </row>
    <row r="800" spans="1:10" x14ac:dyDescent="0.2">
      <c r="A800" s="8" t="s">
        <v>1243</v>
      </c>
      <c r="B800" s="7" t="s">
        <v>1242</v>
      </c>
      <c r="C800" s="7" t="s">
        <v>1239</v>
      </c>
      <c r="D800" s="6">
        <v>20000</v>
      </c>
      <c r="E800" s="5">
        <v>1</v>
      </c>
      <c r="F800" s="4" t="str">
        <f ca="1">IFERROR(__xludf.DUMMYFUNCTION("LOWER(REGEXREPLACE(B800&amp;"" ""&amp;C800,""[^а-яa-z0-9 ]"","" ""))")," аят   азахская традиционная охота   рус   англ    инаят   ")</f>
        <v xml:space="preserve"> аят   азахская традиционная охота   рус   англ    инаят   </v>
      </c>
      <c r="G800" s="4" t="str">
        <f ca="1">IFERROR(__xludf.DUMMYFUNCTION("TEXTJOIN(""|"",TRUE,UNIQUE(FILTER(SPLIT(F800,"" ""),LEN(SPLIT(F800,"" ""))&gt;2)))"),"аят|азахская|традиционная|охота|рус|англ|инаят")</f>
        <v>аят|азахская|традиционная|охота|рус|англ|инаят</v>
      </c>
      <c r="I800" s="1"/>
      <c r="J800" s="1"/>
    </row>
    <row r="801" spans="1:10" x14ac:dyDescent="0.2">
      <c r="A801" s="8" t="s">
        <v>1241</v>
      </c>
      <c r="B801" s="7" t="s">
        <v>1240</v>
      </c>
      <c r="C801" s="7" t="s">
        <v>1239</v>
      </c>
      <c r="D801" s="6">
        <v>20000</v>
      </c>
      <c r="E801" s="5">
        <v>1</v>
      </c>
      <c r="F801" s="4" t="str">
        <f ca="1">IFERROR(__xludf.DUMMYFUNCTION("LOWER(REGEXREPLACE(B801&amp;"" ""&amp;C801,""[^а-яa-z0-9 ]"","" ""))")," аятшылы    аза ты  д стурл  аншылы ы  каз   англ    инаят   ")</f>
        <v xml:space="preserve"> аятшылы    аза ты  д стурл  аншылы ы  каз   англ    инаят   </v>
      </c>
      <c r="G801" s="4" t="str">
        <f ca="1">IFERROR(__xludf.DUMMYFUNCTION("TEXTJOIN(""|"",TRUE,UNIQUE(FILTER(SPLIT(F801,"" ""),LEN(SPLIT(F801,"" ""))&gt;2)))"),"аятшылы|аза|стурл|аншылы|каз|англ|инаят")</f>
        <v>аятшылы|аза|стурл|аншылы|каз|англ|инаят</v>
      </c>
      <c r="I801" s="1"/>
      <c r="J801" s="1"/>
    </row>
    <row r="802" spans="1:10" x14ac:dyDescent="0.2">
      <c r="A802" s="8" t="s">
        <v>1238</v>
      </c>
      <c r="B802" s="7" t="s">
        <v>1237</v>
      </c>
      <c r="C802" s="7" t="s">
        <v>1236</v>
      </c>
      <c r="D802" s="6">
        <v>34700</v>
      </c>
      <c r="E802" s="5">
        <v>5</v>
      </c>
      <c r="F802" s="4" t="str">
        <f ca="1">IFERROR(__xludf.DUMMYFUNCTION("LOWER(REGEXREPLACE(B802&amp;"" ""&amp;C802,""[^а-яa-z0-9 ]"","" ""))"),"  улетш    гра    улетш   включает в себя 200 шт палочки  инструкцию")</f>
        <v xml:space="preserve">  улетш    гра    улетш   включает в себя 200 шт палочки  инструкцию</v>
      </c>
      <c r="G802" s="4" t="str">
        <f ca="1">IFERROR(__xludf.DUMMYFUNCTION("TEXTJOIN(""|"",TRUE,UNIQUE(FILTER(SPLIT(F802,"" ""),LEN(SPLIT(F802,"" ""))&gt;2)))"),"улетш|гра|улетш|включает|себя|200|палочки|инструкцию")</f>
        <v>улетш|гра|улетш|включает|себя|200|палочки|инструкцию</v>
      </c>
      <c r="I802" s="1"/>
      <c r="J802" s="1"/>
    </row>
    <row r="803" spans="1:10" x14ac:dyDescent="0.2">
      <c r="A803" s="8" t="s">
        <v>1235</v>
      </c>
      <c r="B803" s="7" t="s">
        <v>1234</v>
      </c>
      <c r="C803" s="7" t="s">
        <v>1233</v>
      </c>
      <c r="D803" s="6">
        <v>5200</v>
      </c>
      <c r="E803" s="5">
        <v>1</v>
      </c>
      <c r="F803" s="4" t="str">
        <f ca="1">IFERROR(__xludf.DUMMYFUNCTION("LOWER(REGEXREPLACE(B803&amp;"" ""&amp;C803,""[^а-яa-z0-9 ]"","" ""))")," борник стихов к 110 летию поэта   ажибаев      ухани жа  ыру   ажибаев   ")</f>
        <v xml:space="preserve"> борник стихов к 110 летию поэта   ажибаев      ухани жа  ыру   ажибаев   </v>
      </c>
      <c r="G803" s="4" t="str">
        <f ca="1">IFERROR(__xludf.DUMMYFUNCTION("TEXTJOIN(""|"",TRUE,UNIQUE(FILTER(SPLIT(F803,"" ""),LEN(SPLIT(F803,"" ""))&gt;2)))"),"борник|стихов|110|летию|поэта|ажибаев|ухани|ыру|ажибаев")</f>
        <v>борник|стихов|110|летию|поэта|ажибаев|ухани|ыру|ажибаев</v>
      </c>
      <c r="I803" s="1"/>
      <c r="J803" s="1"/>
    </row>
    <row r="804" spans="1:10" x14ac:dyDescent="0.2">
      <c r="A804" s="8" t="s">
        <v>1232</v>
      </c>
      <c r="B804" s="7" t="s">
        <v>1231</v>
      </c>
      <c r="C804" s="7" t="s">
        <v>757</v>
      </c>
      <c r="D804" s="6">
        <v>8000</v>
      </c>
      <c r="E804" s="5">
        <v>1</v>
      </c>
      <c r="F804" s="4" t="str">
        <f ca="1">IFERROR(__xludf.DUMMYFUNCTION("LOWER(REGEXREPLACE(B804&amp;"" ""&amp;C804,""[^а-яa-z0-9 ]"","" ""))")," ветлые дни  о    омышулы   хметова   ")</f>
        <v xml:space="preserve"> ветлые дни  о    омышулы   хметова   </v>
      </c>
      <c r="G804" s="4" t="str">
        <f ca="1">IFERROR(__xludf.DUMMYFUNCTION("TEXTJOIN(""|"",TRUE,UNIQUE(FILTER(SPLIT(F804,"" ""),LEN(SPLIT(F804,"" ""))&gt;2)))"),"ветлые|дни|омышулы|хметова")</f>
        <v>ветлые|дни|омышулы|хметова</v>
      </c>
      <c r="I804" s="1"/>
      <c r="J804" s="1"/>
    </row>
    <row r="805" spans="1:10" x14ac:dyDescent="0.2">
      <c r="A805" s="8" t="s">
        <v>1230</v>
      </c>
      <c r="B805" s="7" t="s">
        <v>1229</v>
      </c>
      <c r="C805" s="7" t="s">
        <v>1226</v>
      </c>
      <c r="D805" s="6">
        <v>2900</v>
      </c>
      <c r="E805" s="5">
        <v>60</v>
      </c>
      <c r="F805" s="4" t="str">
        <f ca="1">IFERROR(__xludf.DUMMYFUNCTION("LOWER(REGEXREPLACE(B805&amp;"" ""&amp;C805,""[^а-яa-z0-9 ]"","" ""))")," ветодиодная лента для оформления с пультом      екоративная     подсветка с возможностью смены цветов и режимов свечения   правляется дистанционным пультом   спользуется для создания расслабляющей атмосферы ")</f>
        <v xml:space="preserve"> ветодиодная лента для оформления с пультом      екоративная     подсветка с возможностью смены цветов и режимов свечения   правляется дистанционным пультом   спользуется для создания расслабляющей атмосферы </v>
      </c>
      <c r="G805" s="4" t="str">
        <f ca="1">IFERROR(__xludf.DUMMYFUNCTION("TEXTJOIN(""|"",TRUE,UNIQUE(FILTER(SPLIT(F805,"" ""),LEN(SPLIT(F805,"" ""))&gt;2)))"),"ветодиодная|лента|для|оформления|пультом|екоративная|подсветка|возможностью|смены|цветов|режимов|свечения|правляется|дистанционным|пультом|спользуется|для|создания|расслабляющей|атмосферы")</f>
        <v>ветодиодная|лента|для|оформления|пультом|екоративная|подсветка|возможностью|смены|цветов|режимов|свечения|правляется|дистанционным|пультом|спользуется|для|создания|расслабляющей|атмосферы</v>
      </c>
      <c r="I805" s="1"/>
      <c r="J805" s="1"/>
    </row>
    <row r="806" spans="1:10" x14ac:dyDescent="0.2">
      <c r="A806" s="8" t="s">
        <v>1228</v>
      </c>
      <c r="B806" s="7" t="s">
        <v>1227</v>
      </c>
      <c r="C806" s="7" t="s">
        <v>1226</v>
      </c>
      <c r="D806" s="6">
        <v>2900</v>
      </c>
      <c r="E806" s="5">
        <v>65</v>
      </c>
      <c r="F806" s="4" t="str">
        <f ca="1">IFERROR(__xludf.DUMMYFUNCTION("LOWER(REGEXREPLACE(B806&amp;"" ""&amp;C806,""[^а-яa-z0-9 ]"","" ""))")," ветодиодная лента     с пультом  екоративная     подсветка с возможностью смены цветов и режимов свечения   правляется дистанционным пультом   спользуется для создания расслабляющей атмосферы ")</f>
        <v xml:space="preserve"> ветодиодная лента     с пультом  екоративная     подсветка с возможностью смены цветов и режимов свечения   правляется дистанционным пультом   спользуется для создания расслабляющей атмосферы </v>
      </c>
      <c r="G806" s="4" t="str">
        <f ca="1">IFERROR(__xludf.DUMMYFUNCTION("TEXTJOIN(""|"",TRUE,UNIQUE(FILTER(SPLIT(F806,"" ""),LEN(SPLIT(F806,"" ""))&gt;2)))"),"ветодиодная|лента|пультом|екоративная|подсветка|возможностью|смены|цветов|режимов|свечения|правляется|дистанционным|пультом|спользуется|для|создания|расслабляющей|атмосферы")</f>
        <v>ветодиодная|лента|пультом|екоративная|подсветка|возможностью|смены|цветов|режимов|свечения|правляется|дистанционным|пультом|спользуется|для|создания|расслабляющей|атмосферы</v>
      </c>
      <c r="I806" s="1"/>
      <c r="J806" s="1"/>
    </row>
    <row r="807" spans="1:10" x14ac:dyDescent="0.2">
      <c r="A807" s="8" t="s">
        <v>1225</v>
      </c>
      <c r="B807" s="7" t="s">
        <v>1224</v>
      </c>
      <c r="C807" s="7" t="s">
        <v>1223</v>
      </c>
      <c r="D807" s="6">
        <v>1600</v>
      </c>
      <c r="E807" s="5">
        <v>4</v>
      </c>
      <c r="F807" s="4" t="str">
        <f ca="1">IFERROR(__xludf.DUMMYFUNCTION("LOWER(REGEXREPLACE(B807&amp;"" ""&amp;C807,""[^а-яa-z0-9 ]"","" ""))")," висток  висток предназначен для подачи звуковых сигналов во время подвижных игр  занятий по физическому развитию и организации дисциплины   зготовлен из безопасных материалов  прост в использовании  устойчив к частому применению ")</f>
        <v xml:space="preserve"> висток  висток предназначен для подачи звуковых сигналов во время подвижных игр  занятий по физическому развитию и организации дисциплины   зготовлен из безопасных материалов  прост в использовании  устойчив к частому применению </v>
      </c>
      <c r="G807" s="4" t="str">
        <f ca="1">IFERROR(__xludf.DUMMYFUNCTION("TEXTJOIN(""|"",TRUE,UNIQUE(FILTER(SPLIT(F807,"" ""),LEN(SPLIT(F807,"" ""))&gt;2)))"),"висток|висток|предназначен|для|подачи|звуковых|сигналов|время|подвижных|игр|занятий|физическому|развитию|организации|дисциплины|зготовлен|безопасных|материалов|прост|использовании|устойчив|частому|применению")</f>
        <v>висток|висток|предназначен|для|подачи|звуковых|сигналов|время|подвижных|игр|занятий|физическому|развитию|организации|дисциплины|зготовлен|безопасных|материалов|прост|использовании|устойчив|частому|применению</v>
      </c>
      <c r="I807" s="1"/>
      <c r="J807" s="1"/>
    </row>
    <row r="808" spans="1:10" x14ac:dyDescent="0.2">
      <c r="A808" s="8" t="s">
        <v>1222</v>
      </c>
      <c r="B808" s="7" t="s">
        <v>1221</v>
      </c>
      <c r="C808" s="7" t="s">
        <v>1220</v>
      </c>
      <c r="D808" s="6">
        <v>67200</v>
      </c>
      <c r="E808" s="5">
        <v>1</v>
      </c>
      <c r="F808" s="4" t="str">
        <f ca="1">IFERROR(__xludf.DUMMYFUNCTION("LOWER(REGEXREPLACE(B808&amp;"" ""&amp;C808,""[^а-яa-z0-9 ]"","" ""))")," имнастическая скамейка  имнастическая скамейка используется при выполнении физических упражнений и двигательных заданий   редставляет собой устойчивую опорную конструкцию   лина изделия  240 см  ширина   24 см  высота   30 см   ассчитана на нагрузку до 1"&amp;"00 кг ")</f>
        <v xml:space="preserve"> имнастическая скамейка  имнастическая скамейка используется при выполнении физических упражнений и двигательных заданий   редставляет собой устойчивую опорную конструкцию   лина изделия  240 см  ширина   24 см  высота   30 см   ассчитана на нагрузку до 100 кг </v>
      </c>
      <c r="G808" s="4" t="str">
        <f ca="1">IFERROR(__xludf.DUMMYFUNCTION("TEXTJOIN(""|"",TRUE,UNIQUE(FILTER(SPLIT(F808,"" ""),LEN(SPLIT(F808,"" ""))&gt;2)))"),"имнастическая|скамейка|имнастическая|скамейка|используется|при|выполнении|физических|упражнений|двигательных|заданий|редставляет|собой|устойчивую|опорную|конструкцию|лина|изделия|240|ширина|высота|ассчитана|нагрузку|100")</f>
        <v>имнастическая|скамейка|имнастическая|скамейка|используется|при|выполнении|физических|упражнений|двигательных|заданий|редставляет|собой|устойчивую|опорную|конструкцию|лина|изделия|240|ширина|высота|ассчитана|нагрузку|100</v>
      </c>
      <c r="I808" s="1"/>
      <c r="J808" s="1"/>
    </row>
    <row r="809" spans="1:10" x14ac:dyDescent="0.2">
      <c r="A809" s="8" t="s">
        <v>1219</v>
      </c>
      <c r="B809" s="7" t="s">
        <v>1218</v>
      </c>
      <c r="C809" s="7" t="s">
        <v>1217</v>
      </c>
      <c r="D809" s="6">
        <v>540000</v>
      </c>
      <c r="E809" s="5">
        <v>1</v>
      </c>
      <c r="F809" s="4" t="str">
        <f ca="1">IFERROR(__xludf.DUMMYFUNCTION("LOWER(REGEXREPLACE(B809&amp;"" ""&amp;C809,""[^а-яa-z0-9 ]"","" ""))")," ейф несгораемый  есгораемый сейф предназначен для хранения важных документов и ценностей   беспечивает защиту содержимого от огня и механических воздействий ")</f>
        <v xml:space="preserve"> ейф несгораемый  есгораемый сейф предназначен для хранения важных документов и ценностей   беспечивает защиту содержимого от огня и механических воздействий </v>
      </c>
      <c r="G809" s="4" t="str">
        <f ca="1">IFERROR(__xludf.DUMMYFUNCTION("TEXTJOIN(""|"",TRUE,UNIQUE(FILTER(SPLIT(F809,"" ""),LEN(SPLIT(F809,"" ""))&gt;2)))"),"ейф|несгораемый|есгораемый|сейф|предназначен|для|хранения|важных|документов|ценностей|беспечивает|защиту|содержимого|огня|механических|воздействий")</f>
        <v>ейф|несгораемый|есгораемый|сейф|предназначен|для|хранения|важных|документов|ценностей|беспечивает|защиту|содержимого|огня|механических|воздействий</v>
      </c>
      <c r="I809" s="1"/>
      <c r="J809" s="1"/>
    </row>
    <row r="810" spans="1:10" x14ac:dyDescent="0.2">
      <c r="A810" s="8" t="s">
        <v>1216</v>
      </c>
      <c r="B810" s="7" t="s">
        <v>1215</v>
      </c>
      <c r="C810" s="7" t="s">
        <v>1214</v>
      </c>
      <c r="D810" s="6">
        <v>10500</v>
      </c>
      <c r="E810" s="5">
        <v>1</v>
      </c>
      <c r="F810" s="4" t="str">
        <f ca="1">IFERROR(__xludf.DUMMYFUNCTION("LOWER(REGEXREPLACE(B810&amp;"" ""&amp;C810,""[^а-яa-z0-9 ]"","" ""))")," енсорные звуковые цилиндры  енсорные звуковые цилиндры предназначены для развития слухового восприятия  внимания и различения звуков   спользуются в сенсорных и коррекционных занятиях ")</f>
        <v xml:space="preserve"> енсорные звуковые цилиндры  енсорные звуковые цилиндры предназначены для развития слухового восприятия  внимания и различения звуков   спользуются в сенсорных и коррекционных занятиях </v>
      </c>
      <c r="G810" s="4" t="str">
        <f ca="1">IFERROR(__xludf.DUMMYFUNCTION("TEXTJOIN(""|"",TRUE,UNIQUE(FILTER(SPLIT(F810,"" ""),LEN(SPLIT(F810,"" ""))&gt;2)))"),"енсорные|звуковые|цилиндры|енсорные|звуковые|цилиндры|предназначены|для|развития|слухового|восприятия|внимания|различения|звуков|спользуются|сенсорных|коррекционных|занятиях")</f>
        <v>енсорные|звуковые|цилиндры|енсорные|звуковые|цилиндры|предназначены|для|развития|слухового|восприятия|внимания|различения|звуков|спользуются|сенсорных|коррекционных|занятиях</v>
      </c>
      <c r="I810" s="1"/>
      <c r="J810" s="1"/>
    </row>
    <row r="811" spans="1:10" x14ac:dyDescent="0.2">
      <c r="A811" s="8" t="s">
        <v>1213</v>
      </c>
      <c r="B811" s="7" t="s">
        <v>1212</v>
      </c>
      <c r="C811" s="7" t="s">
        <v>1211</v>
      </c>
      <c r="D811" s="6">
        <v>28400</v>
      </c>
      <c r="E811" s="5">
        <v>7</v>
      </c>
      <c r="F811" s="4" t="str">
        <f ca="1">IFERROR(__xludf.DUMMYFUNCTION("LOWER(REGEXREPLACE(B811&amp;"" ""&amp;C811,""[^а-яa-z0-9 ]"","" ""))")," енсорный лоток для настольных игр  енсорный лоток используется для организации настольных и тактильных игровых занятий   рименяется для размещения сыпучих  мелких и формообразующих материалов    процессе работы выполняются действия по пересыпанию  сортир"&amp;"овке и выкладыванию   онструкция выполнена из дерева и рассчитана на совместную деятельность ")</f>
        <v xml:space="preserve"> енсорный лоток для настольных игр  енсорный лоток используется для организации настольных и тактильных игровых занятий   рименяется для размещения сыпучих  мелких и формообразующих материалов    процессе работы выполняются действия по пересыпанию  сортировке и выкладыванию   онструкция выполнена из дерева и рассчитана на совместную деятельность </v>
      </c>
      <c r="G811" s="4" t="str">
        <f ca="1">IFERROR(__xludf.DUMMYFUNCTION("TEXTJOIN(""|"",TRUE,UNIQUE(FILTER(SPLIT(F811,"" ""),LEN(SPLIT(F811,"" ""))&gt;2)))"),"енсорный|лоток|для|настольных|игр|енсорный|лоток|используется|для|организации|настольных|тактильных|игровых|занятий|рименяется|для|размещения|сыпучих|мелких|формообразующих|материалов|процессе|работы|выполняются|действия|пересыпанию|сортировке|выкладывани"&amp;"ю|онструкция|выполнена|дерева|рассчитана|совместную|деятельность")</f>
        <v>енсорный|лоток|для|настольных|игр|енсорный|лоток|используется|для|организации|настольных|тактильных|игровых|занятий|рименяется|для|размещения|сыпучих|мелких|формообразующих|материалов|процессе|работы|выполняются|действия|пересыпанию|сортировке|выкладыванию|онструкция|выполнена|дерева|рассчитана|совместную|деятельность</v>
      </c>
      <c r="I811" s="1"/>
      <c r="J811" s="1"/>
    </row>
    <row r="812" spans="1:10" x14ac:dyDescent="0.2">
      <c r="A812" s="8" t="s">
        <v>1210</v>
      </c>
      <c r="B812" s="7" t="s">
        <v>1209</v>
      </c>
      <c r="C812" s="7" t="s">
        <v>1208</v>
      </c>
      <c r="D812" s="6">
        <v>256900</v>
      </c>
      <c r="E812" s="5">
        <v>1</v>
      </c>
      <c r="F812" s="4" t="str">
        <f ca="1">IFERROR(__xludf.DUMMYFUNCTION("LOWER(REGEXREPLACE(B812&amp;"" ""&amp;C812,""[^а-яa-z0-9 ]"","" ""))")," енсорный стол с песком  енсорный стол с песком используется в психологической и коррекционной работе   азвивает тактильную чувствительность  мелкую моторику  внимание и способствует эмоциональной стабилизации ")</f>
        <v xml:space="preserve"> енсорный стол с песком  енсорный стол с песком используется в психологической и коррекционной работе   азвивает тактильную чувствительность  мелкую моторику  внимание и способствует эмоциональной стабилизации </v>
      </c>
      <c r="G812" s="4" t="str">
        <f ca="1">IFERROR(__xludf.DUMMYFUNCTION("TEXTJOIN(""|"",TRUE,UNIQUE(FILTER(SPLIT(F812,"" ""),LEN(SPLIT(F812,"" ""))&gt;2)))"),"енсорный|стол|песком|енсорный|стол|песком|используется|психологической|коррекционной|работе|азвивает|тактильную|чувствительность|мелкую|моторику|внимание|способствует|эмоциональной|стабилизации")</f>
        <v>енсорный|стол|песком|енсорный|стол|песком|используется|психологической|коррекционной|работе|азвивает|тактильную|чувствительность|мелкую|моторику|внимание|способствует|эмоциональной|стабилизации</v>
      </c>
      <c r="I812" s="1"/>
      <c r="J812" s="1"/>
    </row>
    <row r="813" spans="1:10" x14ac:dyDescent="0.2">
      <c r="A813" s="8" t="s">
        <v>1207</v>
      </c>
      <c r="B813" s="7" t="s">
        <v>1206</v>
      </c>
      <c r="C813" s="7" t="s">
        <v>1205</v>
      </c>
      <c r="D813" s="6">
        <v>12400</v>
      </c>
      <c r="E813" s="5">
        <v>1</v>
      </c>
      <c r="F813" s="4" t="str">
        <f ca="1">IFERROR(__xludf.DUMMYFUNCTION("LOWER(REGEXREPLACE(B813&amp;"" ""&amp;C813,""[^а-яa-z0-9 ]"","" ""))")," ерии картинок   ремена года   идактический комплект предназначен для формирования представлений о временах года  природе  жизни животных и деятельности людей   спользуется в образовательной работе  соответствует возрастным особенностям детей ")</f>
        <v xml:space="preserve"> ерии картинок   ремена года   идактический комплект предназначен для формирования представлений о временах года  природе  жизни животных и деятельности людей   спользуется в образовательной работе  соответствует возрастным особенностям детей </v>
      </c>
      <c r="G813" s="4" t="str">
        <f ca="1">IFERROR(__xludf.DUMMYFUNCTION("TEXTJOIN(""|"",TRUE,UNIQUE(FILTER(SPLIT(F813,"" ""),LEN(SPLIT(F813,"" ""))&gt;2)))"),"ерии|картинок|ремена|года|идактический|комплект|предназначен|для|формирования|представлений|временах|года|природе|жизни|животных|деятельности|людей|спользуется|образовательной|работе|соответствует|возрастным|особенностям|детей")</f>
        <v>ерии|картинок|ремена|года|идактический|комплект|предназначен|для|формирования|представлений|временах|года|природе|жизни|животных|деятельности|людей|спользуется|образовательной|работе|соответствует|возрастным|особенностям|детей</v>
      </c>
      <c r="I813" s="1"/>
      <c r="J813" s="1"/>
    </row>
    <row r="814" spans="1:10" x14ac:dyDescent="0.2">
      <c r="A814" s="8" t="s">
        <v>1204</v>
      </c>
      <c r="B814" s="7" t="s">
        <v>1203</v>
      </c>
      <c r="C814" s="7"/>
      <c r="D814" s="6">
        <v>16300</v>
      </c>
      <c r="E814" s="5">
        <v>1</v>
      </c>
      <c r="F814" s="4" t="str">
        <f ca="1">IFERROR(__xludf.DUMMYFUNCTION("LOWER(REGEXREPLACE(B814&amp;"" ""&amp;C814,""[^а-яa-z0-9 ]"","" ""))")," ерия   ектеп кiтапханасы      кольная библиотека  ")</f>
        <v xml:space="preserve"> ерия   ектеп кiтапханасы      кольная библиотека  </v>
      </c>
      <c r="G814" s="4" t="str">
        <f ca="1">IFERROR(__xludf.DUMMYFUNCTION("TEXTJOIN(""|"",TRUE,UNIQUE(FILTER(SPLIT(F814,"" ""),LEN(SPLIT(F814,"" ""))&gt;2)))"),"ерия|ектеп|кiтапханасы|кольная|библиотека")</f>
        <v>ерия|ектеп|кiтапханасы|кольная|библиотека</v>
      </c>
      <c r="I814" s="1"/>
      <c r="J814" s="1"/>
    </row>
    <row r="815" spans="1:10" x14ac:dyDescent="0.2">
      <c r="A815" s="8" t="s">
        <v>1202</v>
      </c>
      <c r="B815" s="7" t="s">
        <v>1201</v>
      </c>
      <c r="C815" s="7" t="s">
        <v>1200</v>
      </c>
      <c r="D815" s="6">
        <v>8000</v>
      </c>
      <c r="E815" s="5">
        <v>1</v>
      </c>
      <c r="F815" s="4" t="str">
        <f ca="1">IFERROR(__xludf.DUMMYFUNCTION("LOWER(REGEXREPLACE(B815&amp;"" ""&amp;C815,""[^а-яa-z0-9 ]"","" ""))")," и ырлы математика   атематика  м рд   барлы  саласында  олл  ж ")</f>
        <v xml:space="preserve"> и ырлы математика   атематика  м рд   барлы  саласында  олл  ж </v>
      </c>
      <c r="G815" s="4" t="str">
        <f ca="1">IFERROR(__xludf.DUMMYFUNCTION("TEXTJOIN(""|"",TRUE,UNIQUE(FILTER(SPLIT(F815,"" ""),LEN(SPLIT(F815,"" ""))&gt;2)))"),"ырлы|математика|атематика|барлы|саласында|олл")</f>
        <v>ырлы|математика|атематика|барлы|саласында|олл</v>
      </c>
      <c r="I815" s="1"/>
      <c r="J815" s="1"/>
    </row>
    <row r="816" spans="1:10" x14ac:dyDescent="0.2">
      <c r="A816" s="8" t="s">
        <v>1199</v>
      </c>
      <c r="B816" s="7" t="s">
        <v>1198</v>
      </c>
      <c r="C816" s="7" t="s">
        <v>1197</v>
      </c>
      <c r="D816" s="6">
        <v>4000</v>
      </c>
      <c r="E816" s="5">
        <v>20</v>
      </c>
      <c r="F816" s="4" t="str">
        <f ca="1">IFERROR(__xludf.DUMMYFUNCTION("LOWER(REGEXREPLACE(B816&amp;"" ""&amp;C816,""[^а-яa-z0-9 ]"","" ""))")," лина для лепки  лина используется для лепки и формообразования   одходит для ручной работы и использования на гончарном круге   атериал самозатвердевающий  нетоксичный и готовый к применению   рименяется при выполнении творческих и художественных работ ")</f>
        <v xml:space="preserve"> лина для лепки  лина используется для лепки и формообразования   одходит для ручной работы и использования на гончарном круге   атериал самозатвердевающий  нетоксичный и готовый к применению   рименяется при выполнении творческих и художественных работ </v>
      </c>
      <c r="G816" s="4" t="str">
        <f ca="1">IFERROR(__xludf.DUMMYFUNCTION("TEXTJOIN(""|"",TRUE,UNIQUE(FILTER(SPLIT(F816,"" ""),LEN(SPLIT(F816,"" ""))&gt;2)))"),"лина|для|лепки|лина|используется|для|лепки|формообразования|одходит|для|ручной|работы|использования|гончарном|круге|атериал|самозатвердевающий|нетоксичный|готовый|применению|рименяется|при|выполнении|творческих|художественных|работ")</f>
        <v>лина|для|лепки|лина|используется|для|лепки|формообразования|одходит|для|ручной|работы|использования|гончарном|круге|атериал|самозатвердевающий|нетоксичный|готовый|применению|рименяется|при|выполнении|творческих|художественных|работ</v>
      </c>
      <c r="I816" s="1"/>
      <c r="J816" s="1"/>
    </row>
    <row r="817" spans="1:10" x14ac:dyDescent="0.2">
      <c r="A817" s="8" t="s">
        <v>1196</v>
      </c>
      <c r="B817" s="7" t="s">
        <v>1195</v>
      </c>
      <c r="C817" s="7" t="s">
        <v>1194</v>
      </c>
      <c r="D817" s="6">
        <v>3000</v>
      </c>
      <c r="E817" s="5">
        <v>25</v>
      </c>
      <c r="F817" s="4" t="str">
        <f ca="1">IFERROR(__xludf.DUMMYFUNCTION("LOWER(REGEXREPLACE(B817&amp;"" ""&amp;C817,""[^а-яa-z0-9 ]"","" ""))")," какалки  по возрасту   какалки предназначены для занятий физической культурой и подвижных игр   одбираются по возрасту детей  способствуют развитию координации  выносливости и моторики ")</f>
        <v xml:space="preserve"> какалки  по возрасту   какалки предназначены для занятий физической культурой и подвижных игр   одбираются по возрасту детей  способствуют развитию координации  выносливости и моторики </v>
      </c>
      <c r="G817" s="4" t="str">
        <f ca="1">IFERROR(__xludf.DUMMYFUNCTION("TEXTJOIN(""|"",TRUE,UNIQUE(FILTER(SPLIT(F817,"" ""),LEN(SPLIT(F817,"" ""))&gt;2)))"),"какалки|возрасту|какалки|предназначены|для|занятий|физической|культурой|подвижных|игр|одбираются|возрасту|детей|способствуют|развитию|координации|выносливости|моторики")</f>
        <v>какалки|возрасту|какалки|предназначены|для|занятий|физической|культурой|подвижных|игр|одбираются|возрасту|детей|способствуют|развитию|координации|выносливости|моторики</v>
      </c>
      <c r="I817" s="1"/>
      <c r="J817" s="1"/>
    </row>
    <row r="818" spans="1:10" x14ac:dyDescent="0.2">
      <c r="A818" s="8" t="s">
        <v>1193</v>
      </c>
      <c r="B818" s="7" t="s">
        <v>1192</v>
      </c>
      <c r="C818" s="7" t="s">
        <v>1191</v>
      </c>
      <c r="D818" s="6">
        <v>4400</v>
      </c>
      <c r="E818" s="5">
        <v>10</v>
      </c>
      <c r="F818" s="4" t="str">
        <f ca="1">IFERROR(__xludf.DUMMYFUNCTION("LOWER(REGEXREPLACE(B818&amp;"" ""&amp;C818,""[^а-яa-z0-9 ]"","" ""))")," калка для творчества  калка предназначена для лепки из пластилина  теста и глины   зготовлена из безопасных материалов  используется в творческой и изобразительной деятельности ")</f>
        <v xml:space="preserve"> калка для творчества  калка предназначена для лепки из пластилина  теста и глины   зготовлена из безопасных материалов  используется в творческой и изобразительной деятельности </v>
      </c>
      <c r="G818" s="4" t="str">
        <f ca="1">IFERROR(__xludf.DUMMYFUNCTION("TEXTJOIN(""|"",TRUE,UNIQUE(FILTER(SPLIT(F818,"" ""),LEN(SPLIT(F818,"" ""))&gt;2)))"),"калка|для|творчества|калка|предназначена|для|лепки|пластилина|теста|глины|зготовлена|безопасных|материалов|используется|творческой|изобразительной|деятельности")</f>
        <v>калка|для|творчества|калка|предназначена|для|лепки|пластилина|теста|глины|зготовлена|безопасных|материалов|используется|творческой|изобразительной|деятельности</v>
      </c>
      <c r="I818" s="1"/>
      <c r="J818" s="1"/>
    </row>
    <row r="819" spans="1:10" x14ac:dyDescent="0.2">
      <c r="A819" s="8" t="s">
        <v>1190</v>
      </c>
      <c r="B819" s="7" t="s">
        <v>1189</v>
      </c>
      <c r="C819" s="7" t="s">
        <v>1188</v>
      </c>
      <c r="D819" s="6">
        <v>13600</v>
      </c>
      <c r="E819" s="5">
        <v>5</v>
      </c>
      <c r="F819" s="4" t="str">
        <f ca="1">IFERROR(__xludf.DUMMYFUNCTION("LOWER(REGEXREPLACE(B819&amp;"" ""&amp;C819,""[^а-яa-z0-9 ]"","" ""))")," катерть на стол  катерть предназначена для защиты поверхности стола и оформления пространства   зготовлена из износостойкого материала  легко очищается ")</f>
        <v xml:space="preserve"> катерть на стол  катерть предназначена для защиты поверхности стола и оформления пространства   зготовлена из износостойкого материала  легко очищается </v>
      </c>
      <c r="G819" s="4" t="str">
        <f ca="1">IFERROR(__xludf.DUMMYFUNCTION("TEXTJOIN(""|"",TRUE,UNIQUE(FILTER(SPLIT(F819,"" ""),LEN(SPLIT(F819,"" ""))&gt;2)))"),"катерть|стол|катерть|предназначена|для|защиты|поверхности|стола|оформления|пространства|зготовлена|износостойкого|материала|легко|очищается")</f>
        <v>катерть|стол|катерть|предназначена|для|защиты|поверхности|стола|оформления|пространства|зготовлена|износостойкого|материала|легко|очищается</v>
      </c>
      <c r="I819" s="1"/>
      <c r="J819" s="1"/>
    </row>
    <row r="820" spans="1:10" x14ac:dyDescent="0.2">
      <c r="A820" s="8" t="s">
        <v>1187</v>
      </c>
      <c r="B820" s="7" t="s">
        <v>1186</v>
      </c>
      <c r="C820" s="7" t="s">
        <v>1185</v>
      </c>
      <c r="D820" s="6">
        <v>15400</v>
      </c>
      <c r="E820" s="5">
        <v>2</v>
      </c>
      <c r="F820" s="4" t="str">
        <f ca="1">IFERROR(__xludf.DUMMYFUNCTION("LOWER(REGEXREPLACE(B820&amp;"" ""&amp;C820,""[^а-яa-z0-9 ]"","" ""))")," кейтборд  пенниборд   кейтборд предназначен для активного отдыха и развития координации движений   спользуется под контролем взрослых в специально отвед нных зонах ")</f>
        <v xml:space="preserve"> кейтборд  пенниборд   кейтборд предназначен для активного отдыха и развития координации движений   спользуется под контролем взрослых в специально отвед нных зонах </v>
      </c>
      <c r="G820" s="4" t="str">
        <f ca="1">IFERROR(__xludf.DUMMYFUNCTION("TEXTJOIN(""|"",TRUE,UNIQUE(FILTER(SPLIT(F820,"" ""),LEN(SPLIT(F820,"" ""))&gt;2)))"),"кейтборд|пенниборд|кейтборд|предназначен|для|активного|отдыха|развития|координации|движений|спользуется|под|контролем|взрослых|специально|отвед|нных|зонах")</f>
        <v>кейтборд|пенниборд|кейтборд|предназначен|для|активного|отдыха|развития|координации|движений|спользуется|под|контролем|взрослых|специально|отвед|нных|зонах</v>
      </c>
      <c r="I820" s="1"/>
      <c r="J820" s="1"/>
    </row>
    <row r="821" spans="1:10" x14ac:dyDescent="0.2">
      <c r="A821" s="8" t="s">
        <v>1184</v>
      </c>
      <c r="B821" s="7" t="s">
        <v>1183</v>
      </c>
      <c r="C821" s="7" t="s">
        <v>971</v>
      </c>
      <c r="D821" s="6">
        <v>2000</v>
      </c>
      <c r="E821" s="5">
        <v>1</v>
      </c>
      <c r="F821" s="4" t="str">
        <f ca="1">IFERROR(__xludf.DUMMYFUNCTION("LOWER(REGEXREPLACE(B821&amp;"" ""&amp;C821,""[^а-яa-z0-9 ]"","" ""))")," коро в школу  лубаев   ")</f>
        <v xml:space="preserve"> коро в школу  лубаев   </v>
      </c>
      <c r="G821" s="4" t="str">
        <f ca="1">IFERROR(__xludf.DUMMYFUNCTION("TEXTJOIN(""|"",TRUE,UNIQUE(FILTER(SPLIT(F821,"" ""),LEN(SPLIT(F821,"" ""))&gt;2)))"),"коро|школу|лубаев")</f>
        <v>коро|школу|лубаев</v>
      </c>
      <c r="I821" s="1"/>
      <c r="J821" s="1"/>
    </row>
    <row r="822" spans="1:10" x14ac:dyDescent="0.2">
      <c r="A822" s="8" t="s">
        <v>1182</v>
      </c>
      <c r="B822" s="7" t="s">
        <v>1181</v>
      </c>
      <c r="C822" s="7" t="s">
        <v>1180</v>
      </c>
      <c r="D822" s="6">
        <v>15000</v>
      </c>
      <c r="E822" s="5">
        <v>7</v>
      </c>
      <c r="F822" s="4" t="str">
        <f ca="1">IFERROR(__xludf.DUMMYFUNCTION("LOWER(REGEXREPLACE(B822&amp;"" ""&amp;C822,""[^а-яa-z0-9 ]"","" ""))")," овместная эластичная вер вка  ластичная вер вка предназначена для групповых сенсомоторных и кооперативных игр   азвивает чувство баланса  координацию движений и навыки взаимодействия ")</f>
        <v xml:space="preserve"> овместная эластичная вер вка  ластичная вер вка предназначена для групповых сенсомоторных и кооперативных игр   азвивает чувство баланса  координацию движений и навыки взаимодействия </v>
      </c>
      <c r="G822" s="4" t="str">
        <f ca="1">IFERROR(__xludf.DUMMYFUNCTION("TEXTJOIN(""|"",TRUE,UNIQUE(FILTER(SPLIT(F822,"" ""),LEN(SPLIT(F822,"" ""))&gt;2)))"),"овместная|эластичная|вер|вка|ластичная|вер|вка|предназначена|для|групповых|сенсомоторных|кооперативных|игр|азвивает|чувство|баланса|координацию|движений|навыки|взаимодействия")</f>
        <v>овместная|эластичная|вер|вка|ластичная|вер|вка|предназначена|для|групповых|сенсомоторных|кооперативных|игр|азвивает|чувство|баланса|координацию|движений|навыки|взаимодействия</v>
      </c>
      <c r="I822" s="1"/>
      <c r="J822" s="1"/>
    </row>
    <row r="823" spans="1:10" x14ac:dyDescent="0.2">
      <c r="A823" s="8" t="s">
        <v>1179</v>
      </c>
      <c r="B823" s="7" t="s">
        <v>1178</v>
      </c>
      <c r="C823" s="7" t="s">
        <v>1177</v>
      </c>
      <c r="D823" s="6">
        <v>65600</v>
      </c>
      <c r="E823" s="5">
        <v>10</v>
      </c>
      <c r="F823" s="4" t="str">
        <f ca="1">IFERROR(__xludf.DUMMYFUNCTION("LOWER(REGEXREPLACE(B823&amp;"" ""&amp;C823,""[^а-яa-z0-9 ]"","" ""))")," оединяющиеся кубики  100 элементов   абор из 100 соединяющихся кубиков разных цветов  фиолетовые  ж лтые  красные  голубые  салатовые  т мно зел ные  оранжевые  коричневые  ч рные  белые   по 10 шт     спользуется для обучения сч ту  сортировке  моделиро"&amp;"ванию и развитию мелкой моторики ")</f>
        <v xml:space="preserve"> оединяющиеся кубики  100 элементов   абор из 100 соединяющихся кубиков разных цветов  фиолетовые  ж лтые  красные  голубые  салатовые  т мно зел ные  оранжевые  коричневые  ч рные  белые   по 10 шт     спользуется для обучения сч ту  сортировке  моделированию и развитию мелкой моторики </v>
      </c>
      <c r="G823" s="4" t="str">
        <f ca="1">IFERROR(__xludf.DUMMYFUNCTION("TEXTJOIN(""|"",TRUE,UNIQUE(FILTER(SPLIT(F823,"" ""),LEN(SPLIT(F823,"" ""))&gt;2)))"),"оединяющиеся|кубики|100|элементов|абор|100|соединяющихся|кубиков|разных|цветов|фиолетовые|лтые|красные|голубые|салатовые|мно|зел|ные|оранжевые|коричневые|рные|белые|спользуется|для|обучения|сортировке|моделированию|развитию|мелкой|моторики")</f>
        <v>оединяющиеся|кубики|100|элементов|абор|100|соединяющихся|кубиков|разных|цветов|фиолетовые|лтые|красные|голубые|салатовые|мно|зел|ные|оранжевые|коричневые|рные|белые|спользуется|для|обучения|сортировке|моделированию|развитию|мелкой|моторики</v>
      </c>
      <c r="I823" s="1"/>
      <c r="J823" s="1"/>
    </row>
    <row r="824" spans="1:10" x14ac:dyDescent="0.2">
      <c r="A824" s="8" t="s">
        <v>1176</v>
      </c>
      <c r="B824" s="7" t="s">
        <v>1175</v>
      </c>
      <c r="C824" s="7" t="s">
        <v>1172</v>
      </c>
      <c r="D824" s="6">
        <v>200</v>
      </c>
      <c r="E824" s="5">
        <v>2000</v>
      </c>
      <c r="F824" s="4" t="str">
        <f ca="1">IFERROR(__xludf.DUMMYFUNCTION("LOWER(REGEXREPLACE(B824&amp;"" ""&amp;C824,""[^а-яa-z0-9 ]"","" ""))")," оль для монтажа  высший сорт   пециальная очищенная соль для оформления и заполнения соляной комнаты   спользуется для создания декоративного и функционального солевого покрытия ")</f>
        <v xml:space="preserve"> оль для монтажа  высший сорт   пециальная очищенная соль для оформления и заполнения соляной комнаты   спользуется для создания декоративного и функционального солевого покрытия </v>
      </c>
      <c r="G824" s="4" t="str">
        <f ca="1">IFERROR(__xludf.DUMMYFUNCTION("TEXTJOIN(""|"",TRUE,UNIQUE(FILTER(SPLIT(F824,"" ""),LEN(SPLIT(F824,"" ""))&gt;2)))"),"оль|для|монтажа|высший|сорт|пециальная|очищенная|соль|для|оформления|заполнения|соляной|комнаты|спользуется|для|создания|декоративного|функционального|солевого|покрытия")</f>
        <v>оль|для|монтажа|высший|сорт|пециальная|очищенная|соль|для|оформления|заполнения|соляной|комнаты|спользуется|для|создания|декоративного|функционального|солевого|покрытия</v>
      </c>
      <c r="I824" s="1"/>
      <c r="J824" s="1"/>
    </row>
    <row r="825" spans="1:10" x14ac:dyDescent="0.2">
      <c r="A825" s="8" t="s">
        <v>1174</v>
      </c>
      <c r="B825" s="7" t="s">
        <v>1173</v>
      </c>
      <c r="C825" s="7" t="s">
        <v>1172</v>
      </c>
      <c r="D825" s="6">
        <v>200</v>
      </c>
      <c r="E825" s="5">
        <v>2000</v>
      </c>
      <c r="F825" s="4" t="str">
        <f ca="1">IFERROR(__xludf.DUMMYFUNCTION("LOWER(REGEXREPLACE(B825&amp;"" ""&amp;C825,""[^а-яa-z0-9 ]"","" ""))")," оль для монтажа   ысший сорт   с доставкой   пециальная очищенная соль для оформления и заполнения соляной комнаты   спользуется для создания декоративного и функционального солевого покрытия ")</f>
        <v xml:space="preserve"> оль для монтажа   ысший сорт   с доставкой   пециальная очищенная соль для оформления и заполнения соляной комнаты   спользуется для создания декоративного и функционального солевого покрытия </v>
      </c>
      <c r="G825" s="4" t="str">
        <f ca="1">IFERROR(__xludf.DUMMYFUNCTION("TEXTJOIN(""|"",TRUE,UNIQUE(FILTER(SPLIT(F825,"" ""),LEN(SPLIT(F825,"" ""))&gt;2)))"),"оль|для|монтажа|ысший|сорт|доставкой|пециальная|очищенная|соль|для|оформления|заполнения|соляной|комнаты|спользуется|для|создания|декоративного|функционального|солевого|покрытия")</f>
        <v>оль|для|монтажа|ысший|сорт|доставкой|пециальная|очищенная|соль|для|оформления|заполнения|соляной|комнаты|спользуется|для|создания|декоративного|функционального|солевого|покрытия</v>
      </c>
      <c r="I825" s="1"/>
      <c r="J825" s="1"/>
    </row>
    <row r="826" spans="1:10" x14ac:dyDescent="0.2">
      <c r="A826" s="8" t="s">
        <v>1171</v>
      </c>
      <c r="B826" s="7" t="s">
        <v>1170</v>
      </c>
      <c r="C826" s="7" t="s">
        <v>1169</v>
      </c>
      <c r="D826" s="6">
        <v>15300</v>
      </c>
      <c r="E826" s="5">
        <v>50</v>
      </c>
      <c r="F826" s="4" t="str">
        <f ca="1">IFERROR(__xludf.DUMMYFUNCTION("LOWER(REGEXREPLACE(B826&amp;"" ""&amp;C826,""[^а-яa-z0-9 ]"","" ""))")," 3   шб рыш    нтеллектум   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             разноцветные треугольники   36 шт    оранжевые   6 шт    зелены"&amp;"е   6 шт    желтые   6 шт    синие   6 шт    розовые   6 шт    красные   6 шт    инструкция   1 шт ствии с инструкцией  ")</f>
        <v xml:space="preserve"> 3   шб рыш    нтеллектум   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             разноцветные треугольники   36 шт    оранжевые   6 шт    зеленые   6 шт    желтые   6 шт    синие   6 шт    розовые   6 шт    красные   6 шт    инструкция   1 шт ствии с инструкцией  </v>
      </c>
      <c r="G826" s="4" t="str">
        <f ca="1">IFERROR(__xludf.DUMMYFUNCTION("TEXTJOIN(""|"",TRUE,UNIQUE(FILTER(SPLIT(F826,"" ""),LEN(SPLIT(F826,"" ""))&gt;2)))"),"рыш|нтеллектум|гра|предназначена|для|формирования|визуального|восприятия|развития|логического|мышления|ребенка|посредством|сбора|разноцветных|треугольников|соответ|разноцветные|треугольники|оранжевые|зеленые|желтые|синие|розовые|красные|инструкция|ствии|и"&amp;"нструкцией")</f>
        <v>рыш|нтеллектум|гра|предназначена|для|формирования|визуального|восприятия|развития|логического|мышления|ребенка|посредством|сбора|разноцветных|треугольников|соответ|разноцветные|треугольники|оранжевые|зеленые|желтые|синие|розовые|красные|инструкция|ствии|инструкцией</v>
      </c>
      <c r="I826" s="1"/>
      <c r="J826" s="1"/>
    </row>
    <row r="827" spans="1:10" x14ac:dyDescent="0.2">
      <c r="A827" s="8" t="s">
        <v>1168</v>
      </c>
      <c r="B827" s="7" t="s">
        <v>1167</v>
      </c>
      <c r="C827" s="7" t="s">
        <v>1166</v>
      </c>
      <c r="D827" s="6">
        <v>32800</v>
      </c>
      <c r="E827" s="5">
        <v>7</v>
      </c>
      <c r="F827" s="4" t="str">
        <f ca="1">IFERROR(__xludf.DUMMYFUNCTION("LOWER(REGEXREPLACE(B827&amp;"" ""&amp;C827,""[^а-яa-z0-9 ]"","" ""))")," лобус физический  лобус используется для наглядного ознакомления с физической картой  емли   тражает расположение материков  океанов и географических объектов   иаметр глобуса составляет не менее 32 см   орпус выполнен из пластика и предназначен для наст"&amp;"ольного размещения ")</f>
        <v xml:space="preserve"> лобус физический  лобус используется для наглядного ознакомления с физической картой  емли   тражает расположение материков  океанов и географических объектов   иаметр глобуса составляет не менее 32 см   орпус выполнен из пластика и предназначен для настольного размещения </v>
      </c>
      <c r="G827" s="4" t="str">
        <f ca="1">IFERROR(__xludf.DUMMYFUNCTION("TEXTJOIN(""|"",TRUE,UNIQUE(FILTER(SPLIT(F827,"" ""),LEN(SPLIT(F827,"" ""))&gt;2)))"),"лобус|физический|лобус|используется|для|наглядного|ознакомления|физической|картой|емли|тражает|расположение|материков|океанов|географических|объектов|иаметр|глобуса|составляет|менее|орпус|выполнен|пластика|предназначен|для|настольного|размещения")</f>
        <v>лобус|физический|лобус|используется|для|наглядного|ознакомления|физической|картой|емли|тражает|расположение|материков|океанов|географических|объектов|иаметр|глобуса|составляет|менее|орпус|выполнен|пластика|предназначен|для|настольного|размещения</v>
      </c>
      <c r="I827" s="1"/>
      <c r="J827" s="1"/>
    </row>
    <row r="828" spans="1:10" x14ac:dyDescent="0.2">
      <c r="A828" s="8" t="s">
        <v>1165</v>
      </c>
      <c r="B828" s="7" t="s">
        <v>1164</v>
      </c>
      <c r="C828" s="7" t="s">
        <v>1163</v>
      </c>
      <c r="D828" s="6">
        <v>28500</v>
      </c>
      <c r="E828" s="5">
        <v>1</v>
      </c>
      <c r="F828" s="4" t="str">
        <f ca="1">IFERROR(__xludf.DUMMYFUNCTION("LOWER(REGEXREPLACE(B828&amp;"" ""&amp;C828,""[^а-яa-z0-9 ]"","" ""))")," ортер   номики   еревянный сортер предназначен для развития логического мышления  мелкой моторики и навыков сортировки по цвету и форме ")</f>
        <v xml:space="preserve"> ортер   номики   еревянный сортер предназначен для развития логического мышления  мелкой моторики и навыков сортировки по цвету и форме </v>
      </c>
      <c r="G828" s="4" t="str">
        <f ca="1">IFERROR(__xludf.DUMMYFUNCTION("TEXTJOIN(""|"",TRUE,UNIQUE(FILTER(SPLIT(F828,"" ""),LEN(SPLIT(F828,"" ""))&gt;2)))"),"ортер|номики|еревянный|сортер|предназначен|для|развития|логического|мышления|мелкой|моторики|навыков|сортировки|цвету|форме")</f>
        <v>ортер|номики|еревянный|сортер|предназначен|для|развития|логического|мышления|мелкой|моторики|навыков|сортировки|цвету|форме</v>
      </c>
      <c r="I828" s="1"/>
      <c r="J828" s="1"/>
    </row>
    <row r="829" spans="1:10" x14ac:dyDescent="0.2">
      <c r="A829" s="8" t="s">
        <v>1162</v>
      </c>
      <c r="B829" s="7" t="s">
        <v>1161</v>
      </c>
      <c r="C829" s="7" t="s">
        <v>1160</v>
      </c>
      <c r="D829" s="6">
        <v>9500</v>
      </c>
      <c r="E829" s="5">
        <v>7</v>
      </c>
      <c r="F829" s="4" t="str">
        <f ca="1">IFERROR(__xludf.DUMMYFUNCTION("LOWER(REGEXREPLACE(B829&amp;"" ""&amp;C829,""[^а-яa-z0-9 ]"","" ""))")," ортер   есное дерево   азвивающая игра в форме дерева с фигурками животных и птиц   спользуется для развития логики  моторики и познавательных навыков ")</f>
        <v xml:space="preserve"> ортер   есное дерево   азвивающая игра в форме дерева с фигурками животных и птиц   спользуется для развития логики  моторики и познавательных навыков </v>
      </c>
      <c r="G829" s="4" t="str">
        <f ca="1">IFERROR(__xludf.DUMMYFUNCTION("TEXTJOIN(""|"",TRUE,UNIQUE(FILTER(SPLIT(F829,"" ""),LEN(SPLIT(F829,"" ""))&gt;2)))"),"ортер|есное|дерево|азвивающая|игра|форме|дерева|фигурками|животных|птиц|спользуется|для|развития|логики|моторики|познавательных|навыков")</f>
        <v>ортер|есное|дерево|азвивающая|игра|форме|дерева|фигурками|животных|птиц|спользуется|для|развития|логики|моторики|познавательных|навыков</v>
      </c>
      <c r="I829" s="1"/>
      <c r="J829" s="1"/>
    </row>
    <row r="830" spans="1:10" x14ac:dyDescent="0.2">
      <c r="A830" s="8" t="s">
        <v>1159</v>
      </c>
      <c r="B830" s="7" t="s">
        <v>1158</v>
      </c>
      <c r="C830" s="7" t="s">
        <v>1157</v>
      </c>
      <c r="D830" s="6">
        <v>8600</v>
      </c>
      <c r="E830" s="5">
        <v>1</v>
      </c>
      <c r="F830" s="4" t="str">
        <f ca="1">IFERROR(__xludf.DUMMYFUNCTION("LOWER(REGEXREPLACE(B830&amp;"" ""&amp;C830,""[^а-яa-z0-9 ]"","" ""))")," ортер   ыбалка   агнитный сортер предназначен для развития координации рук  внимания и точности движений ")</f>
        <v xml:space="preserve"> ортер   ыбалка   агнитный сортер предназначен для развития координации рук  внимания и точности движений </v>
      </c>
      <c r="G830" s="4" t="str">
        <f ca="1">IFERROR(__xludf.DUMMYFUNCTION("TEXTJOIN(""|"",TRUE,UNIQUE(FILTER(SPLIT(F830,"" ""),LEN(SPLIT(F830,"" ""))&gt;2)))"),"ортер|ыбалка|агнитный|сортер|предназначен|для|развития|координации|рук|внимания|точности|движений")</f>
        <v>ортер|ыбалка|агнитный|сортер|предназначен|для|развития|координации|рук|внимания|точности|движений</v>
      </c>
      <c r="I830" s="1"/>
      <c r="J830" s="1"/>
    </row>
    <row r="831" spans="1:10" x14ac:dyDescent="0.2">
      <c r="A831" s="8" t="s">
        <v>1156</v>
      </c>
      <c r="B831" s="7" t="s">
        <v>1155</v>
      </c>
      <c r="C831" s="7" t="s">
        <v>1154</v>
      </c>
      <c r="D831" s="6">
        <v>3400</v>
      </c>
      <c r="E831" s="5">
        <v>14</v>
      </c>
      <c r="F831" s="4" t="str">
        <f ca="1">IFERROR(__xludf.DUMMYFUNCTION("LOWER(REGEXREPLACE(B831&amp;"" ""&amp;C831,""[^а-яa-z0-9 ]"","" ""))")," ортер деревянный   олшебный сундучок   ногофункциональный развивающий набор предназначен для обучения сортировке  распознаванию форм  цветов и выполнению заданий   спользуется в образовательной и коррекционной работе ")</f>
        <v xml:space="preserve"> ортер деревянный   олшебный сундучок   ногофункциональный развивающий набор предназначен для обучения сортировке  распознаванию форм  цветов и выполнению заданий   спользуется в образовательной и коррекционной работе </v>
      </c>
      <c r="G831" s="4" t="str">
        <f ca="1">IFERROR(__xludf.DUMMYFUNCTION("TEXTJOIN(""|"",TRUE,UNIQUE(FILTER(SPLIT(F831,"" ""),LEN(SPLIT(F831,"" ""))&gt;2)))"),"ортер|деревянный|олшебный|сундучок|ногофункциональный|развивающий|набор|предназначен|для|обучения|сортировке|распознаванию|форм|цветов|выполнению|заданий|спользуется|образовательной|коррекционной|работе")</f>
        <v>ортер|деревянный|олшебный|сундучок|ногофункциональный|развивающий|набор|предназначен|для|обучения|сортировке|распознаванию|форм|цветов|выполнению|заданий|спользуется|образовательной|коррекционной|работе</v>
      </c>
      <c r="I831" s="1"/>
      <c r="J831" s="1"/>
    </row>
    <row r="832" spans="1:10" x14ac:dyDescent="0.2">
      <c r="A832" s="8" t="s">
        <v>1153</v>
      </c>
      <c r="B832" s="7" t="s">
        <v>1152</v>
      </c>
      <c r="C832" s="7" t="s">
        <v>1151</v>
      </c>
      <c r="D832" s="6">
        <v>10500</v>
      </c>
      <c r="E832" s="5">
        <v>7</v>
      </c>
      <c r="F832" s="4" t="str">
        <f ca="1">IFERROR(__xludf.DUMMYFUNCTION("LOWER(REGEXREPLACE(B832&amp;"" ""&amp;C832,""[^а-яa-z0-9 ]"","" ""))")," ортер для шариков  еревянный сортер предназначен для развития координации движений  внимания и навыков сортировки ")</f>
        <v xml:space="preserve"> ортер для шариков  еревянный сортер предназначен для развития координации движений  внимания и навыков сортировки </v>
      </c>
      <c r="G832" s="4" t="str">
        <f ca="1">IFERROR(__xludf.DUMMYFUNCTION("TEXTJOIN(""|"",TRUE,UNIQUE(FILTER(SPLIT(F832,"" ""),LEN(SPLIT(F832,"" ""))&gt;2)))"),"ортер|для|шариков|еревянный|сортер|предназначен|для|развития|координации|движений|внимания|навыков|сортировки")</f>
        <v>ортер|для|шариков|еревянный|сортер|предназначен|для|развития|координации|движений|внимания|навыков|сортировки</v>
      </c>
      <c r="I832" s="1"/>
      <c r="J832" s="1"/>
    </row>
    <row r="833" spans="1:10" x14ac:dyDescent="0.2">
      <c r="A833" s="8" t="s">
        <v>1150</v>
      </c>
      <c r="B833" s="7" t="s">
        <v>1149</v>
      </c>
      <c r="C833" s="7" t="s">
        <v>1148</v>
      </c>
      <c r="D833" s="6">
        <v>7600</v>
      </c>
      <c r="E833" s="5">
        <v>1</v>
      </c>
      <c r="F833" s="4" t="str">
        <f ca="1">IFERROR(__xludf.DUMMYFUNCTION("LOWER(REGEXREPLACE(B833&amp;"" ""&amp;C833,""[^а-яa-z0-9 ]"","" ""))")," ортер разноцветные фигурки  ортер предназначен для обучения сортировке по цвету и форме   азвивает внимание и мелкую моторику ")</f>
        <v xml:space="preserve"> ортер разноцветные фигурки  ортер предназначен для обучения сортировке по цвету и форме   азвивает внимание и мелкую моторику </v>
      </c>
      <c r="G833" s="4" t="str">
        <f ca="1">IFERROR(__xludf.DUMMYFUNCTION("TEXTJOIN(""|"",TRUE,UNIQUE(FILTER(SPLIT(F833,"" ""),LEN(SPLIT(F833,"" ""))&gt;2)))"),"ортер|разноцветные|фигурки|ортер|предназначен|для|обучения|сортировке|цвету|форме|азвивает|внимание|мелкую|моторику")</f>
        <v>ортер|разноцветные|фигурки|ортер|предназначен|для|обучения|сортировке|цвету|форме|азвивает|внимание|мелкую|моторику</v>
      </c>
      <c r="I833" s="1"/>
      <c r="J833" s="1"/>
    </row>
    <row r="834" spans="1:10" x14ac:dyDescent="0.2">
      <c r="A834" s="8" t="s">
        <v>1147</v>
      </c>
      <c r="B834" s="7" t="s">
        <v>1146</v>
      </c>
      <c r="C834" s="7" t="s">
        <v>1145</v>
      </c>
      <c r="D834" s="6">
        <v>8600</v>
      </c>
      <c r="E834" s="5">
        <v>1</v>
      </c>
      <c r="F834" s="4" t="str">
        <f ca="1">IFERROR(__xludf.DUMMYFUNCTION("LOWER(REGEXREPLACE(B834&amp;"" ""&amp;C834,""[^а-яa-z0-9 ]"","" ""))")," ортер фигур  еревянный сортер с платформой и геометрическими фигурками   спользуется для развития логического мышления и моторики ")</f>
        <v xml:space="preserve"> ортер фигур  еревянный сортер с платформой и геометрическими фигурками   спользуется для развития логического мышления и моторики </v>
      </c>
      <c r="G834" s="4" t="str">
        <f ca="1">IFERROR(__xludf.DUMMYFUNCTION("TEXTJOIN(""|"",TRUE,UNIQUE(FILTER(SPLIT(F834,"" ""),LEN(SPLIT(F834,"" ""))&gt;2)))"),"ортер|фигур|еревянный|сортер|платформой|геометрическими|фигурками|спользуется|для|развития|логического|мышления|моторики")</f>
        <v>ортер|фигур|еревянный|сортер|платформой|геометрическими|фигурками|спользуется|для|развития|логического|мышления|моторики</v>
      </c>
      <c r="I834" s="1"/>
      <c r="J834" s="1"/>
    </row>
    <row r="835" spans="1:10" x14ac:dyDescent="0.2">
      <c r="A835" s="8" t="s">
        <v>1144</v>
      </c>
      <c r="B835" s="7" t="s">
        <v>1143</v>
      </c>
      <c r="C835" s="7" t="s">
        <v>1142</v>
      </c>
      <c r="D835" s="6">
        <v>11400</v>
      </c>
      <c r="E835" s="5">
        <v>1</v>
      </c>
      <c r="F835" s="4" t="str">
        <f ca="1">IFERROR(__xludf.DUMMYFUNCTION("LOWER(REGEXREPLACE(B835&amp;"" ""&amp;C835,""[^а-яa-z0-9 ]"","" ""))")," ортировочный набор  абор предназначен для обучения сортировке и захвату предметов   ключает деревянные стаканчики  шары  ложку и пинцет ")</f>
        <v xml:space="preserve"> ортировочный набор  абор предназначен для обучения сортировке и захвату предметов   ключает деревянные стаканчики  шары  ложку и пинцет </v>
      </c>
      <c r="G835" s="4" t="str">
        <f ca="1">IFERROR(__xludf.DUMMYFUNCTION("TEXTJOIN(""|"",TRUE,UNIQUE(FILTER(SPLIT(F835,"" ""),LEN(SPLIT(F835,"" ""))&gt;2)))"),"ортировочный|набор|абор|предназначен|для|обучения|сортировке|захвату|предметов|ключает|деревянные|стаканчики|шары|ложку|пинцет")</f>
        <v>ортировочный|набор|абор|предназначен|для|обучения|сортировке|захвату|предметов|ключает|деревянные|стаканчики|шары|ложку|пинцет</v>
      </c>
      <c r="I835" s="1"/>
      <c r="J835" s="1"/>
    </row>
    <row r="836" spans="1:10" x14ac:dyDescent="0.2">
      <c r="A836" s="8" t="s">
        <v>1141</v>
      </c>
      <c r="B836" s="7" t="s">
        <v>1140</v>
      </c>
      <c r="C836" s="7" t="s">
        <v>1139</v>
      </c>
      <c r="D836" s="6">
        <v>27400</v>
      </c>
      <c r="E836" s="5">
        <v>5</v>
      </c>
      <c r="F836" s="4" t="str">
        <f ca="1">IFERROR(__xludf.DUMMYFUNCTION("LOWER(REGEXREPLACE(B836&amp;"" ""&amp;C836,""[^а-яa-z0-9 ]"","" ""))")," патифиллум  омнатное растение с крупными листьями  используется для озеленения помещений и изучения формы листа   пособствует улучшению микроклимата и формированию экологических представлений у детей ")</f>
        <v xml:space="preserve"> патифиллум  омнатное растение с крупными листьями  используется для озеленения помещений и изучения формы листа   пособствует улучшению микроклимата и формированию экологических представлений у детей </v>
      </c>
      <c r="G836" s="4" t="str">
        <f ca="1">IFERROR(__xludf.DUMMYFUNCTION("TEXTJOIN(""|"",TRUE,UNIQUE(FILTER(SPLIT(F836,"" ""),LEN(SPLIT(F836,"" ""))&gt;2)))"),"патифиллум|омнатное|растение|крупными|листьями|используется|для|озеленения|помещений|изучения|формы|листа|пособствует|улучшению|микроклимата|формированию|экологических|представлений|детей")</f>
        <v>патифиллум|омнатное|растение|крупными|листьями|используется|для|озеленения|помещений|изучения|формы|листа|пособствует|улучшению|микроклимата|формированию|экологических|представлений|детей</v>
      </c>
      <c r="I836" s="1"/>
      <c r="J836" s="1"/>
    </row>
    <row r="837" spans="1:10" x14ac:dyDescent="0.2">
      <c r="A837" s="8" t="s">
        <v>1138</v>
      </c>
      <c r="B837" s="7" t="s">
        <v>1137</v>
      </c>
      <c r="C837" s="7" t="s">
        <v>1136</v>
      </c>
      <c r="D837" s="6">
        <v>1200</v>
      </c>
      <c r="E837" s="5">
        <v>10</v>
      </c>
      <c r="F837" s="4" t="str">
        <f ca="1">IFERROR(__xludf.DUMMYFUNCTION("LOWER(REGEXREPLACE(B837&amp;"" ""&amp;C837,""[^а-яa-z0-9 ]"","" ""))")," теки для лепки  етский набор стеков для лепки  4 штуки   редназначен для работы с пластилином  тестом и глиной   азвивает мелкую моторику  координацию движений и творческие способности   атериал   безопасный пластик ")</f>
        <v xml:space="preserve"> теки для лепки  етский набор стеков для лепки  4 штуки   редназначен для работы с пластилином  тестом и глиной   азвивает мелкую моторику  координацию движений и творческие способности   атериал   безопасный пластик </v>
      </c>
      <c r="G837" s="4" t="str">
        <f ca="1">IFERROR(__xludf.DUMMYFUNCTION("TEXTJOIN(""|"",TRUE,UNIQUE(FILTER(SPLIT(F837,"" ""),LEN(SPLIT(F837,"" ""))&gt;2)))"),"теки|для|лепки|етский|набор|стеков|для|лепки|штуки|редназначен|для|работы|пластилином|тестом|глиной|азвивает|мелкую|моторику|координацию|движений|творческие|способности|атериал|безопасный|пластик")</f>
        <v>теки|для|лепки|етский|набор|стеков|для|лепки|штуки|редназначен|для|работы|пластилином|тестом|глиной|азвивает|мелкую|моторику|координацию|движений|творческие|способности|атериал|безопасный|пластик</v>
      </c>
      <c r="I837" s="1"/>
      <c r="J837" s="1"/>
    </row>
    <row r="838" spans="1:10" x14ac:dyDescent="0.2">
      <c r="A838" s="8" t="s">
        <v>1135</v>
      </c>
      <c r="B838" s="7" t="s">
        <v>1134</v>
      </c>
      <c r="C838" s="7" t="s">
        <v>1133</v>
      </c>
      <c r="D838" s="6">
        <v>24700</v>
      </c>
      <c r="E838" s="5">
        <v>7</v>
      </c>
      <c r="F838" s="4" t="str">
        <f ca="1">IFERROR(__xludf.DUMMYFUNCTION("LOWER(REGEXREPLACE(B838&amp;"" ""&amp;C838,""[^а-яa-z0-9 ]"","" ""))")," оловоломка с животными  оловоломка представляет собой набор элементов для сборки фигур животных    процессе работы выполняется соединение деталей и подбор по форме   акая деятельность способствует развитию пространственного мышления и внимания   лементы "&amp;"выполнены из дерева ")</f>
        <v xml:space="preserve"> оловоломка с животными  оловоломка представляет собой набор элементов для сборки фигур животных    процессе работы выполняется соединение деталей и подбор по форме   акая деятельность способствует развитию пространственного мышления и внимания   лементы выполнены из дерева </v>
      </c>
      <c r="G838" s="4" t="str">
        <f ca="1">IFERROR(__xludf.DUMMYFUNCTION("TEXTJOIN(""|"",TRUE,UNIQUE(FILTER(SPLIT(F838,"" ""),LEN(SPLIT(F838,"" ""))&gt;2)))"),"оловоломка|животными|оловоломка|представляет|собой|набор|элементов|для|сборки|фигур|животных|процессе|работы|выполняется|соединение|деталей|подбор|форме|акая|деятельность|способствует|развитию|пространственного|мышления|внимания|лементы|выполнены|дерева")</f>
        <v>оловоломка|животными|оловоломка|представляет|собой|набор|элементов|для|сборки|фигур|животных|процессе|работы|выполняется|соединение|деталей|подбор|форме|акая|деятельность|способствует|развитию|пространственного|мышления|внимания|лементы|выполнены|дерева</v>
      </c>
      <c r="I838" s="1"/>
      <c r="J838" s="1"/>
    </row>
    <row r="839" spans="1:10" x14ac:dyDescent="0.2">
      <c r="A839" s="8" t="s">
        <v>1132</v>
      </c>
      <c r="B839" s="7" t="s">
        <v>1131</v>
      </c>
      <c r="C839" s="7" t="s">
        <v>1130</v>
      </c>
      <c r="D839" s="6">
        <v>133000</v>
      </c>
      <c r="E839" s="5">
        <v>10</v>
      </c>
      <c r="F839" s="4" t="str">
        <f ca="1">IFERROR(__xludf.DUMMYFUNCTION("LOWER(REGEXREPLACE(B839&amp;"" ""&amp;C839,""[^а-яa-z0-9 ]"","" ""))")," теллаж   удо домик   етский стеллаж с открытыми нишами и закрытыми полками   онструкция без выступающих ручек  безопасная для детей   снащ н высокими опорами для удобства уборки ")</f>
        <v xml:space="preserve"> теллаж   удо домик   етский стеллаж с открытыми нишами и закрытыми полками   онструкция без выступающих ручек  безопасная для детей   снащ н высокими опорами для удобства уборки </v>
      </c>
      <c r="G839" s="4" t="str">
        <f ca="1">IFERROR(__xludf.DUMMYFUNCTION("TEXTJOIN(""|"",TRUE,UNIQUE(FILTER(SPLIT(F839,"" ""),LEN(SPLIT(F839,"" ""))&gt;2)))"),"теллаж|удо|домик|етский|стеллаж|открытыми|нишами|закрытыми|полками|онструкция|без|выступающих|ручек|безопасная|для|детей|снащ|высокими|опорами|для|удобства|уборки")</f>
        <v>теллаж|удо|домик|етский|стеллаж|открытыми|нишами|закрытыми|полками|онструкция|без|выступающих|ручек|безопасная|для|детей|снащ|высокими|опорами|для|удобства|уборки</v>
      </c>
      <c r="I839" s="1"/>
      <c r="J839" s="1"/>
    </row>
    <row r="840" spans="1:10" x14ac:dyDescent="0.2">
      <c r="A840" s="8" t="s">
        <v>1129</v>
      </c>
      <c r="B840" s="7" t="s">
        <v>1128</v>
      </c>
      <c r="C840" s="7" t="s">
        <v>1125</v>
      </c>
      <c r="D840" s="6">
        <v>9000</v>
      </c>
      <c r="E840" s="5">
        <v>4</v>
      </c>
      <c r="F840" s="4" t="str">
        <f ca="1">IFERROR(__xludf.DUMMYFUNCTION("LOWER(REGEXREPLACE(B840&amp;"" ""&amp;C840,""[^а-яa-z0-9 ]"","" ""))")," тенды для объявлений  нформационные стенды предназначены для размещения объявлений и наглядной информации для педагогов и родителей   зготавливаются из л гких и прочных материалов ")</f>
        <v xml:space="preserve"> тенды для объявлений  нформационные стенды предназначены для размещения объявлений и наглядной информации для педагогов и родителей   зготавливаются из л гких и прочных материалов </v>
      </c>
      <c r="G840" s="4" t="str">
        <f ca="1">IFERROR(__xludf.DUMMYFUNCTION("TEXTJOIN(""|"",TRUE,UNIQUE(FILTER(SPLIT(F840,"" ""),LEN(SPLIT(F840,"" ""))&gt;2)))"),"тенды|для|объявлений|нформационные|стенды|предназначены|для|размещения|объявлений|наглядной|информации|для|педагогов|родителей|зготавливаются|гких|прочных|материалов")</f>
        <v>тенды|для|объявлений|нформационные|стенды|предназначены|для|размещения|объявлений|наглядной|информации|для|педагогов|родителей|зготавливаются|гких|прочных|материалов</v>
      </c>
      <c r="I840" s="1"/>
      <c r="J840" s="1"/>
    </row>
    <row r="841" spans="1:10" x14ac:dyDescent="0.2">
      <c r="A841" s="8" t="s">
        <v>1127</v>
      </c>
      <c r="B841" s="7" t="s">
        <v>1126</v>
      </c>
      <c r="C841" s="7" t="s">
        <v>1125</v>
      </c>
      <c r="D841" s="6">
        <v>17600</v>
      </c>
      <c r="E841" s="5">
        <v>48</v>
      </c>
      <c r="F841" s="4" t="str">
        <f ca="1">IFERROR(__xludf.DUMMYFUNCTION("LOWER(REGEXREPLACE(B841&amp;"" ""&amp;C841,""[^а-яa-z0-9 ]"","" ""))")," тенды для обьявления  нформационные стенды предназначены для размещения объявлений и наглядной информации для педагогов и родителей   зготавливаются из л гких и прочных материалов ")</f>
        <v xml:space="preserve"> тенды для обьявления  нформационные стенды предназначены для размещения объявлений и наглядной информации для педагогов и родителей   зготавливаются из л гких и прочных материалов </v>
      </c>
      <c r="G841" s="4" t="str">
        <f ca="1">IFERROR(__xludf.DUMMYFUNCTION("TEXTJOIN(""|"",TRUE,UNIQUE(FILTER(SPLIT(F841,"" ""),LEN(SPLIT(F841,"" ""))&gt;2)))"),"тенды|для|обьявления|нформационные|стенды|предназначены|для|размещения|объявлений|наглядной|информации|для|педагогов|родителей|зготавливаются|гких|прочных|материалов")</f>
        <v>тенды|для|обьявления|нформационные|стенды|предназначены|для|размещения|объявлений|наглядной|информации|для|педагогов|родителей|зготавливаются|гких|прочных|материалов</v>
      </c>
      <c r="I841" s="1"/>
      <c r="J841" s="1"/>
    </row>
    <row r="842" spans="1:10" x14ac:dyDescent="0.2">
      <c r="A842" s="8" t="s">
        <v>1124</v>
      </c>
      <c r="B842" s="7" t="s">
        <v>1123</v>
      </c>
      <c r="C842" s="7" t="s">
        <v>1122</v>
      </c>
      <c r="D842" s="6">
        <v>34800</v>
      </c>
      <c r="E842" s="5">
        <v>2</v>
      </c>
      <c r="F842" s="4" t="str">
        <f ca="1">IFERROR(__xludf.DUMMYFUNCTION("LOWER(REGEXREPLACE(B842&amp;"" ""&amp;C842,""[^а-яa-z0-9 ]"","" ""))")," теп платформа детская  етская степ платформа размером 45 28 см   спользуется для физических упражнений  развития координации  выносливости и двигательной активности ")</f>
        <v xml:space="preserve"> теп платформа детская  етская степ платформа размером 45 28 см   спользуется для физических упражнений  развития координации  выносливости и двигательной активности </v>
      </c>
      <c r="G842" s="4" t="str">
        <f ca="1">IFERROR(__xludf.DUMMYFUNCTION("TEXTJOIN(""|"",TRUE,UNIQUE(FILTER(SPLIT(F842,"" ""),LEN(SPLIT(F842,"" ""))&gt;2)))"),"теп|платформа|детская|етская|степ|платформа|размером|спользуется|для|физических|упражнений|развития|координации|выносливости|двигательной|активности")</f>
        <v>теп|платформа|детская|етская|степ|платформа|размером|спользуется|для|физических|упражнений|развития|координации|выносливости|двигательной|активности</v>
      </c>
      <c r="I842" s="1"/>
      <c r="J842" s="1"/>
    </row>
    <row r="843" spans="1:10" x14ac:dyDescent="0.2">
      <c r="A843" s="8" t="s">
        <v>1121</v>
      </c>
      <c r="B843" s="7" t="s">
        <v>1120</v>
      </c>
      <c r="C843" s="7" t="s">
        <v>1119</v>
      </c>
      <c r="D843" s="6">
        <v>10500</v>
      </c>
      <c r="E843" s="5">
        <v>2</v>
      </c>
      <c r="F843" s="4" t="str">
        <f ca="1">IFERROR(__xludf.DUMMYFUNCTION("LOWER(REGEXREPLACE(B843&amp;"" ""&amp;C843,""[^а-яa-z0-9 ]"","" ""))")," тетоскоп  едицинский инструмент для прослушивания дыхания и сердечных тонов ")</f>
        <v xml:space="preserve"> тетоскоп  едицинский инструмент для прослушивания дыхания и сердечных тонов </v>
      </c>
      <c r="G843" s="4" t="str">
        <f ca="1">IFERROR(__xludf.DUMMYFUNCTION("TEXTJOIN(""|"",TRUE,UNIQUE(FILTER(SPLIT(F843,"" ""),LEN(SPLIT(F843,"" ""))&gt;2)))"),"тетоскоп|едицинский|инструмент|для|прослушивания|дыхания|сердечных|тонов")</f>
        <v>тетоскоп|едицинский|инструмент|для|прослушивания|дыхания|сердечных|тонов</v>
      </c>
      <c r="I843" s="1"/>
      <c r="J843" s="1"/>
    </row>
    <row r="844" spans="1:10" x14ac:dyDescent="0.2">
      <c r="A844" s="8" t="s">
        <v>1118</v>
      </c>
      <c r="B844" s="7" t="s">
        <v>1117</v>
      </c>
      <c r="C844" s="7" t="s">
        <v>1116</v>
      </c>
      <c r="D844" s="6">
        <v>35800</v>
      </c>
      <c r="E844" s="5">
        <v>5</v>
      </c>
      <c r="F844" s="4" t="str">
        <f ca="1">IFERROR(__xludf.DUMMYFUNCTION("LOWER(REGEXREPLACE(B844&amp;"" ""&amp;C844,""[^а-яa-z0-9 ]"","" ""))")," тол игровой развивающий для конструктора  гровой стол предназначен для занятий с конструктором   спользуется для развития логики  мелкой моторики и пространственного мышления    комплекте 502 пластиковых элемента   одходит для индивидуальных и групповых "&amp;"игр ")</f>
        <v xml:space="preserve"> тол игровой развивающий для конструктора  гровой стол предназначен для занятий с конструктором   спользуется для развития логики  мелкой моторики и пространственного мышления    комплекте 502 пластиковых элемента   одходит для индивидуальных и групповых игр </v>
      </c>
      <c r="G844" s="4" t="str">
        <f ca="1">IFERROR(__xludf.DUMMYFUNCTION("TEXTJOIN(""|"",TRUE,UNIQUE(FILTER(SPLIT(F844,"" ""),LEN(SPLIT(F844,"" ""))&gt;2)))"),"тол|игровой|развивающий|для|конструктора|гровой|стол|предназначен|для|занятий|конструктором|спользуется|для|развития|логики|мелкой|моторики|пространственного|мышления|комплекте|502|пластиковых|элемента|одходит|для|индивидуальных|групповых|игр")</f>
        <v>тол|игровой|развивающий|для|конструктора|гровой|стол|предназначен|для|занятий|конструктором|спользуется|для|развития|логики|мелкой|моторики|пространственного|мышления|комплекте|502|пластиковых|элемента|одходит|для|индивидуальных|групповых|игр</v>
      </c>
      <c r="I844" s="1"/>
      <c r="J844" s="1"/>
    </row>
    <row r="845" spans="1:10" x14ac:dyDescent="0.2">
      <c r="A845" s="8" t="s">
        <v>1115</v>
      </c>
      <c r="B845" s="7" t="s">
        <v>1114</v>
      </c>
      <c r="C845" s="7" t="s">
        <v>1113</v>
      </c>
      <c r="D845" s="6">
        <v>11500</v>
      </c>
      <c r="E845" s="5">
        <v>5</v>
      </c>
      <c r="F845" s="4" t="str">
        <f ca="1">IFERROR(__xludf.DUMMYFUNCTION("LOWER(REGEXREPLACE(B845&amp;"" ""&amp;C845,""[^а-яa-z0-9 ]"","" ""))")," троительные блоки  ва набора строительных блоков по 60 штук   спользуются для конструирования  развития воображения  координации рук и глаз   атериал   безопасный пластик  формы разнообразные и цветные ")</f>
        <v xml:space="preserve"> троительные блоки  ва набора строительных блоков по 60 штук   спользуются для конструирования  развития воображения  координации рук и глаз   атериал   безопасный пластик  формы разнообразные и цветные </v>
      </c>
      <c r="G845" s="4" t="str">
        <f ca="1">IFERROR(__xludf.DUMMYFUNCTION("TEXTJOIN(""|"",TRUE,UNIQUE(FILTER(SPLIT(F845,"" ""),LEN(SPLIT(F845,"" ""))&gt;2)))"),"троительные|блоки|набора|строительных|блоков|штук|спользуются|для|конструирования|развития|воображения|координации|рук|глаз|атериал|безопасный|пластик|формы|разнообразные|цветные")</f>
        <v>троительные|блоки|набора|строительных|блоков|штук|спользуются|для|конструирования|развития|воображения|координации|рук|глаз|атериал|безопасный|пластик|формы|разнообразные|цветные</v>
      </c>
      <c r="I845" s="1"/>
      <c r="J845" s="1"/>
    </row>
    <row r="846" spans="1:10" x14ac:dyDescent="0.2">
      <c r="A846" s="8" t="s">
        <v>1112</v>
      </c>
      <c r="B846" s="7" t="s">
        <v>1111</v>
      </c>
      <c r="C846" s="7" t="s">
        <v>1110</v>
      </c>
      <c r="D846" s="6">
        <v>6300</v>
      </c>
      <c r="E846" s="5">
        <v>5</v>
      </c>
      <c r="F846" s="4" t="str">
        <f ca="1">IFERROR(__xludf.DUMMYFUNCTION("LOWER(REGEXREPLACE(B846&amp;"" ""&amp;C846,""[^а-яa-z0-9 ]"","" ""))")," троительный набор из крупных кубиков  49 элементов  троительный набор включает крупные элементы для сборки различных построек и конструкций    процессе игры выполняется соединение и комбинирование деталей между собой   акая деятельность направлена на раз"&amp;"витие пространственного мышления и координации движений    комплект входит не менее 49 элементов различной формы и цвета   атериал изготовления   пластик ")</f>
        <v xml:space="preserve"> троительный набор из крупных кубиков  49 элементов  троительный набор включает крупные элементы для сборки различных построек и конструкций    процессе игры выполняется соединение и комбинирование деталей между собой   акая деятельность направлена на развитие пространственного мышления и координации движений    комплект входит не менее 49 элементов различной формы и цвета   атериал изготовления   пластик </v>
      </c>
      <c r="G846" s="4" t="str">
        <f ca="1">IFERROR(__xludf.DUMMYFUNCTION("TEXTJOIN(""|"",TRUE,UNIQUE(FILTER(SPLIT(F846,"" ""),LEN(SPLIT(F846,"" ""))&gt;2)))"),"троительный|набор|крупных|кубиков|элементов|троительный|набор|включает|крупные|элементы|для|сборки|различных|построек|конструкций|процессе|игры|выполняется|соединение|комбинирование|деталей|между|собой|акая|деятельность|направлена|развитие|пространственно"&amp;"го|мышления|координации|движений|комплект|входит|менее|элементов|различной|формы|цвета|атериал|изготовления|пластик")</f>
        <v>троительный|набор|крупных|кубиков|элементов|троительный|набор|включает|крупные|элементы|для|сборки|различных|построек|конструкций|процессе|игры|выполняется|соединение|комбинирование|деталей|между|собой|акая|деятельность|направлена|развитие|пространственного|мышления|координации|движений|комплект|входит|менее|элементов|различной|формы|цвета|атериал|изготовления|пластик</v>
      </c>
      <c r="I846" s="1"/>
      <c r="J846" s="1"/>
    </row>
    <row r="847" spans="1:10" x14ac:dyDescent="0.2">
      <c r="A847" s="8" t="s">
        <v>1109</v>
      </c>
      <c r="B847" s="7" t="s">
        <v>1108</v>
      </c>
      <c r="C847" s="7" t="s">
        <v>1107</v>
      </c>
      <c r="D847" s="6">
        <v>7500</v>
      </c>
      <c r="E847" s="5">
        <v>5</v>
      </c>
      <c r="F847" s="4" t="str">
        <f ca="1">IFERROR(__xludf.DUMMYFUNCTION("LOWER(REGEXREPLACE(B847&amp;"" ""&amp;C847,""[^а-яa-z0-9 ]"","" ""))")," умка для девочек  етская сумка предназначена для сюжетно ролевых игр и повседневного использования в детском саду   атериал   экокожа        вет   розовый  серебристый   азмер   16 7 14 см ")</f>
        <v xml:space="preserve"> умка для девочек  етская сумка предназначена для сюжетно ролевых игр и повседневного использования в детском саду   атериал   экокожа        вет   розовый  серебристый   азмер   16 7 14 см </v>
      </c>
      <c r="G847" s="4" t="str">
        <f ca="1">IFERROR(__xludf.DUMMYFUNCTION("TEXTJOIN(""|"",TRUE,UNIQUE(FILTER(SPLIT(F847,"" ""),LEN(SPLIT(F847,"" ""))&gt;2)))"),"умка|для|девочек|етская|сумка|предназначена|для|сюжетно|ролевых|игр|повседневного|использования|детском|саду|атериал|экокожа|вет|розовый|серебристый|азмер")</f>
        <v>умка|для|девочек|етская|сумка|предназначена|для|сюжетно|ролевых|игр|повседневного|использования|детском|саду|атериал|экокожа|вет|розовый|серебристый|азмер</v>
      </c>
      <c r="I847" s="1"/>
      <c r="J847" s="1"/>
    </row>
    <row r="848" spans="1:10" x14ac:dyDescent="0.2">
      <c r="A848" s="8" t="s">
        <v>1106</v>
      </c>
      <c r="B848" s="7" t="s">
        <v>1105</v>
      </c>
      <c r="C848" s="7" t="s">
        <v>1104</v>
      </c>
      <c r="D848" s="6">
        <v>49400</v>
      </c>
      <c r="E848" s="5">
        <v>70</v>
      </c>
      <c r="F848" s="4" t="str">
        <f ca="1">IFERROR(__xludf.DUMMYFUNCTION("LOWER(REGEXREPLACE(B848&amp;"" ""&amp;C848,""[^а-яa-z0-9 ]"","" ""))")," умка с ручками  етская сумка с ручками предназначена для использования в детском саду  переноска личных вещей  сменной одежды  пособий    атериал         азмер   22 23 см ")</f>
        <v xml:space="preserve"> умка с ручками  етская сумка с ручками предназначена для использования в детском саду  переноска личных вещей  сменной одежды  пособий    атериал         азмер   22 23 см </v>
      </c>
      <c r="G848" s="4" t="str">
        <f ca="1">IFERROR(__xludf.DUMMYFUNCTION("TEXTJOIN(""|"",TRUE,UNIQUE(FILTER(SPLIT(F848,"" ""),LEN(SPLIT(F848,"" ""))&gt;2)))"),"умка|ручками|етская|сумка|ручками|предназначена|для|использования|детском|саду|переноска|личных|вещей|сменной|одежды|пособий|атериал|азмер")</f>
        <v>умка|ручками|етская|сумка|ручками|предназначена|для|использования|детском|саду|переноска|личных|вещей|сменной|одежды|пособий|атериал|азмер</v>
      </c>
      <c r="I848" s="1"/>
      <c r="J848" s="1"/>
    </row>
    <row r="849" spans="1:10" x14ac:dyDescent="0.2">
      <c r="A849" s="8" t="s">
        <v>1103</v>
      </c>
      <c r="B849" s="7" t="s">
        <v>1102</v>
      </c>
      <c r="C849" s="7" t="s">
        <v>1101</v>
      </c>
      <c r="D849" s="6">
        <v>29700</v>
      </c>
      <c r="E849" s="5">
        <v>6</v>
      </c>
      <c r="F849" s="4" t="str">
        <f ca="1">IFERROR(__xludf.DUMMYFUNCTION("LOWER(REGEXREPLACE(B849&amp;"" ""&amp;C849,""[^а-яa-z0-9 ]"","" ""))")," ончарный круг детский  ончарный круг используется для выполнения лепных и формовочных работ с глиной   редставляет собой низкооборотное устройство  обеспечивающее плавное вращение   рименяется для создания простых изделий  сосудов  тарелок и форм   абота"&amp;" с кругом способствует развитию координации движений и творческого мышления   онструкция рассчитана на безопасное использование ")</f>
        <v xml:space="preserve"> ончарный круг детский  ончарный круг используется для выполнения лепных и формовочных работ с глиной   редставляет собой низкооборотное устройство  обеспечивающее плавное вращение   рименяется для создания простых изделий  сосудов  тарелок и форм   абота с кругом способствует развитию координации движений и творческого мышления   онструкция рассчитана на безопасное использование </v>
      </c>
      <c r="G849" s="4" t="str">
        <f ca="1">IFERROR(__xludf.DUMMYFUNCTION("TEXTJOIN(""|"",TRUE,UNIQUE(FILTER(SPLIT(F849,"" ""),LEN(SPLIT(F849,"" ""))&gt;2)))"),"ончарный|круг|детский|ончарный|круг|используется|для|выполнения|лепных|формовочных|работ|глиной|редставляет|собой|низкооборотное|устройство|обеспечивающее|плавное|вращение|рименяется|для|создания|простых|изделий|сосудов|тарелок|форм|абота|кругом|способств"&amp;"ует|развитию|координации|движений|творческого|мышления|онструкция|рассчитана|безопасное|использование")</f>
        <v>ончарный|круг|детский|ончарный|круг|используется|для|выполнения|лепных|формовочных|работ|глиной|редставляет|собой|низкооборотное|устройство|обеспечивающее|плавное|вращение|рименяется|для|создания|простых|изделий|сосудов|тарелок|форм|абота|кругом|способствует|развитию|координации|движений|творческого|мышления|онструкция|рассчитана|безопасное|использование</v>
      </c>
      <c r="I849" s="1"/>
      <c r="J849" s="1"/>
    </row>
    <row r="850" spans="1:10" x14ac:dyDescent="0.2">
      <c r="A850" s="8" t="s">
        <v>1100</v>
      </c>
      <c r="B850" s="7" t="s">
        <v>1099</v>
      </c>
      <c r="C850" s="7" t="s">
        <v>1098</v>
      </c>
      <c r="D850" s="6">
        <v>17100</v>
      </c>
      <c r="E850" s="5">
        <v>14</v>
      </c>
      <c r="F850" s="4" t="str">
        <f ca="1">IFERROR(__xludf.DUMMYFUNCTION("LOWER(REGEXREPLACE(B850&amp;"" ""&amp;C850,""[^а-яa-z0-9 ]"","" ""))")," умочки  абор детских сумочек  3 или 6 шт   для творческих и сюжетно ролевых игр   зготовлены из нетканого материала  украшены мультяшными изображениями животных и цветов   спользуются для развития воображения и мелкой моторики ")</f>
        <v xml:space="preserve"> умочки  абор детских сумочек  3 или 6 шт   для творческих и сюжетно ролевых игр   зготовлены из нетканого материала  украшены мультяшными изображениями животных и цветов   спользуются для развития воображения и мелкой моторики </v>
      </c>
      <c r="G850" s="4" t="str">
        <f ca="1">IFERROR(__xludf.DUMMYFUNCTION("TEXTJOIN(""|"",TRUE,UNIQUE(FILTER(SPLIT(F850,"" ""),LEN(SPLIT(F850,"" ""))&gt;2)))"),"умочки|абор|детских|сумочек|или|для|творческих|сюжетно|ролевых|игр|зготовлены|нетканого|материала|украшены|мультяшными|изображениями|животных|цветов|спользуются|для|развития|воображения|мелкой|моторики")</f>
        <v>умочки|абор|детских|сумочек|или|для|творческих|сюжетно|ролевых|игр|зготовлены|нетканого|материала|украшены|мультяшными|изображениями|животных|цветов|спользуются|для|развития|воображения|мелкой|моторики</v>
      </c>
      <c r="I850" s="1"/>
      <c r="J850" s="1"/>
    </row>
    <row r="851" spans="1:10" x14ac:dyDescent="0.2">
      <c r="A851" s="8" t="s">
        <v>1097</v>
      </c>
      <c r="B851" s="7" t="s">
        <v>1096</v>
      </c>
      <c r="C851" s="7" t="s">
        <v>1095</v>
      </c>
      <c r="D851" s="6">
        <v>66500</v>
      </c>
      <c r="E851" s="5">
        <v>1</v>
      </c>
      <c r="F851" s="4" t="str">
        <f ca="1">IFERROR(__xludf.DUMMYFUNCTION("LOWER(REGEXREPLACE(B851&amp;"" ""&amp;C851,""[^а-яa-z0-9 ]"","" ""))")," ундук  санды    екоративный сундук для хранения книг  настольных игр и текстильных элементов   спользуется также как интерьерный элемент   атериал   дерево или      ")</f>
        <v xml:space="preserve"> ундук  санды    екоративный сундук для хранения книг  настольных игр и текстильных элементов   спользуется также как интерьерный элемент   атериал   дерево или      </v>
      </c>
      <c r="G851" s="4" t="str">
        <f ca="1">IFERROR(__xludf.DUMMYFUNCTION("TEXTJOIN(""|"",TRUE,UNIQUE(FILTER(SPLIT(F851,"" ""),LEN(SPLIT(F851,"" ""))&gt;2)))"),"ундук|санды|екоративный|сундук|для|хранения|книг|настольных|игр|текстильных|элементов|спользуется|также|как|интерьерный|элемент|атериал|дерево|или")</f>
        <v>ундук|санды|екоративный|сундук|для|хранения|книг|настольных|игр|текстильных|элементов|спользуется|также|как|интерьерный|элемент|атериал|дерево|или</v>
      </c>
      <c r="I851" s="1"/>
      <c r="J851" s="1"/>
    </row>
    <row r="852" spans="1:10" x14ac:dyDescent="0.2">
      <c r="A852" s="8" t="s">
        <v>1094</v>
      </c>
      <c r="B852" s="7" t="s">
        <v>1093</v>
      </c>
      <c r="C852" s="7" t="s">
        <v>1092</v>
      </c>
      <c r="D852" s="6">
        <v>2118500</v>
      </c>
      <c r="E852" s="5">
        <v>1</v>
      </c>
      <c r="F852" s="4" t="str">
        <f ca="1">IFERROR(__xludf.DUMMYFUNCTION("LOWER(REGEXREPLACE(B852&amp;"" ""&amp;C852,""[^а-яa-z0-9 ]"","" ""))")," ундучок логопеда  ногофункциональный логопедический комплект  предназначенный для коррекционно развивающей работы с детьми   ключает программное обеспечение на     носителе  мобильный короб с двумя ящиками плавного хода  безопасное акриловое зеркало  вст"&amp;"роенный отсек для песочной терапии  настольную пошаговую игру  беспроводную музыкальную систему  логопедические зонды из медицинской стали  методические пособия  набор для логомассажа  логопедические карточки  мотивационные элементы ")</f>
        <v xml:space="preserve"> ундучок логопеда  ногофункциональный логопедический комплект  предназначенный для коррекционно развивающей работы с детьми   ключает программное обеспечение на     носителе  мобильный короб с двумя ящиками плавного хода  безопасное акриловое зеркало  встроенный отсек для песочной терапии  настольную пошаговую игру  беспроводную музыкальную систему  логопедические зонды из медицинской стали  методические пособия  набор для логомассажа  логопедические карточки  мотивационные элементы </v>
      </c>
      <c r="G852" s="4" t="str">
        <f ca="1">IFERROR(__xludf.DUMMYFUNCTION("TEXTJOIN(""|"",TRUE,UNIQUE(FILTER(SPLIT(F852,"" ""),LEN(SPLIT(F852,"" ""))&gt;2)))"),"ундучок|логопеда|ногофункциональный|логопедический|комплект|предназначенный|для|коррекционно|развивающей|работы|детьми|ключает|программное|обеспечение|носителе|мобильный|короб|двумя|ящиками|плавного|хода|безопасное|акриловое|зеркало|встроенный|отсек|для|п"&amp;"есочной|терапии|настольную|пошаговую|игру|беспроводную|музыкальную|систему|логопедические|зонды|медицинской|стали|методические|пособия|набор|для|логомассажа|логопедические|карточки|мотивационные|элементы")</f>
        <v>ундучок|логопеда|ногофункциональный|логопедический|комплект|предназначенный|для|коррекционно|развивающей|работы|детьми|ключает|программное|обеспечение|носителе|мобильный|короб|двумя|ящиками|плавного|хода|безопасное|акриловое|зеркало|встроенный|отсек|для|песочной|терапии|настольную|пошаговую|игру|беспроводную|музыкальную|систему|логопедические|зонды|медицинской|стали|методические|пособия|набор|для|логомассажа|логопедические|карточки|мотивационные|элементы</v>
      </c>
      <c r="I852" s="1"/>
      <c r="J852" s="1"/>
    </row>
    <row r="853" spans="1:10" x14ac:dyDescent="0.2">
      <c r="A853" s="8" t="s">
        <v>1091</v>
      </c>
      <c r="B853" s="7" t="s">
        <v>1090</v>
      </c>
      <c r="C853" s="7" t="s">
        <v>1089</v>
      </c>
      <c r="D853" s="6">
        <v>564300</v>
      </c>
      <c r="E853" s="5">
        <v>1</v>
      </c>
      <c r="F853" s="4" t="str">
        <f ca="1">IFERROR(__xludf.DUMMYFUNCTION("LOWER(REGEXREPLACE(B853&amp;"" ""&amp;C853,""[^а-яa-z0-9 ]"","" ""))")," ухой бассейн с шариками  ухой бассейн предназначен для сенсорной стимуляции  развития моторики и эмоциональной разгрузки детей   спользуется в групповых и индивидуальных занятиях ")</f>
        <v xml:space="preserve"> ухой бассейн с шариками  ухой бассейн предназначен для сенсорной стимуляции  развития моторики и эмоциональной разгрузки детей   спользуется в групповых и индивидуальных занятиях </v>
      </c>
      <c r="G853" s="4" t="str">
        <f ca="1">IFERROR(__xludf.DUMMYFUNCTION("TEXTJOIN(""|"",TRUE,UNIQUE(FILTER(SPLIT(F853,"" ""),LEN(SPLIT(F853,"" ""))&gt;2)))"),"ухой|бассейн|шариками|ухой|бассейн|предназначен|для|сенсорной|стимуляции|развития|моторики|эмоциональной|разгрузки|детей|спользуется|групповых|индивидуальных|занятиях")</f>
        <v>ухой|бассейн|шариками|ухой|бассейн|предназначен|для|сенсорной|стимуляции|развития|моторики|эмоциональной|разгрузки|детей|спользуется|групповых|индивидуальных|занятиях</v>
      </c>
      <c r="I853" s="1"/>
      <c r="J853" s="1"/>
    </row>
    <row r="854" spans="1:10" x14ac:dyDescent="0.2">
      <c r="A854" s="8" t="s">
        <v>1088</v>
      </c>
      <c r="B854" s="7" t="s">
        <v>1087</v>
      </c>
      <c r="C854" s="7" t="s">
        <v>1086</v>
      </c>
      <c r="D854" s="6">
        <v>279300</v>
      </c>
      <c r="E854" s="5">
        <v>1</v>
      </c>
      <c r="F854" s="4" t="str">
        <f ca="1">IFERROR(__xludf.DUMMYFUNCTION("LOWER(REGEXREPLACE(B854&amp;"" ""&amp;C854,""[^а-яa-z0-9 ]"","" ""))")," ухой интерактивный бассейн угловой  гловой сухой бассейн с подсветкой   атериал   поролон с покрытием из винилискожи   адиус   1 7 м   снащ н гибкой мультиколорной подсветкой с пультом дистанционного управления и различными режимами свечения ")</f>
        <v xml:space="preserve"> ухой интерактивный бассейн угловой  гловой сухой бассейн с подсветкой   атериал   поролон с покрытием из винилискожи   адиус   1 7 м   снащ н гибкой мультиколорной подсветкой с пультом дистанционного управления и различными режимами свечения </v>
      </c>
      <c r="G854" s="4" t="str">
        <f ca="1">IFERROR(__xludf.DUMMYFUNCTION("TEXTJOIN(""|"",TRUE,UNIQUE(FILTER(SPLIT(F854,"" ""),LEN(SPLIT(F854,"" ""))&gt;2)))"),"ухой|интерактивный|бассейн|угловой|гловой|сухой|бассейн|подсветкой|атериал|поролон|покрытием|винилискожи|адиус|снащ|гибкой|мультиколорной|подсветкой|пультом|дистанционного|управления|различными|режимами|свечения")</f>
        <v>ухой|интерактивный|бассейн|угловой|гловой|сухой|бассейн|подсветкой|атериал|поролон|покрытием|винилискожи|адиус|снащ|гибкой|мультиколорной|подсветкой|пультом|дистанционного|управления|различными|режимами|свечения</v>
      </c>
      <c r="I854" s="1"/>
      <c r="J854" s="1"/>
    </row>
    <row r="855" spans="1:10" x14ac:dyDescent="0.2">
      <c r="A855" s="8" t="s">
        <v>1085</v>
      </c>
      <c r="B855" s="7" t="s">
        <v>1084</v>
      </c>
      <c r="C855" s="7" t="s">
        <v>1083</v>
      </c>
      <c r="D855" s="6">
        <v>3000</v>
      </c>
      <c r="E855" s="5">
        <v>1</v>
      </c>
      <c r="F855" s="4" t="str">
        <f ca="1">IFERROR(__xludf.DUMMYFUNCTION("LOWER(REGEXREPLACE(B855&amp;"" ""&amp;C855,""[^а-яa-z0-9 ]"","" ""))"),"  р к жек   ртег   ояма    растар ан  ужикова   ")</f>
        <v xml:space="preserve">  р к жек   ртег   ояма    растар ан  ужикова   </v>
      </c>
      <c r="G855" s="4" t="str">
        <f ca="1">IFERROR(__xludf.DUMMYFUNCTION("TEXTJOIN(""|"",TRUE,UNIQUE(FILTER(SPLIT(F855,"" ""),LEN(SPLIT(F855,"" ""))&gt;2)))"),"жек|ртег|ояма|растар|ужикова")</f>
        <v>жек|ртег|ояма|растар|ужикова</v>
      </c>
      <c r="I855" s="1"/>
      <c r="J855" s="1"/>
    </row>
    <row r="856" spans="1:10" ht="25.5" x14ac:dyDescent="0.2">
      <c r="A856" s="8" t="s">
        <v>1082</v>
      </c>
      <c r="B856" s="7" t="s">
        <v>1081</v>
      </c>
      <c r="C856" s="7" t="s">
        <v>1080</v>
      </c>
      <c r="D856" s="6">
        <v>3500</v>
      </c>
      <c r="E856" s="5">
        <v>75</v>
      </c>
      <c r="F856" s="4" t="str">
        <f ca="1">IFERROR(__xludf.DUMMYFUNCTION("LOWER(REGEXREPLACE(B856&amp;"" ""&amp;C856,""[^а-яa-z0-9 ]"","" ""))")," ч тные палочки  ч тные палочки в количестве 50 шт   спользуются для обучения сч ту  развитию математических представлений и логического мышления   атериал   безопасный пластик ")</f>
        <v xml:space="preserve"> ч тные палочки  ч тные палочки в количестве 50 шт   спользуются для обучения сч ту  развитию математических представлений и логического мышления   атериал   безопасный пластик </v>
      </c>
      <c r="G856" s="4" t="str">
        <f ca="1">IFERROR(__xludf.DUMMYFUNCTION("TEXTJOIN(""|"",TRUE,UNIQUE(FILTER(SPLIT(F856,"" ""),LEN(SPLIT(F856,"" ""))&gt;2)))"),"тные|палочки|тные|палочки|количестве|спользуются|для|обучения|развитию|математических|представлений|логического|мышления|атериал|безопасный|пластик")</f>
        <v>тные|палочки|тные|палочки|количестве|спользуются|для|обучения|развитию|математических|представлений|логического|мышления|атериал|безопасный|пластик</v>
      </c>
      <c r="I856" s="1"/>
      <c r="J856" s="1"/>
    </row>
    <row r="857" spans="1:10" ht="25.5" x14ac:dyDescent="0.2">
      <c r="A857" s="8" t="s">
        <v>1079</v>
      </c>
      <c r="B857" s="7" t="s">
        <v>1078</v>
      </c>
      <c r="C857" s="7" t="s">
        <v>1077</v>
      </c>
      <c r="D857" s="6">
        <v>2600</v>
      </c>
      <c r="E857" s="5">
        <v>175</v>
      </c>
      <c r="F857" s="4" t="str">
        <f ca="1">IFERROR(__xludf.DUMMYFUNCTION("LOWER(REGEXREPLACE(B857&amp;"" ""&amp;C857,""[^а-яa-z0-9 ]"","" ""))")," ч тный материал  асса цифр и сч тных материалов предназначена для обучения детей основам сч та   атериал   пластик  элементы безопасны для использования в     ")</f>
        <v xml:space="preserve"> ч тный материал  асса цифр и сч тных материалов предназначена для обучения детей основам сч та   атериал   пластик  элементы безопасны для использования в     </v>
      </c>
      <c r="G857" s="4" t="str">
        <f ca="1">IFERROR(__xludf.DUMMYFUNCTION("TEXTJOIN(""|"",TRUE,UNIQUE(FILTER(SPLIT(F857,"" ""),LEN(SPLIT(F857,"" ""))&gt;2)))"),"тный|материал|асса|цифр|тных|материалов|предназначена|для|обучения|детей|основам|атериал|пластик|элементы|безопасны|для|использования")</f>
        <v>тный|материал|асса|цифр|тных|материалов|предназначена|для|обучения|детей|основам|атериал|пластик|элементы|безопасны|для|использования</v>
      </c>
      <c r="I857" s="1"/>
      <c r="J857" s="1"/>
    </row>
    <row r="858" spans="1:10" ht="38.25" x14ac:dyDescent="0.2">
      <c r="A858" s="8" t="s">
        <v>1076</v>
      </c>
      <c r="B858" s="7" t="s">
        <v>1075</v>
      </c>
      <c r="C858" s="7" t="s">
        <v>1074</v>
      </c>
      <c r="D858" s="6">
        <v>9700</v>
      </c>
      <c r="E858" s="5">
        <v>5</v>
      </c>
      <c r="F858" s="4" t="str">
        <f ca="1">IFERROR(__xludf.DUMMYFUNCTION("LOWER(REGEXREPLACE(B858&amp;"" ""&amp;C858,""[^а-яa-z0-9 ]"","" ""))")," ч тный материал   атр шки   деревянный набор   ч тный материал используется для выполнения упражнений на сч т и сравнение количества    процессе работы выполняется группировка и пересч т фигурок   абор включает не менее 10 деревянных элементов   рименяет"&amp;"ся в учебно игровой деятельности ")</f>
        <v xml:space="preserve"> ч тный материал   атр шки   деревянный набор   ч тный материал используется для выполнения упражнений на сч т и сравнение количества    процессе работы выполняется группировка и пересч т фигурок   абор включает не менее 10 деревянных элементов   рименяется в учебно игровой деятельности </v>
      </c>
      <c r="G858" s="4" t="str">
        <f ca="1">IFERROR(__xludf.DUMMYFUNCTION("TEXTJOIN(""|"",TRUE,UNIQUE(FILTER(SPLIT(F858,"" ""),LEN(SPLIT(F858,"" ""))&gt;2)))"),"тный|материал|атр|шки|деревянный|набор|тный|материал|используется|для|выполнения|упражнений|сравнение|количества|процессе|работы|выполняется|группировка|пересч|фигурок|абор|включает|менее|деревянных|элементов|рименяется|учебно|игровой|деятельности")</f>
        <v>тный|материал|атр|шки|деревянный|набор|тный|материал|используется|для|выполнения|упражнений|сравнение|количества|процессе|работы|выполняется|группировка|пересч|фигурок|абор|включает|менее|деревянных|элементов|рименяется|учебно|игровой|деятельности</v>
      </c>
      <c r="I858" s="1"/>
      <c r="J858" s="1"/>
    </row>
    <row r="859" spans="1:10" ht="51" x14ac:dyDescent="0.2">
      <c r="A859" s="8" t="s">
        <v>1073</v>
      </c>
      <c r="B859" s="7" t="s">
        <v>1072</v>
      </c>
      <c r="C859" s="7" t="s">
        <v>1071</v>
      </c>
      <c r="D859" s="6">
        <v>45600</v>
      </c>
      <c r="E859" s="5">
        <v>5</v>
      </c>
      <c r="F859" s="4" t="str">
        <f ca="1">IFERROR(__xludf.DUMMYFUNCTION("LOWER(REGEXREPLACE(B859&amp;"" ""&amp;C859,""[^а-яa-z0-9 ]"","" ""))")," оршечные растения с ароматными травами  базилик  тимьян  розмарин  мята  орегано  шалфей   оршечные растения с ароматными травами используются для проведения экспериментов и изучения растений для детей       рименяются для визуального и сенсорного воспри"&amp;"ятия запахов натуральных растений   азмещаются в помещениях в декоративных  мкостях   е требуют сложного ухода и подходят для эксплуатации в закрытых пространствах ")</f>
        <v xml:space="preserve"> оршечные растения с ароматными травами  базилик  тимьян  розмарин  мята  орегано  шалфей   оршечные растения с ароматными травами используются для проведения экспериментов и изучения растений для детей       рименяются для визуального и сенсорного восприятия запахов натуральных растений   азмещаются в помещениях в декоративных  мкостях   е требуют сложного ухода и подходят для эксплуатации в закрытых пространствах </v>
      </c>
      <c r="G859" s="4" t="str">
        <f ca="1">IFERROR(__xludf.DUMMYFUNCTION("TEXTJOIN(""|"",TRUE,UNIQUE(FILTER(SPLIT(F859,"" ""),LEN(SPLIT(F859,"" ""))&gt;2)))"),"оршечные|растения|ароматными|травами|базилик|тимьян|розмарин|мята|орегано|шалфей|оршечные|растения|ароматными|травами|используются|для|проведения|экспериментов|изучения|растений|для|детей|рименяются|для|визуального|сенсорного|восприятия|запахов|натуральны"&amp;"х|растений|азмещаются|помещениях|декоративных|мкостях|требуют|сложного|ухода|подходят|для|эксплуатации|закрытых|пространствах")</f>
        <v>оршечные|растения|ароматными|травами|базилик|тимьян|розмарин|мята|орегано|шалфей|оршечные|растения|ароматными|травами|используются|для|проведения|экспериментов|изучения|растений|для|детей|рименяются|для|визуального|сенсорного|восприятия|запахов|натуральных|растений|азмещаются|помещениях|декоративных|мкостях|требуют|сложного|ухода|подходят|для|эксплуатации|закрытых|пространствах</v>
      </c>
      <c r="I859" s="1"/>
      <c r="J859" s="1"/>
    </row>
    <row r="860" spans="1:10" ht="51" x14ac:dyDescent="0.2">
      <c r="A860" s="8" t="s">
        <v>1070</v>
      </c>
      <c r="B860" s="7" t="s">
        <v>1069</v>
      </c>
      <c r="C860" s="7" t="s">
        <v>1068</v>
      </c>
      <c r="D860" s="6">
        <v>13000</v>
      </c>
      <c r="E860" s="5">
        <v>10</v>
      </c>
      <c r="F860" s="4" t="str">
        <f ca="1">IFERROR(__xludf.DUMMYFUNCTION("LOWER(REGEXREPLACE(B860&amp;"" ""&amp;C860,""[^а-яa-z0-9 ]"","" ""))")," ч ты учебные для формирования навыков сч та  ч ты используются для выполнения упражнений на сч т и наглядное представление количества    процессе работы выполняется перемещение косточек по направляющим и составление числовых комбинаций   акая деятельност"&amp;"ь способствует освоению операций сч та и развитию внимания   онструкция рассчитана на многократное использование ")</f>
        <v xml:space="preserve"> ч ты учебные для формирования навыков сч та  ч ты используются для выполнения упражнений на сч т и наглядное представление количества    процессе работы выполняется перемещение косточек по направляющим и составление числовых комбинаций   акая деятельность способствует освоению операций сч та и развитию внимания   онструкция рассчитана на многократное использование </v>
      </c>
      <c r="G860" s="4" t="str">
        <f ca="1">IFERROR(__xludf.DUMMYFUNCTION("TEXTJOIN(""|"",TRUE,UNIQUE(FILTER(SPLIT(F860,"" ""),LEN(SPLIT(F860,"" ""))&gt;2)))"),"учебные|для|формирования|навыков|используются|для|выполнения|упражнений|наглядное|представление|количества|процессе|работы|выполняется|перемещение|косточек|направляющим|составление|числовых|комбинаций|акая|деятельность|способствует|освоению|операций|разви"&amp;"тию|внимания|онструкция|рассчитана|многократное|использование")</f>
        <v>учебные|для|формирования|навыков|используются|для|выполнения|упражнений|наглядное|представление|количества|процессе|работы|выполняется|перемещение|косточек|направляющим|составление|числовых|комбинаций|акая|деятельность|способствует|освоению|операций|развитию|внимания|онструкция|рассчитана|многократное|использование</v>
      </c>
      <c r="I860" s="1"/>
      <c r="J860" s="1"/>
    </row>
    <row r="861" spans="1:10" ht="25.5" x14ac:dyDescent="0.2">
      <c r="A861" s="8" t="s">
        <v>1067</v>
      </c>
      <c r="B861" s="7" t="s">
        <v>1066</v>
      </c>
      <c r="C861" s="7" t="s">
        <v>1065</v>
      </c>
      <c r="D861" s="6">
        <v>7300</v>
      </c>
      <c r="E861" s="5">
        <v>21</v>
      </c>
      <c r="F861" s="4" t="str">
        <f ca="1">IFERROR(__xludf.DUMMYFUNCTION("LOWER(REGEXREPLACE(B861&amp;"" ""&amp;C861,""[^а-яa-z0-9 ]"","" ""))")," южетные картинки  абор сюжетных картинок используется для развития речи  мышления и воображения детей   рименяется в индивидуальной и групповой работе ")</f>
        <v xml:space="preserve"> южетные картинки  абор сюжетных картинок используется для развития речи  мышления и воображения детей   рименяется в индивидуальной и групповой работе </v>
      </c>
      <c r="G861" s="4" t="str">
        <f ca="1">IFERROR(__xludf.DUMMYFUNCTION("TEXTJOIN(""|"",TRUE,UNIQUE(FILTER(SPLIT(F861,"" ""),LEN(SPLIT(F861,"" ""))&gt;2)))"),"южетные|картинки|абор|сюжетных|картинок|используется|для|развития|речи|мышления|воображения|детей|рименяется|индивидуальной|групповой|работе")</f>
        <v>южетные|картинки|абор|сюжетных|картинок|используется|для|развития|речи|мышления|воображения|детей|рименяется|индивидуальной|групповой|работе</v>
      </c>
      <c r="I861" s="1"/>
      <c r="J861" s="1"/>
    </row>
    <row r="862" spans="1:10" ht="25.5" x14ac:dyDescent="0.2">
      <c r="A862" s="8" t="s">
        <v>1064</v>
      </c>
      <c r="B862" s="7" t="s">
        <v>1063</v>
      </c>
      <c r="C862" s="7" t="s">
        <v>1062</v>
      </c>
      <c r="D862" s="6">
        <v>9500</v>
      </c>
      <c r="E862" s="5">
        <v>1</v>
      </c>
      <c r="F862" s="4" t="str">
        <f ca="1">IFERROR(__xludf.DUMMYFUNCTION("LOWER(REGEXREPLACE(B862&amp;"" ""&amp;C862,""[^а-яa-z0-9 ]"","" ""))")," южетные картинки   комплекты  абор сюжетных картинок по теме   кружающий мир    атериал   бумага  картон   спользуется в образовательной деятельности     ")</f>
        <v xml:space="preserve"> южетные картинки   комплекты  абор сюжетных картинок по теме   кружающий мир    атериал   бумага  картон   спользуется в образовательной деятельности     </v>
      </c>
      <c r="G862" s="4" t="str">
        <f ca="1">IFERROR(__xludf.DUMMYFUNCTION("TEXTJOIN(""|"",TRUE,UNIQUE(FILTER(SPLIT(F862,"" ""),LEN(SPLIT(F862,"" ""))&gt;2)))"),"южетные|картинки|комплекты|абор|сюжетных|картинок|теме|кружающий|мир|атериал|бумага|картон|спользуется|образовательной|деятельности")</f>
        <v>южетные|картинки|комплекты|абор|сюжетных|картинок|теме|кружающий|мир|атериал|бумага|картон|спользуется|образовательной|деятельности</v>
      </c>
      <c r="I862" s="1"/>
      <c r="J862" s="1"/>
    </row>
    <row r="863" spans="1:10" ht="38.25" x14ac:dyDescent="0.2">
      <c r="A863" s="8" t="s">
        <v>1061</v>
      </c>
      <c r="B863" s="7" t="s">
        <v>1060</v>
      </c>
      <c r="C863" s="7" t="s">
        <v>1059</v>
      </c>
      <c r="D863" s="6">
        <v>5700</v>
      </c>
      <c r="E863" s="5">
        <v>7</v>
      </c>
      <c r="F863" s="4" t="str">
        <f ca="1">IFERROR(__xludf.DUMMYFUNCTION("LOWER(REGEXREPLACE(B863&amp;"" ""&amp;C863,""[^а-яa-z0-9 ]"","" ""))")," южетные картинки для детей раннего возраста  особие с сюжетными картинками для детей 2 3 лет   спользуется для формирования навыков рассматривания  беседы и рассказывания по картинкам  развития речи  внимания и познавательных представлений ")</f>
        <v xml:space="preserve"> южетные картинки для детей раннего возраста  особие с сюжетными картинками для детей 2 3 лет   спользуется для формирования навыков рассматривания  беседы и рассказывания по картинкам  развития речи  внимания и познавательных представлений </v>
      </c>
      <c r="G863" s="4" t="str">
        <f ca="1">IFERROR(__xludf.DUMMYFUNCTION("TEXTJOIN(""|"",TRUE,UNIQUE(FILTER(SPLIT(F863,"" ""),LEN(SPLIT(F863,"" ""))&gt;2)))"),"южетные|картинки|для|детей|раннего|возраста|особие|сюжетными|картинками|для|детей|лет|спользуется|для|формирования|навыков|рассматривания|беседы|рассказывания|картинкам|развития|речи|внимания|познавательных|представлений")</f>
        <v>южетные|картинки|для|детей|раннего|возраста|особие|сюжетными|картинками|для|детей|лет|спользуется|для|формирования|навыков|рассматривания|беседы|рассказывания|картинкам|развития|речи|внимания|познавательных|представлений</v>
      </c>
      <c r="I863" s="1"/>
      <c r="J863" s="1"/>
    </row>
    <row r="864" spans="1:10" ht="25.5" x14ac:dyDescent="0.2">
      <c r="A864" s="8" t="s">
        <v>1058</v>
      </c>
      <c r="B864" s="7" t="s">
        <v>1057</v>
      </c>
      <c r="C864" s="7"/>
      <c r="D864" s="6">
        <v>6400</v>
      </c>
      <c r="E864" s="5">
        <v>1</v>
      </c>
      <c r="F864" s="4" t="str">
        <f ca="1">IFERROR(__xludf.DUMMYFUNCTION("LOWER(REGEXREPLACE(B864&amp;"" ""&amp;C864,""[^а-яa-z0-9 ]"","" ""))")," аза м нс з асыл с з           асырларда ы жырауларды   ")</f>
        <v xml:space="preserve"> аза м нс з асыл с з           асырларда ы жырауларды   </v>
      </c>
      <c r="G864" s="4" t="str">
        <f ca="1">IFERROR(__xludf.DUMMYFUNCTION("TEXTJOIN(""|"",TRUE,UNIQUE(FILTER(SPLIT(F864,"" ""),LEN(SPLIT(F864,"" ""))&gt;2)))"),"аза|асыл|асырларда|жырауларды")</f>
        <v>аза|асыл|асырларда|жырауларды</v>
      </c>
      <c r="I864" s="1"/>
      <c r="J864" s="1"/>
    </row>
    <row r="865" spans="1:10" ht="38.25" x14ac:dyDescent="0.2">
      <c r="A865" s="8" t="s">
        <v>1056</v>
      </c>
      <c r="B865" s="7" t="s">
        <v>1055</v>
      </c>
      <c r="C865" s="7" t="s">
        <v>1054</v>
      </c>
      <c r="D865" s="6">
        <v>375400</v>
      </c>
      <c r="E865" s="5">
        <v>1</v>
      </c>
      <c r="F865" s="4" t="str">
        <f ca="1">IFERROR(__xludf.DUMMYFUNCTION("LOWER(REGEXREPLACE(B865&amp;"" ""&amp;C865,""[^а-яa-z0-9 ]"","" ""))")," актильно развивающая панель   усеница   астенная тактильно сенсорная панель из дерева  предназначена для детей от 3 лет   остоит из 4 модулей  акриловые зеркала  лабиринты для движения по прорези  магнитный лабиринт  тактильные элементы  цепочки  кисточк"&amp;"и  колесики  шершавые поверхности ")</f>
        <v xml:space="preserve"> актильно развивающая панель   усеница   астенная тактильно сенсорная панель из дерева  предназначена для детей от 3 лет   остоит из 4 модулей  акриловые зеркала  лабиринты для движения по прорези  магнитный лабиринт  тактильные элементы  цепочки  кисточки  колесики  шершавые поверхности </v>
      </c>
      <c r="G865" s="4" t="str">
        <f ca="1">IFERROR(__xludf.DUMMYFUNCTION("TEXTJOIN(""|"",TRUE,UNIQUE(FILTER(SPLIT(F865,"" ""),LEN(SPLIT(F865,"" ""))&gt;2)))"),"актильно|развивающая|панель|усеница|астенная|тактильно|сенсорная|панель|дерева|предназначена|для|детей|лет|остоит|модулей|акриловые|зеркала|лабиринты|для|движения|прорези|магнитный|лабиринт|тактильные|элементы|цепочки|кисточки|колесики|шершавые|поверхност"&amp;"и")</f>
        <v>актильно|развивающая|панель|усеница|астенная|тактильно|сенсорная|панель|дерева|предназначена|для|детей|лет|остоит|модулей|акриловые|зеркала|лабиринты|для|движения|прорези|магнитный|лабиринт|тактильные|элементы|цепочки|кисточки|колесики|шершавые|поверхности</v>
      </c>
      <c r="I865" s="1"/>
      <c r="J865" s="1"/>
    </row>
    <row r="866" spans="1:10" ht="12.75" x14ac:dyDescent="0.2">
      <c r="A866" s="8" t="s">
        <v>1053</v>
      </c>
      <c r="B866" s="7" t="s">
        <v>1052</v>
      </c>
      <c r="C866" s="7" t="s">
        <v>1051</v>
      </c>
      <c r="D866" s="6">
        <v>10500</v>
      </c>
      <c r="E866" s="5">
        <v>2</v>
      </c>
      <c r="F866" s="4" t="str">
        <f ca="1">IFERROR(__xludf.DUMMYFUNCTION("LOWER(REGEXREPLACE(B866&amp;"" ""&amp;C866,""[^а-яa-z0-9 ]"","" ""))")," актильные   ячики пищалки   гравой набор сенсорной  тактильных мячиков 6 штук   атериал резина")</f>
        <v xml:space="preserve"> актильные   ячики пищалки   гравой набор сенсорной  тактильных мячиков 6 штук   атериал резина</v>
      </c>
      <c r="G866" s="4" t="str">
        <f ca="1">IFERROR(__xludf.DUMMYFUNCTION("TEXTJOIN(""|"",TRUE,UNIQUE(FILTER(SPLIT(F866,"" ""),LEN(SPLIT(F866,"" ""))&gt;2)))"),"актильные|ячики|пищалки|гравой|набор|сенсорной|тактильных|мячиков|штук|атериал|резина")</f>
        <v>актильные|ячики|пищалки|гравой|набор|сенсорной|тактильных|мячиков|штук|атериал|резина</v>
      </c>
      <c r="I866" s="1"/>
      <c r="J866" s="1"/>
    </row>
    <row r="867" spans="1:10" ht="25.5" x14ac:dyDescent="0.2">
      <c r="A867" s="8" t="s">
        <v>1050</v>
      </c>
      <c r="B867" s="7" t="s">
        <v>1049</v>
      </c>
      <c r="C867" s="7" t="s">
        <v>1048</v>
      </c>
      <c r="D867" s="6">
        <v>292800</v>
      </c>
      <c r="E867" s="5">
        <v>2</v>
      </c>
      <c r="F867" s="4" t="str">
        <f ca="1">IFERROR(__xludf.DUMMYFUNCTION("LOWER(REGEXREPLACE(B867&amp;"" ""&amp;C867,""[^а-яa-z0-9 ]"","" ""))")," актильные дорожки  енсорные дорожки с различными поверхностями предназначены для развития тактильного восприятия  координации движений и баланса   атериал покрытия   текстиль ")</f>
        <v xml:space="preserve"> актильные дорожки  енсорные дорожки с различными поверхностями предназначены для развития тактильного восприятия  координации движений и баланса   атериал покрытия   текстиль </v>
      </c>
      <c r="G867" s="4" t="str">
        <f ca="1">IFERROR(__xludf.DUMMYFUNCTION("TEXTJOIN(""|"",TRUE,UNIQUE(FILTER(SPLIT(F867,"" ""),LEN(SPLIT(F867,"" ""))&gt;2)))"),"актильные|дорожки|енсорные|дорожки|различными|поверхностями|предназначены|для|развития|тактильного|восприятия|координации|движений|баланса|атериал|покрытия|текстиль")</f>
        <v>актильные|дорожки|енсорные|дорожки|различными|поверхностями|предназначены|для|развития|тактильного|восприятия|координации|движений|баланса|атериал|покрытия|текстиль</v>
      </c>
      <c r="I867" s="1"/>
      <c r="J867" s="1"/>
    </row>
    <row r="868" spans="1:10" ht="25.5" x14ac:dyDescent="0.2">
      <c r="A868" s="8" t="s">
        <v>1047</v>
      </c>
      <c r="B868" s="7" t="s">
        <v>1046</v>
      </c>
      <c r="C868" s="7" t="s">
        <v>1045</v>
      </c>
      <c r="D868" s="6">
        <v>5300</v>
      </c>
      <c r="E868" s="5">
        <v>1</v>
      </c>
      <c r="F868" s="4" t="str">
        <f ca="1">IFERROR(__xludf.DUMMYFUNCTION("LOWER(REGEXREPLACE(B868&amp;"" ""&amp;C868,""[^а-яa-z0-9 ]"","" ""))")," актильные карточки  актильные карточки используются для развития сенсорного восприятия  речи и мелкой моторики у детей дошкольного возраста ")</f>
        <v xml:space="preserve"> актильные карточки  актильные карточки используются для развития сенсорного восприятия  речи и мелкой моторики у детей дошкольного возраста </v>
      </c>
      <c r="G868" s="4" t="str">
        <f ca="1">IFERROR(__xludf.DUMMYFUNCTION("TEXTJOIN(""|"",TRUE,UNIQUE(FILTER(SPLIT(F868,"" ""),LEN(SPLIT(F868,"" ""))&gt;2)))"),"актильные|карточки|актильные|карточки|используются|для|развития|сенсорного|восприятия|речи|мелкой|моторики|детей|дошкольного|возраста")</f>
        <v>актильные|карточки|актильные|карточки|используются|для|развития|сенсорного|восприятия|речи|мелкой|моторики|детей|дошкольного|возраста</v>
      </c>
      <c r="I868" s="1"/>
      <c r="J868" s="1"/>
    </row>
    <row r="869" spans="1:10" ht="51" x14ac:dyDescent="0.2">
      <c r="A869" s="8" t="s">
        <v>1044</v>
      </c>
      <c r="B869" s="7" t="s">
        <v>1043</v>
      </c>
      <c r="C869" s="7" t="s">
        <v>1042</v>
      </c>
      <c r="D869" s="6">
        <v>20400</v>
      </c>
      <c r="E869" s="5">
        <v>5</v>
      </c>
      <c r="F869" s="4" t="str">
        <f ca="1">IFERROR(__xludf.DUMMYFUNCTION("LOWER(REGEXREPLACE(B869&amp;"" ""&amp;C869,""[^а-яa-z0-9 ]"","" ""))")," рузовые машинки с веревкой  рузовые машинки с веревкой  длина не менее 18 см  высота не менее 11 см  в комплекте разноцветные игрушки  красный  голубой  желтый    редназначены для сюжетно ролевых и развивающих игр в детском саду  способствуют формировани"&amp;"ю мелкой моторики  воображения  координации движений и навыков взаимодействия между детьми ")</f>
        <v xml:space="preserve"> рузовые машинки с веревкой  рузовые машинки с веревкой  длина не менее 18 см  высота не менее 11 см  в комплекте разноцветные игрушки  красный  голубой  желтый    редназначены для сюжетно ролевых и развивающих игр в детском саду  способствуют формированию мелкой моторики  воображения  координации движений и навыков взаимодействия между детьми </v>
      </c>
      <c r="G869" s="4" t="str">
        <f ca="1">IFERROR(__xludf.DUMMYFUNCTION("TEXTJOIN(""|"",TRUE,UNIQUE(FILTER(SPLIT(F869,"" ""),LEN(SPLIT(F869,"" ""))&gt;2)))"),"рузовые|машинки|веревкой|рузовые|машинки|веревкой|длина|менее|высота|менее|комплекте|разноцветные|игрушки|красный|голубой|желтый|редназначены|для|сюжетно|ролевых|развивающих|игр|детском|саду|способствуют|формированию|мелкой|моторики|воображения|координаци"&amp;"и|движений|навыков|взаимодействия|между|детьми")</f>
        <v>рузовые|машинки|веревкой|рузовые|машинки|веревкой|длина|менее|высота|менее|комплекте|разноцветные|игрушки|красный|голубой|желтый|редназначены|для|сюжетно|ролевых|развивающих|игр|детском|саду|способствуют|формированию|мелкой|моторики|воображения|координации|движений|навыков|взаимодействия|между|детьми</v>
      </c>
      <c r="I869" s="1"/>
      <c r="J869" s="1"/>
    </row>
    <row r="870" spans="1:10" ht="38.25" x14ac:dyDescent="0.2">
      <c r="A870" s="8" t="s">
        <v>1041</v>
      </c>
      <c r="B870" s="7" t="s">
        <v>1040</v>
      </c>
      <c r="C870" s="7" t="s">
        <v>1039</v>
      </c>
      <c r="D870" s="6">
        <v>11400</v>
      </c>
      <c r="E870" s="5">
        <v>10</v>
      </c>
      <c r="F870" s="4" t="str">
        <f ca="1">IFERROR(__xludf.DUMMYFUNCTION("LOWER(REGEXREPLACE(B870&amp;"" ""&amp;C870,""[^а-яa-z0-9 ]"","" ""))")," актильные мешочки разноцветные  абор тактильных мешочков предназначен для развития мелкой моторики  тактильного восприятия и координации движений   азмер мешочков   9 9 см  количество   3 шт   общий вес   60 г   ополнительно в комплекте кинезио мячи диам"&amp;"етром 6 см   2 шт   атериалы безопасные и прочные ")</f>
        <v xml:space="preserve"> актильные мешочки разноцветные  абор тактильных мешочков предназначен для развития мелкой моторики  тактильного восприятия и координации движений   азмер мешочков   9 9 см  количество   3 шт   общий вес   60 г   ополнительно в комплекте кинезио мячи диаметром 6 см   2 шт   атериалы безопасные и прочные </v>
      </c>
      <c r="G870" s="4" t="str">
        <f ca="1">IFERROR(__xludf.DUMMYFUNCTION("TEXTJOIN(""|"",TRUE,UNIQUE(FILTER(SPLIT(F870,"" ""),LEN(SPLIT(F870,"" ""))&gt;2)))"),"актильные|мешочки|разноцветные|абор|тактильных|мешочков|предназначен|для|развития|мелкой|моторики|тактильного|восприятия|координации|движений|азмер|мешочков|количество|общий|вес|ополнительно|комплекте|кинезио|мячи|диаметром|атериалы|безопасные|прочные")</f>
        <v>актильные|мешочки|разноцветные|абор|тактильных|мешочков|предназначен|для|развития|мелкой|моторики|тактильного|восприятия|координации|движений|азмер|мешочков|количество|общий|вес|ополнительно|комплекте|кинезио|мячи|диаметром|атериалы|безопасные|прочные</v>
      </c>
      <c r="I870" s="1"/>
      <c r="J870" s="1"/>
    </row>
    <row r="871" spans="1:10" ht="12.75" x14ac:dyDescent="0.2">
      <c r="A871" s="8" t="s">
        <v>1038</v>
      </c>
      <c r="B871" s="7" t="s">
        <v>1037</v>
      </c>
      <c r="C871" s="7" t="s">
        <v>1036</v>
      </c>
      <c r="D871" s="6">
        <v>21900</v>
      </c>
      <c r="E871" s="5">
        <v>1</v>
      </c>
      <c r="F871" s="4" t="str">
        <f ca="1">IFERROR(__xludf.DUMMYFUNCTION("LOWER(REGEXREPLACE(B871&amp;"" ""&amp;C871,""[^а-яa-z0-9 ]"","" ""))")," арихи тул алар    огысбаев     ужикова")</f>
        <v xml:space="preserve"> арихи тул алар    огысбаев     ужикова</v>
      </c>
      <c r="G871" s="4" t="str">
        <f ca="1">IFERROR(__xludf.DUMMYFUNCTION("TEXTJOIN(""|"",TRUE,UNIQUE(FILTER(SPLIT(F871,"" ""),LEN(SPLIT(F871,"" ""))&gt;2)))"),"арихи|тул|алар|огысбаев|ужикова")</f>
        <v>арихи|тул|алар|огысбаев|ужикова</v>
      </c>
      <c r="I871" s="1"/>
      <c r="J871" s="1"/>
    </row>
    <row r="872" spans="1:10" ht="12.75" x14ac:dyDescent="0.2">
      <c r="A872" s="8" t="s">
        <v>1035</v>
      </c>
      <c r="B872" s="7" t="s">
        <v>1034</v>
      </c>
      <c r="C872" s="7" t="s">
        <v>1033</v>
      </c>
      <c r="D872" s="6">
        <v>11400</v>
      </c>
      <c r="E872" s="5">
        <v>1</v>
      </c>
      <c r="F872" s="4" t="str">
        <f ca="1">IFERROR(__xludf.DUMMYFUNCTION("LOWER(REGEXREPLACE(B872&amp;"" ""&amp;C872,""[^а-яa-z0-9 ]"","" ""))")," ая шалар  нтеллектум  ")</f>
        <v xml:space="preserve"> ая шалар  нтеллектум  </v>
      </c>
      <c r="G872" s="4" t="str">
        <f ca="1">IFERROR(__xludf.DUMMYFUNCTION("TEXTJOIN(""|"",TRUE,UNIQUE(FILTER(SPLIT(F872,"" ""),LEN(SPLIT(F872,"" ""))&gt;2)))"),"шалар|нтеллектум")</f>
        <v>шалар|нтеллектум</v>
      </c>
      <c r="I872" s="1"/>
      <c r="J872" s="1"/>
    </row>
    <row r="873" spans="1:10" ht="12.75" x14ac:dyDescent="0.2">
      <c r="A873" s="8" t="s">
        <v>1032</v>
      </c>
      <c r="B873" s="7" t="s">
        <v>1031</v>
      </c>
      <c r="C873" s="7" t="s">
        <v>1025</v>
      </c>
      <c r="D873" s="6">
        <v>11400</v>
      </c>
      <c r="E873" s="5">
        <v>75</v>
      </c>
      <c r="F873" s="4" t="str">
        <f ca="1">IFERROR(__xludf.DUMMYFUNCTION("LOWER(REGEXREPLACE(B873&amp;"" ""&amp;C873,""[^а-яa-z0-9 ]"","" ""))")," ая шалар   нтеллектум")</f>
        <v xml:space="preserve"> ая шалар   нтеллектум</v>
      </c>
      <c r="G873" s="4" t="str">
        <f ca="1">IFERROR(__xludf.DUMMYFUNCTION("TEXTJOIN(""|"",TRUE,UNIQUE(FILTER(SPLIT(F873,"" ""),LEN(SPLIT(F873,"" ""))&gt;2)))"),"шалар|нтеллектум")</f>
        <v>шалар|нтеллектум</v>
      </c>
      <c r="I873" s="1"/>
      <c r="J873" s="1"/>
    </row>
    <row r="874" spans="1:10" ht="63.75" x14ac:dyDescent="0.2">
      <c r="A874" s="8" t="s">
        <v>1030</v>
      </c>
      <c r="B874" s="7" t="s">
        <v>1029</v>
      </c>
      <c r="C874" s="7" t="s">
        <v>1028</v>
      </c>
      <c r="D874" s="6">
        <v>34400</v>
      </c>
      <c r="E874" s="5">
        <v>5</v>
      </c>
      <c r="F874" s="4" t="str">
        <f ca="1">IFERROR(__xludf.DUMMYFUNCTION("LOWER(REGEXREPLACE(B874&amp;"" ""&amp;C874,""[^а-яa-z0-9 ]"","" ""))")," еатр теней   олобок   еатр теней предназначен для организации театрализованной и образовательной деятельности детей дошкольного возраста   спользуется для инсценировки русской народной сказки   олобок   развития речи  воображения  эмоциональной выразител"&amp;"ьности и коммуникативных навыков    комплект входят экран для теневого театра и набор фигур персонажей сказки   атериалы безопасные  прочные  адаптированы для использования в детских учреждениях ")</f>
        <v xml:space="preserve"> еатр теней   олобок   еатр теней предназначен для организации театрализованной и образовательной деятельности детей дошкольного возраста   спользуется для инсценировки русской народной сказки   олобок   развития речи  воображения  эмоциональной выразительности и коммуникативных навыков    комплект входят экран для теневого театра и набор фигур персонажей сказки   атериалы безопасные  прочные  адаптированы для использования в детских учреждениях </v>
      </c>
      <c r="G874" s="4" t="str">
        <f ca="1">IFERROR(__xludf.DUMMYFUNCTION("TEXTJOIN(""|"",TRUE,UNIQUE(FILTER(SPLIT(F874,"" ""),LEN(SPLIT(F874,"" ""))&gt;2)))"),"еатр|теней|олобок|еатр|теней|предназначен|для|организации|театрализованной|образовательной|деятельности|детей|дошкольного|возраста|спользуется|для|инсценировки|русской|народной|сказки|олобок|развития|речи|воображения|эмоциональной|выразительности|коммуник"&amp;"ативных|навыков|комплект|входят|экран|для|теневого|театра|набор|фигур|персонажей|сказки|атериалы|безопасные|прочные|адаптированы|для|использования|детских|учреждениях")</f>
        <v>еатр|теней|олобок|еатр|теней|предназначен|для|организации|театрализованной|образовательной|деятельности|детей|дошкольного|возраста|спользуется|для|инсценировки|русской|народной|сказки|олобок|развития|речи|воображения|эмоциональной|выразительности|коммуникативных|навыков|комплект|входят|экран|для|теневого|театра|набор|фигур|персонажей|сказки|атериалы|безопасные|прочные|адаптированы|для|использования|детских|учреждениях</v>
      </c>
      <c r="I874" s="1"/>
      <c r="J874" s="1"/>
    </row>
    <row r="875" spans="1:10" ht="12.75" x14ac:dyDescent="0.2">
      <c r="A875" s="8" t="s">
        <v>1027</v>
      </c>
      <c r="B875" s="7" t="s">
        <v>1026</v>
      </c>
      <c r="C875" s="7" t="s">
        <v>1025</v>
      </c>
      <c r="D875" s="6">
        <v>10800</v>
      </c>
      <c r="E875" s="5">
        <v>75</v>
      </c>
      <c r="F875" s="4" t="str">
        <f ca="1">IFERROR(__xludf.DUMMYFUNCTION("LOWER(REGEXREPLACE(B875&amp;"" ""&amp;C875,""[^а-яa-z0-9 ]"","" ""))"),"тез тап   нтеллектум")</f>
        <v>тез тап   нтеллектум</v>
      </c>
      <c r="G875" s="4" t="str">
        <f ca="1">IFERROR(__xludf.DUMMYFUNCTION("TEXTJOIN(""|"",TRUE,UNIQUE(FILTER(SPLIT(F875,"" ""),LEN(SPLIT(F875,"" ""))&gt;2)))"),"тез|тап|нтеллектум")</f>
        <v>тез|тап|нтеллектум</v>
      </c>
      <c r="I875" s="1"/>
      <c r="J875" s="1"/>
    </row>
    <row r="876" spans="1:10" ht="38.25" x14ac:dyDescent="0.2">
      <c r="A876" s="8" t="s">
        <v>1024</v>
      </c>
      <c r="B876" s="7" t="s">
        <v>1023</v>
      </c>
      <c r="C876" s="7" t="s">
        <v>1022</v>
      </c>
      <c r="D876" s="6">
        <v>123500</v>
      </c>
      <c r="E876" s="5">
        <v>1</v>
      </c>
      <c r="F876" s="4" t="str">
        <f ca="1">IFERROR(__xludf.DUMMYFUNCTION("LOWER(REGEXREPLACE(B876&amp;"" ""&amp;C876,""[^а-яa-z0-9 ]"","" ""))")," ележка для белья  ележка предназначена для сбора  хранения и транспортировки чистого и использованного белья в помещениях дошкольной организации   онструкция устойчивая  мобильная  оснащена кол сами для удобного перемещения   атериалы прочные  моющиеся  "&amp;"безопасные для эксплуатации в детских учреждениях ")</f>
        <v xml:space="preserve"> ележка для белья  ележка предназначена для сбора  хранения и транспортировки чистого и использованного белья в помещениях дошкольной организации   онструкция устойчивая  мобильная  оснащена кол сами для удобного перемещения   атериалы прочные  моющиеся  безопасные для эксплуатации в детских учреждениях </v>
      </c>
      <c r="G876" s="4" t="str">
        <f ca="1">IFERROR(__xludf.DUMMYFUNCTION("TEXTJOIN(""|"",TRUE,UNIQUE(FILTER(SPLIT(F876,"" ""),LEN(SPLIT(F876,"" ""))&gt;2)))"),"ележка|для|белья|ележка|предназначена|для|сбора|хранения|транспортировки|чистого|использованного|белья|помещениях|дошкольной|организации|онструкция|устойчивая|мобильная|оснащена|кол|сами|для|удобного|перемещения|атериалы|прочные|моющиеся|безопасные|для|эк"&amp;"сплуатации|детских|учреждениях")</f>
        <v>ележка|для|белья|ележка|предназначена|для|сбора|хранения|транспортировки|чистого|использованного|белья|помещениях|дошкольной|организации|онструкция|устойчивая|мобильная|оснащена|кол|сами|для|удобного|перемещения|атериалы|прочные|моющиеся|безопасные|для|эксплуатации|детских|учреждениях</v>
      </c>
      <c r="I876" s="1"/>
      <c r="J876" s="1"/>
    </row>
    <row r="877" spans="1:10" ht="12.75" x14ac:dyDescent="0.2">
      <c r="A877" s="8" t="s">
        <v>1021</v>
      </c>
      <c r="B877" s="7" t="s">
        <v>1020</v>
      </c>
      <c r="C877" s="7" t="s">
        <v>1019</v>
      </c>
      <c r="D877" s="6">
        <v>96400</v>
      </c>
      <c r="E877" s="5">
        <v>2</v>
      </c>
      <c r="F877" s="4" t="str">
        <f ca="1">IFERROR(__xludf.DUMMYFUNCTION("LOWER(REGEXREPLACE(B877&amp;"" ""&amp;C877,""[^а-яa-z0-9 ]"","" ""))")," ележка для белья tekne 2700k  нешние размеры  640x1040x790h мм   нутренние размеры  590x930x515h мм   рузоподъемность  250 кг")</f>
        <v xml:space="preserve"> ележка для белья tekne 2700k  нешние размеры  640x1040x790h мм   нутренние размеры  590x930x515h мм   рузоподъемность  250 кг</v>
      </c>
      <c r="G877" s="4" t="str">
        <f ca="1">IFERROR(__xludf.DUMMYFUNCTION("TEXTJOIN(""|"",TRUE,UNIQUE(FILTER(SPLIT(F877,"" ""),LEN(SPLIT(F877,"" ""))&gt;2)))"),"ележка|для|белья|tekne|2700k|нешние|размеры|640x1040x790h|нутренние|размеры|590x930x515h|рузоподъемность|250")</f>
        <v>ележка|для|белья|tekne|2700k|нешние|размеры|640x1040x790h|нутренние|размеры|590x930x515h|рузоподъемность|250</v>
      </c>
      <c r="I877" s="1"/>
      <c r="J877" s="1"/>
    </row>
    <row r="878" spans="1:10" ht="25.5" x14ac:dyDescent="0.2">
      <c r="A878" s="8" t="s">
        <v>1018</v>
      </c>
      <c r="B878" s="7" t="s">
        <v>1017</v>
      </c>
      <c r="C878" s="7" t="s">
        <v>1016</v>
      </c>
      <c r="D878" s="6">
        <v>281500</v>
      </c>
      <c r="E878" s="5">
        <v>1</v>
      </c>
      <c r="F878" s="4" t="str">
        <f ca="1">IFERROR(__xludf.DUMMYFUNCTION("LOWER(REGEXREPLACE(B878&amp;"" ""&amp;C878,""[^а-яa-z0-9 ]"","" ""))")," ележка для гастроемкостей 1 1 ce agn1 1x16  ержавеющая сталь      430   местимость тележки  16   азмеры подноса     1 1   араметры  383x530x1650 mm")</f>
        <v xml:space="preserve"> ележка для гастроемкостей 1 1 ce agn1 1x16  ержавеющая сталь      430   местимость тележки  16   азмеры подноса     1 1   араметры  383x530x1650 mm</v>
      </c>
      <c r="G878" s="4" t="str">
        <f ca="1">IFERROR(__xludf.DUMMYFUNCTION("TEXTJOIN(""|"",TRUE,UNIQUE(FILTER(SPLIT(F878,"" ""),LEN(SPLIT(F878,"" ""))&gt;2)))"),"ележка|для|гастроемкостей|agn1|1x16|ержавеющая|сталь|430|местимость|тележки|азмеры|подноса|араметры|383x530x1650")</f>
        <v>ележка|для|гастроемкостей|agn1|1x16|ержавеющая|сталь|430|местимость|тележки|азмеры|подноса|араметры|383x530x1650</v>
      </c>
      <c r="I878" s="1"/>
      <c r="J878" s="1"/>
    </row>
    <row r="879" spans="1:10" ht="38.25" x14ac:dyDescent="0.2">
      <c r="A879" s="8" t="s">
        <v>1015</v>
      </c>
      <c r="B879" s="7" t="s">
        <v>1014</v>
      </c>
      <c r="C879" s="7" t="s">
        <v>1013</v>
      </c>
      <c r="D879" s="6">
        <v>208600</v>
      </c>
      <c r="E879" s="5">
        <v>1</v>
      </c>
      <c r="F879" s="4" t="str">
        <f ca="1">IFERROR(__xludf.DUMMYFUNCTION("LOWER(REGEXREPLACE(B879&amp;"" ""&amp;C879,""[^а-яa-z0-9 ]"","" ""))")," ележка для мелкого инвентаря  ележка предназначена для хранения и перемещения мелкого хозяйственного  игрового или спортивного инвентаря в помещениях       беспечивает удобную организацию пространства и мобильность   онструкция устойчивая  материалы изно"&amp;"состойкие и безопасные ")</f>
        <v xml:space="preserve"> ележка для мелкого инвентаря  ележка предназначена для хранения и перемещения мелкого хозяйственного  игрового или спортивного инвентаря в помещениях       беспечивает удобную организацию пространства и мобильность   онструкция устойчивая  материалы износостойкие и безопасные </v>
      </c>
      <c r="G879" s="4" t="str">
        <f ca="1">IFERROR(__xludf.DUMMYFUNCTION("TEXTJOIN(""|"",TRUE,UNIQUE(FILTER(SPLIT(F879,"" ""),LEN(SPLIT(F879,"" ""))&gt;2)))"),"ележка|для|мелкого|инвентаря|ележка|предназначена|для|хранения|перемещения|мелкого|хозяйственного|игрового|или|спортивного|инвентаря|помещениях|беспечивает|удобную|организацию|пространства|мобильность|онструкция|устойчивая|материалы|износостойкие|безопасн"&amp;"ые")</f>
        <v>ележка|для|мелкого|инвентаря|ележка|предназначена|для|хранения|перемещения|мелкого|хозяйственного|игрового|или|спортивного|инвентаря|помещениях|беспечивает|удобную|организацию|пространства|мобильность|онструкция|устойчивая|материалы|износостойкие|безопасные</v>
      </c>
      <c r="I879" s="1"/>
      <c r="J879" s="1"/>
    </row>
    <row r="880" spans="1:10" ht="38.25" x14ac:dyDescent="0.2">
      <c r="A880" s="8" t="s">
        <v>1012</v>
      </c>
      <c r="B880" s="7" t="s">
        <v>1011</v>
      </c>
      <c r="C880" s="7" t="s">
        <v>1010</v>
      </c>
      <c r="D880" s="6">
        <v>11900</v>
      </c>
      <c r="E880" s="5">
        <v>25</v>
      </c>
      <c r="F880" s="4" t="str">
        <f ca="1">IFERROR(__xludf.DUMMYFUNCTION("LOWER(REGEXREPLACE(B880&amp;"" ""&amp;C880,""[^а-яa-z0-9 ]"","" ""))")," уашь художественная  набор   уашь используется для выполнения живописных и декоративных работ   рименяется при рисовании кистью и создании цветовых композиций   озволяет получать плотное матовое покрытие и смешивать цвета   одходит для занятий по изобраз"&amp;"ительной деятельности и творческих работ ")</f>
        <v xml:space="preserve"> уашь художественная  набор   уашь используется для выполнения живописных и декоративных работ   рименяется при рисовании кистью и создании цветовых композиций   озволяет получать плотное матовое покрытие и смешивать цвета   одходит для занятий по изобразительной деятельности и творческих работ </v>
      </c>
      <c r="G880" s="4" t="str">
        <f ca="1">IFERROR(__xludf.DUMMYFUNCTION("TEXTJOIN(""|"",TRUE,UNIQUE(FILTER(SPLIT(F880,"" ""),LEN(SPLIT(F880,"" ""))&gt;2)))"),"уашь|художественная|набор|уашь|используется|для|выполнения|живописных|декоративных|работ|рименяется|при|рисовании|кистью|создании|цветовых|композиций|озволяет|получать|плотное|матовое|покрытие|смешивать|цвета|одходит|для|занятий|изобразительной|деятельнос"&amp;"ти|творческих|работ")</f>
        <v>уашь|художественная|набор|уашь|используется|для|выполнения|живописных|декоративных|работ|рименяется|при|рисовании|кистью|создании|цветовых|композиций|озволяет|получать|плотное|матовое|покрытие|смешивать|цвета|одходит|для|занятий|изобразительной|деятельности|творческих|работ</v>
      </c>
      <c r="I880" s="1"/>
      <c r="J880" s="1"/>
    </row>
    <row r="881" spans="1:10" ht="12.75" x14ac:dyDescent="0.2">
      <c r="A881" s="8" t="s">
        <v>1009</v>
      </c>
      <c r="B881" s="7" t="s">
        <v>1008</v>
      </c>
      <c r="C881" s="7" t="s">
        <v>1007</v>
      </c>
      <c r="D881" s="6">
        <v>254900</v>
      </c>
      <c r="E881" s="5">
        <v>2</v>
      </c>
      <c r="F881" s="4" t="str">
        <f ca="1">IFERROR(__xludf.DUMMYFUNCTION("LOWER(REGEXREPLACE(B881&amp;"" ""&amp;C881,""[^а-яa-z0-9 ]"","" ""))")," ележка сервисная 2 ур  ce asi55x86x2  ержавеющая сталь      430    2 полками  и 4 колесами   араметры  550x860x900 mm")</f>
        <v xml:space="preserve"> ележка сервисная 2 ур  ce asi55x86x2  ержавеющая сталь      430    2 полками  и 4 колесами   араметры  550x860x900 mm</v>
      </c>
      <c r="G881" s="4" t="str">
        <f ca="1">IFERROR(__xludf.DUMMYFUNCTION("TEXTJOIN(""|"",TRUE,UNIQUE(FILTER(SPLIT(F881,"" ""),LEN(SPLIT(F881,"" ""))&gt;2)))"),"ележка|сервисная|asi55x86x2|ержавеющая|сталь|430|полками|колесами|араметры|550x860x900")</f>
        <v>ележка|сервисная|asi55x86x2|ержавеющая|сталь|430|полками|колесами|араметры|550x860x900</v>
      </c>
      <c r="I881" s="1"/>
      <c r="J881" s="1"/>
    </row>
    <row r="882" spans="1:10" ht="38.25" x14ac:dyDescent="0.2">
      <c r="A882" s="8" t="s">
        <v>1006</v>
      </c>
      <c r="B882" s="7" t="s">
        <v>1005</v>
      </c>
      <c r="C882" s="7" t="s">
        <v>1004</v>
      </c>
      <c r="D882" s="6">
        <v>5700</v>
      </c>
      <c r="E882" s="5">
        <v>1</v>
      </c>
      <c r="F882" s="4" t="str">
        <f ca="1">IFERROR(__xludf.DUMMYFUNCTION("LOWER(REGEXREPLACE(B882&amp;"" ""&amp;C882,""[^а-яa-z0-9 ]"","" ""))")," елескопический жираф  азвивающая игра для детей дошкольного возраста   абор включает цветные фигурки жирафов с телескопическим механизмом   спользуется для развития мелкой моторики  координации движений  цветового восприятия и логического мышления   атер"&amp;"иал   безопасный пластик ")</f>
        <v xml:space="preserve"> елескопический жираф  азвивающая игра для детей дошкольного возраста   абор включает цветные фигурки жирафов с телескопическим механизмом   спользуется для развития мелкой моторики  координации движений  цветового восприятия и логического мышления   атериал   безопасный пластик </v>
      </c>
      <c r="G882" s="4" t="str">
        <f ca="1">IFERROR(__xludf.DUMMYFUNCTION("TEXTJOIN(""|"",TRUE,UNIQUE(FILTER(SPLIT(F882,"" ""),LEN(SPLIT(F882,"" ""))&gt;2)))"),"елескопический|жираф|азвивающая|игра|для|детей|дошкольного|возраста|абор|включает|цветные|фигурки|жирафов|телескопическим|механизмом|спользуется|для|развития|мелкой|моторики|координации|движений|цветового|восприятия|логического|мышления|атериал|безопасный"&amp;"|пластик")</f>
        <v>елескопический|жираф|азвивающая|игра|для|детей|дошкольного|возраста|абор|включает|цветные|фигурки|жирафов|телескопическим|механизмом|спользуется|для|развития|мелкой|моторики|координации|движений|цветового|восприятия|логического|мышления|атериал|безопасный|пластик</v>
      </c>
      <c r="I882" s="1"/>
      <c r="J882" s="1"/>
    </row>
    <row r="883" spans="1:10" ht="38.25" x14ac:dyDescent="0.2">
      <c r="A883" s="8" t="s">
        <v>1003</v>
      </c>
      <c r="B883" s="7" t="s">
        <v>1002</v>
      </c>
      <c r="C883" s="7" t="s">
        <v>1001</v>
      </c>
      <c r="D883" s="6">
        <v>11400</v>
      </c>
      <c r="E883" s="5">
        <v>25</v>
      </c>
      <c r="F883" s="4" t="str">
        <f ca="1">IFERROR(__xludf.DUMMYFUNCTION("LOWER(REGEXREPLACE(B883&amp;"" ""&amp;C883,""[^а-яa-z0-9 ]"","" ""))")," елескопический стаканчик с крышкой  елескопический складной стаканчик предназначен для использования в быту и образовательной деятельности   омпактный  удобен для хранения и переноски   атериал   пластик   бъ м   100 мл   ожет использоваться для воды  за"&amp;"нятий творчеством и хозяйственных нужд ")</f>
        <v xml:space="preserve"> елескопический стаканчик с крышкой  елескопический складной стаканчик предназначен для использования в быту и образовательной деятельности   омпактный  удобен для хранения и переноски   атериал   пластик   бъ м   100 мл   ожет использоваться для воды  занятий творчеством и хозяйственных нужд </v>
      </c>
      <c r="G883" s="4" t="str">
        <f ca="1">IFERROR(__xludf.DUMMYFUNCTION("TEXTJOIN(""|"",TRUE,UNIQUE(FILTER(SPLIT(F883,"" ""),LEN(SPLIT(F883,"" ""))&gt;2)))"),"елескопический|стаканчик|крышкой|елескопический|складной|стаканчик|предназначен|для|использования|быту|образовательной|деятельности|омпактный|удобен|для|хранения|переноски|атериал|пластик|100|ожет|использоваться|для|воды|занятий|творчеством|хозяйственных|"&amp;"нужд")</f>
        <v>елескопический|стаканчик|крышкой|елескопический|складной|стаканчик|предназначен|для|использования|быту|образовательной|деятельности|омпактный|удобен|для|хранения|переноски|атериал|пластик|100|ожет|использоваться|для|воды|занятий|творчеством|хозяйственных|нужд</v>
      </c>
      <c r="I883" s="1"/>
      <c r="J883" s="1"/>
    </row>
    <row r="884" spans="1:10" ht="12.75" x14ac:dyDescent="0.2">
      <c r="A884" s="8" t="s">
        <v>1000</v>
      </c>
      <c r="B884" s="7" t="s">
        <v>999</v>
      </c>
      <c r="C884" s="7" t="s">
        <v>998</v>
      </c>
      <c r="D884" s="6">
        <v>107900</v>
      </c>
      <c r="E884" s="5">
        <v>1</v>
      </c>
      <c r="F884" s="4" t="str">
        <f ca="1">IFERROR(__xludf.DUMMYFUNCTION("LOWER(REGEXREPLACE(B884&amp;"" ""&amp;C884,""[^а-яa-z0-9 ]"","" ""))")," ермоконтейнер  онтейнер для временного хранения и транспортировки медикаментов с поддержанием температурного режима ")</f>
        <v xml:space="preserve"> ермоконтейнер  онтейнер для временного хранения и транспортировки медикаментов с поддержанием температурного режима </v>
      </c>
      <c r="G884" s="4" t="str">
        <f ca="1">IFERROR(__xludf.DUMMYFUNCTION("TEXTJOIN(""|"",TRUE,UNIQUE(FILTER(SPLIT(F884,"" ""),LEN(SPLIT(F884,"" ""))&gt;2)))"),"ермоконтейнер|онтейнер|для|временного|хранения|транспортировки|медикаментов|поддержанием|температурного|режима")</f>
        <v>ермоконтейнер|онтейнер|для|временного|хранения|транспортировки|медикаментов|поддержанием|температурного|режима</v>
      </c>
      <c r="I884" s="1"/>
      <c r="J884" s="1"/>
    </row>
    <row r="885" spans="1:10" ht="12.75" x14ac:dyDescent="0.2">
      <c r="A885" s="8" t="s">
        <v>997</v>
      </c>
      <c r="B885" s="7" t="s">
        <v>996</v>
      </c>
      <c r="C885" s="7" t="s">
        <v>995</v>
      </c>
      <c r="D885" s="6">
        <v>3000</v>
      </c>
      <c r="E885" s="5">
        <v>5</v>
      </c>
      <c r="F885" s="4" t="str">
        <f ca="1">IFERROR(__xludf.DUMMYFUNCTION("LOWER(REGEXREPLACE(B885&amp;"" ""&amp;C885,""[^а-яa-z0-9 ]"","" ""))")," ермометр  рибор для измерения температуры тела   спользуется в медицинском кабинете     ")</f>
        <v xml:space="preserve"> ермометр  рибор для измерения температуры тела   спользуется в медицинском кабинете     </v>
      </c>
      <c r="G885" s="4" t="str">
        <f ca="1">IFERROR(__xludf.DUMMYFUNCTION("TEXTJOIN(""|"",TRUE,UNIQUE(FILTER(SPLIT(F885,"" ""),LEN(SPLIT(F885,"" ""))&gt;2)))"),"ермометр|рибор|для|измерения|температуры|тела|спользуется|медицинском|кабинете")</f>
        <v>ермометр|рибор|для|измерения|температуры|тела|спользуется|медицинском|кабинете</v>
      </c>
      <c r="I885" s="1"/>
      <c r="J885" s="1"/>
    </row>
    <row r="886" spans="1:10" ht="12.75" x14ac:dyDescent="0.2">
      <c r="A886" s="8" t="s">
        <v>994</v>
      </c>
      <c r="B886" s="7" t="s">
        <v>993</v>
      </c>
      <c r="C886" s="7" t="s">
        <v>992</v>
      </c>
      <c r="D886" s="6">
        <v>329600</v>
      </c>
      <c r="E886" s="5">
        <v>1</v>
      </c>
      <c r="F886" s="4" t="str">
        <f ca="1">IFERROR(__xludf.DUMMYFUNCTION("LOWER(REGEXREPLACE(B886&amp;"" ""&amp;C886,""[^а-яa-z0-9 ]"","" ""))")," ехническая раковина ce me50x58  ержавеющая сталь      430   ойка 40x40x25 см   араметры  500x580x800 мм")</f>
        <v xml:space="preserve"> ехническая раковина ce me50x58  ержавеющая сталь      430   ойка 40x40x25 см   араметры  500x580x800 мм</v>
      </c>
      <c r="G886" s="4" t="str">
        <f ca="1">IFERROR(__xludf.DUMMYFUNCTION("TEXTJOIN(""|"",TRUE,UNIQUE(FILTER(SPLIT(F886,"" ""),LEN(SPLIT(F886,"" ""))&gt;2)))"),"ехническая|раковина|me50x58|ержавеющая|сталь|430|ойка|40x40x25|араметры|500x580x800")</f>
        <v>ехническая|раковина|me50x58|ержавеющая|сталь|430|ойка|40x40x25|араметры|500x580x800</v>
      </c>
      <c r="I886" s="1"/>
      <c r="J886" s="1"/>
    </row>
    <row r="887" spans="1:10" ht="38.25" x14ac:dyDescent="0.2">
      <c r="A887" s="8" t="s">
        <v>991</v>
      </c>
      <c r="B887" s="7" t="s">
        <v>990</v>
      </c>
      <c r="C887" s="7" t="s">
        <v>989</v>
      </c>
      <c r="D887" s="6">
        <v>15000</v>
      </c>
      <c r="E887" s="5">
        <v>1</v>
      </c>
      <c r="F887" s="4" t="str">
        <f ca="1">IFERROR(__xludf.DUMMYFUNCTION("LOWER(REGEXREPLACE(B887&amp;"" ""&amp;C887,""[^а-яa-z0-9 ]"","" ""))")," ихая книга  азвивающая фетровая книга предназначена для сенсорного  познавательного и речевого развития детей дошкольного возраста   спользуется в индивидуальных и подгрупповых занятиях   пособствует развитию мелкой моторики  внимания  самостоятельности "&amp;"  атериалы мягкие  безопасные  износостойкие ")</f>
        <v xml:space="preserve"> ихая книга  азвивающая фетровая книга предназначена для сенсорного  познавательного и речевого развития детей дошкольного возраста   спользуется в индивидуальных и подгрупповых занятиях   пособствует развитию мелкой моторики  внимания  самостоятельности   атериалы мягкие  безопасные  износостойкие </v>
      </c>
      <c r="G887" s="4" t="str">
        <f ca="1">IFERROR(__xludf.DUMMYFUNCTION("TEXTJOIN(""|"",TRUE,UNIQUE(FILTER(SPLIT(F887,"" ""),LEN(SPLIT(F887,"" ""))&gt;2)))"),"ихая|книга|азвивающая|фетровая|книга|предназначена|для|сенсорного|познавательного|речевого|развития|детей|дошкольного|возраста|спользуется|индивидуальных|подгрупповых|занятиях|пособствует|развитию|мелкой|моторики|внимания|самостоятельности|атериалы|мягкие"&amp;"|безопасные|износостойкие")</f>
        <v>ихая|книга|азвивающая|фетровая|книга|предназначена|для|сенсорного|познавательного|речевого|развития|детей|дошкольного|возраста|спользуется|индивидуальных|подгрупповых|занятиях|пособствует|развитию|мелкой|моторики|внимания|самостоятельности|атериалы|мягкие|безопасные|износостойкие</v>
      </c>
      <c r="I887" s="1"/>
      <c r="J887" s="1"/>
    </row>
    <row r="888" spans="1:10" ht="38.25" x14ac:dyDescent="0.2">
      <c r="A888" s="8" t="s">
        <v>988</v>
      </c>
      <c r="B888" s="7" t="s">
        <v>987</v>
      </c>
      <c r="C888" s="7" t="s">
        <v>986</v>
      </c>
      <c r="D888" s="6">
        <v>9000</v>
      </c>
      <c r="E888" s="5">
        <v>10</v>
      </c>
      <c r="F888" s="4" t="str">
        <f ca="1">IFERROR(__xludf.DUMMYFUNCTION("LOWER(REGEXREPLACE(B888&amp;"" ""&amp;C888,""[^а-яa-z0-9 ]"","" ""))")," кани  кань предназначена для творческой деятельности  аппликаций  пошива игрушек  квилтинга  пэчворка  скрапбукинга   азмер полотна   50 50 см  ширина   50 см   спользуется в образовательной и художественно творческой работе ")</f>
        <v xml:space="preserve"> кани  кань предназначена для творческой деятельности  аппликаций  пошива игрушек  квилтинга  пэчворка  скрапбукинга   азмер полотна   50 50 см  ширина   50 см   спользуется в образовательной и художественно творческой работе </v>
      </c>
      <c r="G888" s="4" t="str">
        <f ca="1">IFERROR(__xludf.DUMMYFUNCTION("TEXTJOIN(""|"",TRUE,UNIQUE(FILTER(SPLIT(F888,"" ""),LEN(SPLIT(F888,"" ""))&gt;2)))"),"кани|кань|предназначена|для|творческой|деятельности|аппликаций|пошива|игрушек|квилтинга|пэчворка|скрапбукинга|азмер|полотна|ширина|спользуется|образовательной|художественно|творческой|работе")</f>
        <v>кани|кань|предназначена|для|творческой|деятельности|аппликаций|пошива|игрушек|квилтинга|пэчворка|скрапбукинга|азмер|полотна|ширина|спользуется|образовательной|художественно|творческой|работе</v>
      </c>
      <c r="I888" s="1"/>
      <c r="J888" s="1"/>
    </row>
    <row r="889" spans="1:10" ht="25.5" x14ac:dyDescent="0.2">
      <c r="A889" s="8" t="s">
        <v>985</v>
      </c>
      <c r="B889" s="7" t="s">
        <v>984</v>
      </c>
      <c r="C889" s="7" t="s">
        <v>983</v>
      </c>
      <c r="D889" s="6">
        <v>1800</v>
      </c>
      <c r="E889" s="5">
        <v>12</v>
      </c>
      <c r="F889" s="4" t="str">
        <f ca="1">IFERROR(__xludf.DUMMYFUNCTION("LOWER(REGEXREPLACE(B889&amp;"" ""&amp;C889,""[^а-яa-z0-9 ]"","" ""))")," кани фетр  ветной фетр предназначен для изготовления аппликаций  поделок и развивающих пособий   егко режется  клеится  безопасен для детского творчества   спользуется в образовательной деятельности     ")</f>
        <v xml:space="preserve"> кани фетр  ветной фетр предназначен для изготовления аппликаций  поделок и развивающих пособий   егко режется  клеится  безопасен для детского творчества   спользуется в образовательной деятельности     </v>
      </c>
      <c r="G889" s="4" t="str">
        <f ca="1">IFERROR(__xludf.DUMMYFUNCTION("TEXTJOIN(""|"",TRUE,UNIQUE(FILTER(SPLIT(F889,"" ""),LEN(SPLIT(F889,"" ""))&gt;2)))"),"кани|фетр|ветной|фетр|предназначен|для|изготовления|аппликаций|поделок|развивающих|пособий|егко|режется|клеится|безопасен|для|детского|творчества|спользуется|образовательной|деятельности")</f>
        <v>кани|фетр|ветной|фетр|предназначен|для|изготовления|аппликаций|поделок|развивающих|пособий|егко|режется|клеится|безопасен|для|детского|творчества|спользуется|образовательной|деятельности</v>
      </c>
      <c r="I889" s="1"/>
      <c r="J889" s="1"/>
    </row>
    <row r="890" spans="1:10" ht="38.25" x14ac:dyDescent="0.2">
      <c r="A890" s="8" t="s">
        <v>982</v>
      </c>
      <c r="B890" s="7" t="s">
        <v>981</v>
      </c>
      <c r="C890" s="7" t="s">
        <v>980</v>
      </c>
      <c r="D890" s="6">
        <v>100700</v>
      </c>
      <c r="E890" s="5">
        <v>4</v>
      </c>
      <c r="F890" s="4" t="str">
        <f ca="1">IFERROR(__xludf.DUMMYFUNCTION("LOWER(REGEXREPLACE(B890&amp;"" ""&amp;C890,""[^а-яa-z0-9 ]"","" ""))")," оннели тканевые  ягкие тканевые тоннели предназначены для подвижных игр  физкультурных занятий и       спользуются для развития координации  ловкости  равновесия и общей моторики   зготовлены из прочной влагостойкой ткани с мягким наполнителем  безопасны"&amp;" для детей ")</f>
        <v xml:space="preserve"> оннели тканевые  ягкие тканевые тоннели предназначены для подвижных игр  физкультурных занятий и       спользуются для развития координации  ловкости  равновесия и общей моторики   зготовлены из прочной влагостойкой ткани с мягким наполнителем  безопасны для детей </v>
      </c>
      <c r="G890" s="4" t="str">
        <f ca="1">IFERROR(__xludf.DUMMYFUNCTION("TEXTJOIN(""|"",TRUE,UNIQUE(FILTER(SPLIT(F890,"" ""),LEN(SPLIT(F890,"" ""))&gt;2)))"),"оннели|тканевые|ягкие|тканевые|тоннели|предназначены|для|подвижных|игр|физкультурных|занятий|спользуются|для|развития|координации|ловкости|равновесия|общей|моторики|зготовлены|прочной|влагостойкой|ткани|мягким|наполнителем|безопасны|для|детей")</f>
        <v>оннели|тканевые|ягкие|тканевые|тоннели|предназначены|для|подвижных|игр|физкультурных|занятий|спользуются|для|развития|координации|ловкости|равновесия|общей|моторики|зготовлены|прочной|влагостойкой|ткани|мягким|наполнителем|безопасны|для|детей</v>
      </c>
      <c r="I890" s="1"/>
      <c r="J890" s="1"/>
    </row>
    <row r="891" spans="1:10" ht="38.25" x14ac:dyDescent="0.2">
      <c r="A891" s="8" t="s">
        <v>979</v>
      </c>
      <c r="B891" s="7" t="s">
        <v>978</v>
      </c>
      <c r="C891" s="7" t="s">
        <v>977</v>
      </c>
      <c r="D891" s="6">
        <v>5700</v>
      </c>
      <c r="E891" s="5">
        <v>10</v>
      </c>
      <c r="F891" s="4" t="str">
        <f ca="1">IFERROR(__xludf.DUMMYFUNCTION("LOWER(REGEXREPLACE(B891&amp;"" ""&amp;C891,""[^а-яa-z0-9 ]"","" ""))")," убки для сглаживания  набор   абор губок используется при работе с глиной и пластичными материалами   рименяется для увлажнения поверхности  сглаживания формы и удаления мелких неровностей на разных этапах лепки   спользование отдельных губок для каждого"&amp;" этапа позволяет сохранять чистоту изделий    комплект входит не менее 12 губок ")</f>
        <v xml:space="preserve"> убки для сглаживания  набор   абор губок используется при работе с глиной и пластичными материалами   рименяется для увлажнения поверхности  сглаживания формы и удаления мелких неровностей на разных этапах лепки   спользование отдельных губок для каждого этапа позволяет сохранять чистоту изделий    комплект входит не менее 12 губок </v>
      </c>
      <c r="G891" s="4" t="str">
        <f ca="1">IFERROR(__xludf.DUMMYFUNCTION("TEXTJOIN(""|"",TRUE,UNIQUE(FILTER(SPLIT(F891,"" ""),LEN(SPLIT(F891,"" ""))&gt;2)))"),"убки|для|сглаживания|набор|абор|губок|используется|при|работе|глиной|пластичными|материалами|рименяется|для|увлажнения|поверхности|сглаживания|формы|удаления|мелких|неровностей|разных|этапах|лепки|спользование|отдельных|губок|для|каждого|этапа|позволяет|с"&amp;"охранять|чистоту|изделий|комплект|входит|менее|губок")</f>
        <v>убки|для|сглаживания|набор|абор|губок|используется|при|работе|глиной|пластичными|материалами|рименяется|для|увлажнения|поверхности|сглаживания|формы|удаления|мелких|неровностей|разных|этапах|лепки|спользование|отдельных|губок|для|каждого|этапа|позволяет|сохранять|чистоту|изделий|комплект|входит|менее|губок</v>
      </c>
      <c r="I891" s="1"/>
      <c r="J891" s="1"/>
    </row>
    <row r="892" spans="1:10" ht="12.75" x14ac:dyDescent="0.2">
      <c r="A892" s="8" t="s">
        <v>976</v>
      </c>
      <c r="B892" s="7" t="s">
        <v>975</v>
      </c>
      <c r="C892" s="7" t="s">
        <v>974</v>
      </c>
      <c r="D892" s="6">
        <v>17800</v>
      </c>
      <c r="E892" s="5">
        <v>2</v>
      </c>
      <c r="F892" s="4" t="str">
        <f ca="1">IFERROR(__xludf.DUMMYFUNCTION("LOWER(REGEXREPLACE(B892&amp;"" ""&amp;C892,""[^а-яa-z0-9 ]"","" ""))")," онометр  рибор для измерения артериального давления  используется при медицинских осмотрах детей и персонала ")</f>
        <v xml:space="preserve"> онометр  рибор для измерения артериального давления  используется при медицинских осмотрах детей и персонала </v>
      </c>
      <c r="G892" s="4" t="str">
        <f ca="1">IFERROR(__xludf.DUMMYFUNCTION("TEXTJOIN(""|"",TRUE,UNIQUE(FILTER(SPLIT(F892,"" ""),LEN(SPLIT(F892,"" ""))&gt;2)))"),"онометр|рибор|для|измерения|артериального|давления|используется|при|медицинских|осмотрах|детей|персонала")</f>
        <v>онометр|рибор|для|измерения|артериального|давления|используется|при|медицинских|осмотрах|детей|персонала</v>
      </c>
      <c r="I892" s="1"/>
      <c r="J892" s="1"/>
    </row>
    <row r="893" spans="1:10" ht="12.75" x14ac:dyDescent="0.2">
      <c r="A893" s="8" t="s">
        <v>973</v>
      </c>
      <c r="B893" s="7" t="s">
        <v>972</v>
      </c>
      <c r="C893" s="7" t="s">
        <v>971</v>
      </c>
      <c r="D893" s="6">
        <v>7000</v>
      </c>
      <c r="E893" s="5">
        <v>1</v>
      </c>
      <c r="F893" s="4" t="str">
        <f ca="1">IFERROR(__xludf.DUMMYFUNCTION("LOWER(REGEXREPLACE(B893&amp;"" ""&amp;C893,""[^а-яa-z0-9 ]"","" ""))"),"  рт т л к с зд г   лубаев   ")</f>
        <v xml:space="preserve">  рт т л к с зд г   лубаев   </v>
      </c>
      <c r="G893" s="4" t="str">
        <f ca="1">IFERROR(__xludf.DUMMYFUNCTION("TEXTJOIN(""|"",TRUE,UNIQUE(FILTER(SPLIT(F893,"" ""),LEN(SPLIT(F893,"" ""))&gt;2)))"),"лубаев")</f>
        <v>лубаев</v>
      </c>
      <c r="I893" s="1"/>
      <c r="J893" s="1"/>
    </row>
    <row r="894" spans="1:10" ht="25.5" x14ac:dyDescent="0.2">
      <c r="A894" s="8" t="s">
        <v>970</v>
      </c>
      <c r="B894" s="7" t="s">
        <v>969</v>
      </c>
      <c r="C894" s="7" t="s">
        <v>968</v>
      </c>
      <c r="D894" s="6">
        <v>45600</v>
      </c>
      <c r="E894" s="5">
        <v>5</v>
      </c>
      <c r="F894" s="4" t="str">
        <f ca="1">IFERROR(__xludf.DUMMYFUNCTION("LOWER(REGEXREPLACE(B894&amp;"" ""&amp;C894,""[^а-яa-z0-9 ]"","" ""))")," радесканция  омнатное растение с декоративными листьями  используется для озеленения помещений дошкольного учреждения   пособствует формированию эстетического восприятия и ознакомлению с живой природой ")</f>
        <v xml:space="preserve"> радесканция  омнатное растение с декоративными листьями  используется для озеленения помещений дошкольного учреждения   пособствует формированию эстетического восприятия и ознакомлению с живой природой </v>
      </c>
      <c r="G894" s="4" t="str">
        <f ca="1">IFERROR(__xludf.DUMMYFUNCTION("TEXTJOIN(""|"",TRUE,UNIQUE(FILTER(SPLIT(F894,"" ""),LEN(SPLIT(F894,"" ""))&gt;2)))"),"радесканция|омнатное|растение|декоративными|листьями|используется|для|озеленения|помещений|дошкольного|учреждения|пособствует|формированию|эстетического|восприятия|ознакомлению|живой|природой")</f>
        <v>радесканция|омнатное|растение|декоративными|листьями|используется|для|озеленения|помещений|дошкольного|учреждения|пособствует|формированию|эстетического|восприятия|ознакомлению|живой|природой</v>
      </c>
      <c r="I894" s="1"/>
      <c r="J894" s="1"/>
    </row>
    <row r="895" spans="1:10" ht="38.25" x14ac:dyDescent="0.2">
      <c r="A895" s="8" t="s">
        <v>967</v>
      </c>
      <c r="B895" s="7" t="s">
        <v>966</v>
      </c>
      <c r="C895" s="7" t="s">
        <v>965</v>
      </c>
      <c r="D895" s="6">
        <v>19800</v>
      </c>
      <c r="E895" s="5">
        <v>7</v>
      </c>
      <c r="F895" s="4" t="str">
        <f ca="1">IFERROR(__xludf.DUMMYFUNCTION("LOWER(REGEXREPLACE(B895&amp;"" ""&amp;C895,""[^а-яa-z0-9 ]"","" ""))")," рактор  грушечный трактор предназначен для сюжетно ролевых игр детей дошкольного возраста   спользуется для развития воображения  координации движений и социальных навыков   атериал   пластик  конструкция прочная ")</f>
        <v xml:space="preserve"> рактор  грушечный трактор предназначен для сюжетно ролевых игр детей дошкольного возраста   спользуется для развития воображения  координации движений и социальных навыков   атериал   пластик  конструкция прочная </v>
      </c>
      <c r="G895" s="4" t="str">
        <f ca="1">IFERROR(__xludf.DUMMYFUNCTION("TEXTJOIN(""|"",TRUE,UNIQUE(FILTER(SPLIT(F895,"" ""),LEN(SPLIT(F895,"" ""))&gt;2)))"),"рактор|грушечный|трактор|предназначен|для|сюжетно|ролевых|игр|детей|дошкольного|возраста|спользуется|для|развития|воображения|координации|движений|социальных|навыков|атериал|пластик|конструкция|прочная")</f>
        <v>рактор|грушечный|трактор|предназначен|для|сюжетно|ролевых|игр|детей|дошкольного|возраста|спользуется|для|развития|воображения|координации|движений|социальных|навыков|атериал|пластик|конструкция|прочная</v>
      </c>
      <c r="I895" s="1"/>
      <c r="J895" s="1"/>
    </row>
    <row r="896" spans="1:10" ht="12.75" x14ac:dyDescent="0.2">
      <c r="A896" s="8" t="s">
        <v>964</v>
      </c>
      <c r="B896" s="7" t="s">
        <v>963</v>
      </c>
      <c r="C896" s="7"/>
      <c r="D896" s="6">
        <v>2000</v>
      </c>
      <c r="E896" s="5">
        <v>1</v>
      </c>
      <c r="F896" s="4" t="str">
        <f ca="1">IFERROR(__xludf.DUMMYFUNCTION("LOWER(REGEXREPLACE(B896&amp;"" ""&amp;C896,""[^а-яa-z0-9 ]"","" ""))")," ри задачи   казка ")</f>
        <v xml:space="preserve"> ри задачи   казка </v>
      </c>
      <c r="G896" s="4" t="str">
        <f ca="1">IFERROR(__xludf.DUMMYFUNCTION("TEXTJOIN(""|"",TRUE,UNIQUE(FILTER(SPLIT(F896,"" ""),LEN(SPLIT(F896,"" ""))&gt;2)))"),"задачи|казка")</f>
        <v>задачи|казка</v>
      </c>
      <c r="I896" s="1"/>
      <c r="J896" s="1"/>
    </row>
    <row r="897" spans="1:10" ht="51" x14ac:dyDescent="0.2">
      <c r="A897" s="8" t="s">
        <v>962</v>
      </c>
      <c r="B897" s="7" t="s">
        <v>961</v>
      </c>
      <c r="C897" s="7" t="s">
        <v>960</v>
      </c>
      <c r="D897" s="6">
        <v>22800</v>
      </c>
      <c r="E897" s="5">
        <v>5</v>
      </c>
      <c r="F897" s="4" t="str">
        <f ca="1">IFERROR(__xludf.DUMMYFUNCTION("LOWER(REGEXREPLACE(B897&amp;"" ""&amp;C897,""[^а-яa-z0-9 ]"","" ""))")," уалетный набор  абор предназначен для формирования у детей навыков самообслуживания и гигиены в игровой форме    комплект входят элементы  имитирующие санитарно гигиеническое оборудование и принадлежности   спользуется в сюжетно ролевых играх и образоват"&amp;"ельной деятельности   атериалы безопасные  легко очищаемые ")</f>
        <v xml:space="preserve"> уалетный набор  абор предназначен для формирования у детей навыков самообслуживания и гигиены в игровой форме    комплект входят элементы  имитирующие санитарно гигиеническое оборудование и принадлежности   спользуется в сюжетно ролевых играх и образовательной деятельности   атериалы безопасные  легко очищаемые </v>
      </c>
      <c r="G897" s="4" t="str">
        <f ca="1">IFERROR(__xludf.DUMMYFUNCTION("TEXTJOIN(""|"",TRUE,UNIQUE(FILTER(SPLIT(F897,"" ""),LEN(SPLIT(F897,"" ""))&gt;2)))"),"уалетный|набор|абор|предназначен|для|формирования|детей|навыков|самообслуживания|гигиены|игровой|форме|комплект|входят|элементы|имитирующие|санитарно|гигиеническое|оборудование|принадлежности|спользуется|сюжетно|ролевых|играх|образовательной|деятельности|"&amp;"атериалы|безопасные|легко|очищаемые")</f>
        <v>уалетный|набор|абор|предназначен|для|формирования|детей|навыков|самообслуживания|гигиены|игровой|форме|комплект|входят|элементы|имитирующие|санитарно|гигиеническое|оборудование|принадлежности|спользуется|сюжетно|ролевых|играх|образовательной|деятельности|атериалы|безопасные|легко|очищаемые</v>
      </c>
      <c r="I897" s="1"/>
      <c r="J897" s="1"/>
    </row>
    <row r="898" spans="1:10" ht="25.5" x14ac:dyDescent="0.2">
      <c r="A898" s="8" t="s">
        <v>959</v>
      </c>
      <c r="B898" s="7" t="s">
        <v>958</v>
      </c>
      <c r="C898" s="7" t="s">
        <v>957</v>
      </c>
      <c r="D898" s="6">
        <v>126000</v>
      </c>
      <c r="E898" s="5">
        <v>5</v>
      </c>
      <c r="F898" s="4" t="str">
        <f ca="1">IFERROR(__xludf.DUMMYFUNCTION("LOWER(REGEXREPLACE(B898&amp;"" ""&amp;C898,""[^а-яa-z0-9 ]"","" ""))")," умба для     деятельности  умба предназначена для хранения материалов и инструментов для творчества   снащена ячейками и кол сными опорами со стопором   ысота изделия позволяет использовать его без помощи взрослых ")</f>
        <v xml:space="preserve"> умба для     деятельности  умба предназначена для хранения материалов и инструментов для творчества   снащена ячейками и кол сными опорами со стопором   ысота изделия позволяет использовать его без помощи взрослых </v>
      </c>
      <c r="G898" s="4" t="str">
        <f ca="1">IFERROR(__xludf.DUMMYFUNCTION("TEXTJOIN(""|"",TRUE,UNIQUE(FILTER(SPLIT(F898,"" ""),LEN(SPLIT(F898,"" ""))&gt;2)))"),"умба|для|деятельности|умба|предназначена|для|хранения|материалов|инструментов|для|творчества|снащена|ячейками|кол|сными|опорами|стопором|ысота|изделия|позволяет|использовать|его|без|помощи|взрослых")</f>
        <v>умба|для|деятельности|умба|предназначена|для|хранения|материалов|инструментов|для|творчества|снащена|ячейками|кол|сными|опорами|стопором|ысота|изделия|позволяет|использовать|его|без|помощи|взрослых</v>
      </c>
      <c r="I898" s="1"/>
      <c r="J898" s="1"/>
    </row>
    <row r="899" spans="1:10" ht="12.75" x14ac:dyDescent="0.2">
      <c r="A899" s="8" t="s">
        <v>956</v>
      </c>
      <c r="B899" s="7" t="s">
        <v>955</v>
      </c>
      <c r="C899" s="9" t="s">
        <v>954</v>
      </c>
      <c r="D899" s="6">
        <v>326250</v>
      </c>
      <c r="E899" s="5">
        <v>13</v>
      </c>
      <c r="F899" s="4" t="str">
        <f ca="1">IFERROR(__xludf.DUMMYFUNCTION("LOWER(REGEXREPLACE(B899&amp;"" ""&amp;C899,""[^а-яa-z0-9 ]"","" ""))")," умба для кухонного гарнитура с полкой  тол тумба купе       8 6     800 600 850 870 мм ")</f>
        <v xml:space="preserve"> умба для кухонного гарнитура с полкой  тол тумба купе       8 6     800 600 850 870 мм </v>
      </c>
      <c r="G899" s="4" t="str">
        <f ca="1">IFERROR(__xludf.DUMMYFUNCTION("TEXTJOIN(""|"",TRUE,UNIQUE(FILTER(SPLIT(F899,"" ""),LEN(SPLIT(F899,"" ""))&gt;2)))"),"умба|для|кухонного|гарнитура|полкой|тол|тумба|купе|800|600|850|870")</f>
        <v>умба|для|кухонного|гарнитура|полкой|тол|тумба|купе|800|600|850|870</v>
      </c>
      <c r="I899" s="1"/>
      <c r="J899" s="1"/>
    </row>
    <row r="900" spans="1:10" ht="38.25" x14ac:dyDescent="0.2">
      <c r="A900" s="8" t="s">
        <v>953</v>
      </c>
      <c r="B900" s="7" t="s">
        <v>952</v>
      </c>
      <c r="C900" s="7" t="s">
        <v>951</v>
      </c>
      <c r="D900" s="6">
        <v>20500</v>
      </c>
      <c r="E900" s="5">
        <v>76</v>
      </c>
      <c r="F900" s="4" t="str">
        <f ca="1">IFERROR(__xludf.DUMMYFUNCTION("LOWER(REGEXREPLACE(B900&amp;"" ""&amp;C900,""[^а-яa-z0-9 ]"","" ""))"),"  рл  т ст  б лшектер  абор разноцветных элементов предназначен для развивающих игр и занятий   спользуется для формирования цветового восприятия  логического мышления  навыков сортировки и конструирования у детей дошкольного возраста ")</f>
        <v xml:space="preserve">  рл  т ст  б лшектер  абор разноцветных элементов предназначен для развивающих игр и занятий   спользуется для формирования цветового восприятия  логического мышления  навыков сортировки и конструирования у детей дошкольного возраста </v>
      </c>
      <c r="G900" s="4" t="str">
        <f ca="1">IFERROR(__xludf.DUMMYFUNCTION("TEXTJOIN(""|"",TRUE,UNIQUE(FILTER(SPLIT(F900,"" ""),LEN(SPLIT(F900,"" ""))&gt;2)))"),"лшектер|абор|разноцветных|элементов|предназначен|для|развивающих|игр|занятий|спользуется|для|формирования|цветового|восприятия|логического|мышления|навыков|сортировки|конструирования|детей|дошкольного|возраста")</f>
        <v>лшектер|абор|разноцветных|элементов|предназначен|для|развивающих|игр|занятий|спользуется|для|формирования|цветового|восприятия|логического|мышления|навыков|сортировки|конструирования|детей|дошкольного|возраста</v>
      </c>
      <c r="I900" s="1"/>
      <c r="J900" s="1"/>
    </row>
    <row r="901" spans="1:10" ht="12.75" x14ac:dyDescent="0.2">
      <c r="A901" s="8" t="s">
        <v>950</v>
      </c>
      <c r="B901" s="7" t="s">
        <v>949</v>
      </c>
      <c r="C901" s="7" t="s">
        <v>948</v>
      </c>
      <c r="D901" s="6">
        <v>6600</v>
      </c>
      <c r="E901" s="5">
        <v>1</v>
      </c>
      <c r="F901" s="4" t="str">
        <f ca="1">IFERROR(__xludf.DUMMYFUNCTION("LOWER(REGEXREPLACE(B901&amp;"" ""&amp;C901,""[^а-яa-z0-9 ]"","" ""))"),"  н ыштар     м сбаев")</f>
        <v xml:space="preserve">  н ыштар     м сбаев</v>
      </c>
      <c r="G901" s="4" t="str">
        <f ca="1">IFERROR(__xludf.DUMMYFUNCTION("TEXTJOIN(""|"",TRUE,UNIQUE(FILTER(SPLIT(F901,"" ""),LEN(SPLIT(F901,"" ""))&gt;2)))"),"ыштар|сбаев")</f>
        <v>ыштар|сбаев</v>
      </c>
      <c r="I901" s="1"/>
      <c r="J901" s="1"/>
    </row>
    <row r="902" spans="1:10" ht="25.5" x14ac:dyDescent="0.2">
      <c r="A902" s="8" t="s">
        <v>947</v>
      </c>
      <c r="B902" s="7" t="s">
        <v>946</v>
      </c>
      <c r="C902" s="7"/>
      <c r="D902" s="6">
        <v>900</v>
      </c>
      <c r="E902" s="5">
        <v>1</v>
      </c>
      <c r="F902" s="4" t="str">
        <f ca="1">IFERROR(__xludf.DUMMYFUNCTION("LOWER(REGEXREPLACE(B902&amp;"" ""&amp;C902,""[^а-яa-z0-9 ]"","" ""))"),"  румен кей пкерлермен б рге о ып    йренем з   артоп мырза  ")</f>
        <v xml:space="preserve">  румен кей пкерлермен б рге о ып    йренем з   артоп мырза  </v>
      </c>
      <c r="G902" s="4" t="str">
        <f ca="1">IFERROR(__xludf.DUMMYFUNCTION("TEXTJOIN(""|"",TRUE,UNIQUE(FILTER(SPLIT(F902,"" ""),LEN(SPLIT(F902,"" ""))&gt;2)))"),"румен|кей|пкерлермен|рге|йренем|артоп|мырза")</f>
        <v>румен|кей|пкерлермен|рге|йренем|артоп|мырза</v>
      </c>
      <c r="I902" s="1"/>
      <c r="J902" s="1"/>
    </row>
    <row r="903" spans="1:10" ht="38.25" x14ac:dyDescent="0.2">
      <c r="A903" s="8" t="s">
        <v>945</v>
      </c>
      <c r="B903" s="7" t="s">
        <v>944</v>
      </c>
      <c r="C903" s="7" t="s">
        <v>943</v>
      </c>
      <c r="D903" s="6">
        <v>102600</v>
      </c>
      <c r="E903" s="5">
        <v>8</v>
      </c>
      <c r="F903" s="4" t="str">
        <f ca="1">IFERROR(__xludf.DUMMYFUNCTION("LOWER(REGEXREPLACE(B903&amp;"" ""&amp;C903,""[^а-яa-z0-9 ]"","" ""))")," голок уединения  азвивающая зона  предназначенная для эмоциональной разгрузки и уединения реб нка   онструкция разборная  с системой защиты от самопроизвольного складывания    комплект входят палатка  опоры и матрасик   атериалы   текстиль и дерево   спо"&amp;"льзуется детьми с раннего возраста ")</f>
        <v xml:space="preserve"> голок уединения  азвивающая зона  предназначенная для эмоциональной разгрузки и уединения реб нка   онструкция разборная  с системой защиты от самопроизвольного складывания    комплект входят палатка  опоры и матрасик   атериалы   текстиль и дерево   спользуется детьми с раннего возраста </v>
      </c>
      <c r="G903" s="4" t="str">
        <f ca="1">IFERROR(__xludf.DUMMYFUNCTION("TEXTJOIN(""|"",TRUE,UNIQUE(FILTER(SPLIT(F903,"" ""),LEN(SPLIT(F903,"" ""))&gt;2)))"),"голок|уединения|азвивающая|зона|предназначенная|для|эмоциональной|разгрузки|уединения|реб|нка|онструкция|разборная|системой|защиты|самопроизвольного|складывания|комплект|входят|палатка|опоры|матрасик|атериалы|текстиль|дерево|спользуется|детьми|раннего|воз"&amp;"раста")</f>
        <v>голок|уединения|азвивающая|зона|предназначенная|для|эмоциональной|разгрузки|уединения|реб|нка|онструкция|разборная|системой|защиты|самопроизвольного|складывания|комплект|входят|палатка|опоры|матрасик|атериалы|текстиль|дерево|спользуется|детьми|раннего|возраста</v>
      </c>
      <c r="I903" s="1"/>
      <c r="J903" s="1"/>
    </row>
    <row r="904" spans="1:10" ht="38.25" x14ac:dyDescent="0.2">
      <c r="A904" s="8" t="s">
        <v>942</v>
      </c>
      <c r="B904" s="7" t="s">
        <v>941</v>
      </c>
      <c r="C904" s="7" t="s">
        <v>940</v>
      </c>
      <c r="D904" s="6">
        <v>361000</v>
      </c>
      <c r="E904" s="5">
        <v>1</v>
      </c>
      <c r="F904" s="4" t="str">
        <f ca="1">IFERROR(__xludf.DUMMYFUNCTION("LOWER(REGEXREPLACE(B904&amp;"" ""&amp;C904,""[^а-яa-z0-9 ]"","" ""))")," голок уюта  омплекс для релаксации и психологического комфорта детей   ключает бескаркасное кресло  подвесной шат р  плед и мягкие подушки   спользуется для отдыха  релаксации и коррекционной работы   атериалы мягкие  безопасные  износостойкие ")</f>
        <v xml:space="preserve"> голок уюта  омплекс для релаксации и психологического комфорта детей   ключает бескаркасное кресло  подвесной шат р  плед и мягкие подушки   спользуется для отдыха  релаксации и коррекционной работы   атериалы мягкие  безопасные  износостойкие </v>
      </c>
      <c r="G904" s="4" t="str">
        <f ca="1">IFERROR(__xludf.DUMMYFUNCTION("TEXTJOIN(""|"",TRUE,UNIQUE(FILTER(SPLIT(F904,"" ""),LEN(SPLIT(F904,"" ""))&gt;2)))"),"голок|уюта|омплекс|для|релаксации|психологического|комфорта|детей|ключает|бескаркасное|кресло|подвесной|шат|плед|мягкие|подушки|спользуется|для|отдыха|релаксации|коррекционной|работы|атериалы|мягкие|безопасные|износостойкие")</f>
        <v>голок|уюта|омплекс|для|релаксации|психологического|комфорта|детей|ключает|бескаркасное|кресло|подвесной|шат|плед|мягкие|подушки|спользуется|для|отдыха|релаксации|коррекционной|работы|атериалы|мягкие|безопасные|износостойкие</v>
      </c>
      <c r="I904" s="1"/>
      <c r="J904" s="1"/>
    </row>
    <row r="905" spans="1:10" ht="38.25" x14ac:dyDescent="0.2">
      <c r="A905" s="8" t="s">
        <v>939</v>
      </c>
      <c r="B905" s="7" t="s">
        <v>938</v>
      </c>
      <c r="C905" s="7" t="s">
        <v>937</v>
      </c>
      <c r="D905" s="6">
        <v>475000</v>
      </c>
      <c r="E905" s="5">
        <v>12</v>
      </c>
      <c r="F905" s="4" t="str">
        <f ca="1">IFERROR(__xludf.DUMMYFUNCTION("LOWER(REGEXREPLACE(B905&amp;"" ""&amp;C905,""[^а-яa-z0-9 ]"","" ""))")," голок кухня  гровая зона  кухня  предназначена для сюжетно ролевых игр детей   спользуется для развития бытовых навыков  речи  воображения и социальных умений   онструкция стационарная  материалы безопасные  поверхности легко очищаются ")</f>
        <v xml:space="preserve"> голок кухня  гровая зона  кухня  предназначена для сюжетно ролевых игр детей   спользуется для развития бытовых навыков  речи  воображения и социальных умений   онструкция стационарная  материалы безопасные  поверхности легко очищаются </v>
      </c>
      <c r="G905" s="4" t="str">
        <f ca="1">IFERROR(__xludf.DUMMYFUNCTION("TEXTJOIN(""|"",TRUE,UNIQUE(FILTER(SPLIT(F905,"" ""),LEN(SPLIT(F905,"" ""))&gt;2)))"),"голок|кухня|гровая|зона|кухня|предназначена|для|сюжетно|ролевых|игр|детей|спользуется|для|развития|бытовых|навыков|речи|воображения|социальных|умений|онструкция|стационарная|материалы|безопасные|поверхности|легко|очищаются")</f>
        <v>голок|кухня|гровая|зона|кухня|предназначена|для|сюжетно|ролевых|игр|детей|спользуется|для|развития|бытовых|навыков|речи|воображения|социальных|умений|онструкция|стационарная|материалы|безопасные|поверхности|легко|очищаются</v>
      </c>
      <c r="I905" s="1"/>
      <c r="J905" s="1"/>
    </row>
    <row r="906" spans="1:10" ht="38.25" x14ac:dyDescent="0.2">
      <c r="A906" s="8" t="s">
        <v>936</v>
      </c>
      <c r="B906" s="7" t="s">
        <v>935</v>
      </c>
      <c r="C906" s="7" t="s">
        <v>934</v>
      </c>
      <c r="D906" s="6">
        <v>5400</v>
      </c>
      <c r="E906" s="5">
        <v>7</v>
      </c>
      <c r="F906" s="4" t="str">
        <f ca="1">IFERROR(__xludf.DUMMYFUNCTION("LOWER(REGEXREPLACE(B906&amp;"" ""&amp;C906,""[^а-яa-z0-9 ]"","" ""))")," мные игры с картами   ассказы по картинкам  идактический набор карточек предназначен для развития связной речи  логического мышления  эмоционального интеллекта и воображения   спользуется в индивидуальной и групповой работе с детьми дошкольного и младшег"&amp;"о школьного возраста ")</f>
        <v xml:space="preserve"> мные игры с картами   ассказы по картинкам  идактический набор карточек предназначен для развития связной речи  логического мышления  эмоционального интеллекта и воображения   спользуется в индивидуальной и групповой работе с детьми дошкольного и младшего школьного возраста </v>
      </c>
      <c r="G906" s="4" t="str">
        <f ca="1">IFERROR(__xludf.DUMMYFUNCTION("TEXTJOIN(""|"",TRUE,UNIQUE(FILTER(SPLIT(F906,"" ""),LEN(SPLIT(F906,"" ""))&gt;2)))"),"мные|игры|картами|ассказы|картинкам|идактический|набор|карточек|предназначен|для|развития|связной|речи|логического|мышления|эмоционального|интеллекта|воображения|спользуется|индивидуальной|групповой|работе|детьми|дошкольного|младшего|школьного|возраста")</f>
        <v>мные|игры|картами|ассказы|картинкам|идактический|набор|карточек|предназначен|для|развития|связной|речи|логического|мышления|эмоционального|интеллекта|воображения|спользуется|индивидуальной|групповой|работе|детьми|дошкольного|младшего|школьного|возраста</v>
      </c>
      <c r="I906" s="1"/>
      <c r="J906" s="1"/>
    </row>
    <row r="907" spans="1:10" ht="51" x14ac:dyDescent="0.2">
      <c r="A907" s="8" t="s">
        <v>933</v>
      </c>
      <c r="B907" s="7" t="s">
        <v>932</v>
      </c>
      <c r="C907" s="7" t="s">
        <v>931</v>
      </c>
      <c r="D907" s="6">
        <v>6100</v>
      </c>
      <c r="E907" s="5">
        <v>5</v>
      </c>
      <c r="F907" s="4" t="str">
        <f ca="1">IFERROR(__xludf.DUMMYFUNCTION("LOWER(REGEXREPLACE(B907&amp;"" ""&amp;C907,""[^а-яa-z0-9 ]"","" ""))")," тяжелители для рук и ног  тяжелители для рук и ног  вес одного не менее 0 5 кг  комплект из 2 штук  форма браслетов на липучках  материал нейлон и полиэстер   редназначены для использования в развивающих и спортивных занятиях в детском саду  увеличивают "&amp;"нагрузку при упражнениях  способствуют развитию силы  выносливости  координации движений и общей физической активности детей ")</f>
        <v xml:space="preserve"> тяжелители для рук и ног  тяжелители для рук и ног  вес одного не менее 0 5 кг  комплект из 2 штук  форма браслетов на липучках  материал нейлон и полиэстер   редназначены для использования в развивающих и спортивных занятиях в детском саду  увеличивают нагрузку при упражнениях  способствуют развитию силы  выносливости  координации движений и общей физической активности детей </v>
      </c>
      <c r="G907" s="4" t="str">
        <f ca="1">IFERROR(__xludf.DUMMYFUNCTION("TEXTJOIN(""|"",TRUE,UNIQUE(FILTER(SPLIT(F907,"" ""),LEN(SPLIT(F907,"" ""))&gt;2)))"),"тяжелители|для|рук|ног|тяжелители|для|рук|ног|вес|одного|менее|комплект|штук|форма|браслетов|липучках|материал|нейлон|полиэстер|редназначены|для|использования|развивающих|спортивных|занятиях|детском|саду|увеличивают|нагрузку|при|упражнениях|способствуют|р"&amp;"азвитию|силы|выносливости|координации|движений|общей|физической|активности|детей")</f>
        <v>тяжелители|для|рук|ног|тяжелители|для|рук|ног|вес|одного|менее|комплект|штук|форма|браслетов|липучках|материал|нейлон|полиэстер|редназначены|для|использования|развивающих|спортивных|занятиях|детском|саду|увеличивают|нагрузку|при|упражнениях|способствуют|развитию|силы|выносливости|координации|движений|общей|физической|активности|детей</v>
      </c>
      <c r="I907" s="1"/>
      <c r="J907" s="1"/>
    </row>
    <row r="908" spans="1:10" ht="102" x14ac:dyDescent="0.2">
      <c r="A908" s="8" t="s">
        <v>930</v>
      </c>
      <c r="B908" s="7" t="s">
        <v>929</v>
      </c>
      <c r="C908" s="7" t="s">
        <v>928</v>
      </c>
      <c r="D908" s="6">
        <v>37400</v>
      </c>
      <c r="E908" s="5">
        <v>5</v>
      </c>
      <c r="F908" s="4" t="str">
        <f ca="1">IFERROR(__xludf.DUMMYFUNCTION("LOWER(REGEXREPLACE(B908&amp;"" ""&amp;C908,""[^а-яa-z0-9 ]"","" ""))")," чебный микроскоп для демонстрационных и исследовательских опытов  чебный микроскоп предназначен для проведения наблюдений и простых опытов в зоне экспериментов и занятий по познавательному развитию   птическая система обеспечивает увеличение не менее 100"&amp;"   с возможностью переключения режимов увеличения для рассмотрения различных объектов   онструкция включает предметный столик с фиксацией образца и механизм плавной фокусировки  позволяющий точно настраивать изображение    комплекте предусмотрены принадле"&amp;"жности для опытов и подготовки образцов  не менее 1 набора аксессуаров для наблюдений    орпус выполнен из прочного материала  устойчивого к частому перемещению и очистке  без острых кромок   спользуется под контролем педагога для формирования интереса к "&amp;"исследованию  развитию наблюдательности и умения сравнивать признаки объектов ")</f>
        <v xml:space="preserve"> чебный микроскоп для демонстрационных и исследовательских опытов  чебный микроскоп предназначен для проведения наблюдений и простых опытов в зоне экспериментов и занятий по познавательному развитию   птическая система обеспечивает увеличение не менее 100   с возможностью переключения режимов увеличения для рассмотрения различных объектов   онструкция включает предметный столик с фиксацией образца и механизм плавной фокусировки  позволяющий точно настраивать изображение    комплекте предусмотрены принадлежности для опытов и подготовки образцов  не менее 1 набора аксессуаров для наблюдений    орпус выполнен из прочного материала  устойчивого к частому перемещению и очистке  без острых кромок   спользуется под контролем педагога для формирования интереса к исследованию  развитию наблюдательности и умения сравнивать признаки объектов </v>
      </c>
      <c r="G908" s="4" t="str">
        <f ca="1">IFERROR(__xludf.DUMMYFUNCTION("TEXTJOIN(""|"",TRUE,UNIQUE(FILTER(SPLIT(F908,"" ""),LEN(SPLIT(F908,"" ""))&gt;2)))"),"чебный|микроскоп|для|демонстрационных|исследовательских|опытов|чебный|микроскоп|предназначен|для|проведения|наблюдений|простых|опытов|зоне|экспериментов|занятий|познавательному|развитию|птическая|система|обеспечивает|увеличение|менее|100|возможностью|пере"&amp;"ключения|режимов|увеличения|для|рассмотрения|различных|объектов|онструкция|включает|предметный|столик|фиксацией|образца|механизм|плавной|фокусировки|позволяющий|точно|настраивать|изображение|комплекте|предусмотрены|принадлежности|для|опытов|подготовки|обр"&amp;"азцов|менее|набора|аксессуаров|для|наблюдений|орпус|выполнен|прочного|материала|устойчивого|частому|перемещению|очистке|без|острых|кромок|спользуется|под|контролем|педагога|для|формирования|интереса|исследованию|развитию|наблюдательности|умения|сравнивать"&amp;"|признаки|объектов")</f>
        <v>чебный|микроскоп|для|демонстрационных|исследовательских|опытов|чебный|микроскоп|предназначен|для|проведения|наблюдений|простых|опытов|зоне|экспериментов|занятий|познавательному|развитию|птическая|система|обеспечивает|увеличение|менее|100|возможностью|переключения|режимов|увеличения|для|рассмотрения|различных|объектов|онструкция|включает|предметный|столик|фиксацией|образца|механизм|плавной|фокусировки|позволяющий|точно|настраивать|изображение|комплекте|предусмотрены|принадлежности|для|опытов|подготовки|образцов|менее|набора|аксессуаров|для|наблюдений|орпус|выполнен|прочного|материала|устойчивого|частому|перемещению|очистке|без|острых|кромок|спользуется|под|контролем|педагога|для|формирования|интереса|исследованию|развитию|наблюдательности|умения|сравнивать|признаки|объектов</v>
      </c>
      <c r="I908" s="1"/>
      <c r="J908" s="1"/>
    </row>
    <row r="909" spans="1:10" ht="25.5" x14ac:dyDescent="0.2">
      <c r="A909" s="8" t="s">
        <v>927</v>
      </c>
      <c r="B909" s="7" t="s">
        <v>926</v>
      </c>
      <c r="C909" s="7"/>
      <c r="D909" s="6">
        <v>900</v>
      </c>
      <c r="E909" s="5">
        <v>6</v>
      </c>
      <c r="F909" s="4" t="str">
        <f ca="1">IFERROR(__xludf.DUMMYFUNCTION("LOWER(REGEXREPLACE(B909&amp;"" ""&amp;C909,""[^а-яa-z0-9 ]"","" ""))")," чимся вместе с героями   витаминами   алышка  лубника  ")</f>
        <v xml:space="preserve"> чимся вместе с героями   витаминами   алышка  лубника  </v>
      </c>
      <c r="G909" s="4" t="str">
        <f ca="1">IFERROR(__xludf.DUMMYFUNCTION("TEXTJOIN(""|"",TRUE,UNIQUE(FILTER(SPLIT(F909,"" ""),LEN(SPLIT(F909,"" ""))&gt;2)))"),"чимся|вместе|героями|витаминами|алышка|лубника")</f>
        <v>чимся|вместе|героями|витаминами|алышка|лубника</v>
      </c>
      <c r="I909" s="1"/>
      <c r="J909" s="1"/>
    </row>
    <row r="910" spans="1:10" ht="25.5" x14ac:dyDescent="0.2">
      <c r="A910" s="8" t="s">
        <v>925</v>
      </c>
      <c r="B910" s="7" t="s">
        <v>924</v>
      </c>
      <c r="C910" s="7"/>
      <c r="D910" s="6">
        <v>900</v>
      </c>
      <c r="E910" s="5">
        <v>6</v>
      </c>
      <c r="F910" s="4" t="str">
        <f ca="1">IFERROR(__xludf.DUMMYFUNCTION("LOWER(REGEXREPLACE(B910&amp;"" ""&amp;C910,""[^а-яa-z0-9 ]"","" ""))")," чимся вместе с героями   витаминами   исс  орковка  ")</f>
        <v xml:space="preserve"> чимся вместе с героями   витаминами   исс  орковка  </v>
      </c>
      <c r="G910" s="4" t="str">
        <f ca="1">IFERROR(__xludf.DUMMYFUNCTION("TEXTJOIN(""|"",TRUE,UNIQUE(FILTER(SPLIT(F910,"" ""),LEN(SPLIT(F910,"" ""))&gt;2)))"),"чимся|вместе|героями|витаминами|исс|орковка")</f>
        <v>чимся|вместе|героями|витаминами|исс|орковка</v>
      </c>
      <c r="I910" s="1"/>
      <c r="J910" s="1"/>
    </row>
    <row r="911" spans="1:10" ht="25.5" x14ac:dyDescent="0.2">
      <c r="A911" s="8" t="s">
        <v>923</v>
      </c>
      <c r="B911" s="7" t="s">
        <v>922</v>
      </c>
      <c r="C911" s="7"/>
      <c r="D911" s="6">
        <v>900</v>
      </c>
      <c r="E911" s="5">
        <v>6</v>
      </c>
      <c r="F911" s="4" t="str">
        <f ca="1">IFERROR(__xludf.DUMMYFUNCTION("LOWER(REGEXREPLACE(B911&amp;"" ""&amp;C911,""[^а-яa-z0-9 ]"","" ""))")," чимся вместе с героями   витаминами   истер  артофель  ")</f>
        <v xml:space="preserve"> чимся вместе с героями   витаминами   истер  артофель  </v>
      </c>
      <c r="G911" s="4" t="str">
        <f ca="1">IFERROR(__xludf.DUMMYFUNCTION("TEXTJOIN(""|"",TRUE,UNIQUE(FILTER(SPLIT(F911,"" ""),LEN(SPLIT(F911,"" ""))&gt;2)))"),"чимся|вместе|героями|витаминами|истер|артофель")</f>
        <v>чимся|вместе|героями|витаминами|истер|артофель</v>
      </c>
      <c r="I911" s="1"/>
      <c r="J911" s="1"/>
    </row>
    <row r="912" spans="1:10" ht="25.5" x14ac:dyDescent="0.2">
      <c r="A912" s="8" t="s">
        <v>921</v>
      </c>
      <c r="B912" s="7" t="s">
        <v>920</v>
      </c>
      <c r="C912" s="7"/>
      <c r="D912" s="6">
        <v>900</v>
      </c>
      <c r="E912" s="5">
        <v>6</v>
      </c>
      <c r="F912" s="4" t="str">
        <f ca="1">IFERROR(__xludf.DUMMYFUNCTION("LOWER(REGEXREPLACE(B912&amp;"" ""&amp;C912,""[^а-яa-z0-9 ]"","" ""))")," чимся вместе с героями   витаминами   истер  блоко  ")</f>
        <v xml:space="preserve"> чимся вместе с героями   витаминами   истер  блоко  </v>
      </c>
      <c r="G912" s="4" t="str">
        <f ca="1">IFERROR(__xludf.DUMMYFUNCTION("TEXTJOIN(""|"",TRUE,UNIQUE(FILTER(SPLIT(F912,"" ""),LEN(SPLIT(F912,"" ""))&gt;2)))"),"чимся|вместе|героями|витаминами|истер|блоко")</f>
        <v>чимся|вместе|героями|витаминами|истер|блоко</v>
      </c>
      <c r="I912" s="1"/>
      <c r="J912" s="1"/>
    </row>
    <row r="913" spans="1:10" ht="51" x14ac:dyDescent="0.2">
      <c r="A913" s="8" t="s">
        <v>919</v>
      </c>
      <c r="B913" s="7" t="s">
        <v>918</v>
      </c>
      <c r="C913" s="7" t="s">
        <v>917</v>
      </c>
      <c r="D913" s="6">
        <v>28700</v>
      </c>
      <c r="E913" s="5">
        <v>5</v>
      </c>
      <c r="F913" s="4" t="str">
        <f ca="1">IFERROR(__xludf.DUMMYFUNCTION("LOWER(REGEXREPLACE(B913&amp;"" ""&amp;C913,""[^а-яa-z0-9 ]"","" ""))")," вусторонняя доска для творчества с зоной выставки  оска используется для рисования  письма и демонстрации детских работ   снащена магнитно маркерной поверхностью  зоной для выставки и местом хранения материалов   онструкция передвижная  на кол сных опора"&amp;"х со стопорами   ожет использоваться как перегородка или элемент игрового пространства   абариты стенда   не менее 1000 480 1420 мм ")</f>
        <v xml:space="preserve"> вусторонняя доска для творчества с зоной выставки  оска используется для рисования  письма и демонстрации детских работ   снащена магнитно маркерной поверхностью  зоной для выставки и местом хранения материалов   онструкция передвижная  на кол сных опорах со стопорами   ожет использоваться как перегородка или элемент игрового пространства   абариты стенда   не менее 1000 480 1420 мм </v>
      </c>
      <c r="G913" s="4" t="str">
        <f ca="1">IFERROR(__xludf.DUMMYFUNCTION("TEXTJOIN(""|"",TRUE,UNIQUE(FILTER(SPLIT(F913,"" ""),LEN(SPLIT(F913,"" ""))&gt;2)))"),"вусторонняя|доска|для|творчества|зоной|выставки|оска|используется|для|рисования|письма|демонстрации|детских|работ|снащена|магнитно|маркерной|поверхностью|зоной|для|выставки|местом|хранения|материалов|онструкция|передвижная|кол|сных|опорах|стопорами|ожет|и"&amp;"спользоваться|как|перегородка|или|элемент|игрового|пространства|абариты|стенда|менее|1000|480|1420")</f>
        <v>вусторонняя|доска|для|творчества|зоной|выставки|оска|используется|для|рисования|письма|демонстрации|детских|работ|снащена|магнитно|маркерной|поверхностью|зоной|для|выставки|местом|хранения|материалов|онструкция|передвижная|кол|сных|опорах|стопорами|ожет|использоваться|как|перегородка|или|элемент|игрового|пространства|абариты|стенда|менее|1000|480|1420</v>
      </c>
      <c r="I913" s="1"/>
      <c r="J913" s="1"/>
    </row>
    <row r="914" spans="1:10" ht="38.25" x14ac:dyDescent="0.2">
      <c r="A914" s="8" t="s">
        <v>916</v>
      </c>
      <c r="B914" s="7" t="s">
        <v>915</v>
      </c>
      <c r="C914" s="7" t="s">
        <v>914</v>
      </c>
      <c r="D914" s="6">
        <v>3500</v>
      </c>
      <c r="E914" s="5">
        <v>13</v>
      </c>
      <c r="F914" s="4" t="str">
        <f ca="1">IFERROR(__xludf.DUMMYFUNCTION("LOWER(REGEXREPLACE(B914&amp;"" ""&amp;C914,""[^а-яa-z0-9 ]"","" ""))")," й жануарларын б лес   бе    ылды бояма   бучающая раскраска на казахском языке  предназначенная для ознакомления детей с домашними животными   спользуется для развития речи  словарного запаса  мелкой моторики и познавательного интереса   одходит для инди"&amp;"видуальной и групповой работы с детьми дошкольного возраста ")</f>
        <v xml:space="preserve"> й жануарларын б лес   бе    ылды бояма   бучающая раскраска на казахском языке  предназначенная для ознакомления детей с домашними животными   спользуется для развития речи  словарного запаса  мелкой моторики и познавательного интереса   одходит для индивидуальной и групповой работы с детьми дошкольного возраста </v>
      </c>
      <c r="G914" s="4" t="str">
        <f ca="1">IFERROR(__xludf.DUMMYFUNCTION("TEXTJOIN(""|"",TRUE,UNIQUE(FILTER(SPLIT(F914,"" ""),LEN(SPLIT(F914,"" ""))&gt;2)))"),"жануарларын|лес|ылды|бояма|бучающая|раскраска|казахском|языке|предназначенная|для|ознакомления|детей|домашними|животными|спользуется|для|развития|речи|словарного|запаса|мелкой|моторики|познавательного|интереса|одходит|для|индивидуальной|групповой|работы|д"&amp;"етьми|дошкольного|возраста")</f>
        <v>жануарларын|лес|ылды|бояма|бучающая|раскраска|казахском|языке|предназначенная|для|ознакомления|детей|домашними|животными|спользуется|для|развития|речи|словарного|запаса|мелкой|моторики|познавательного|интереса|одходит|для|индивидуальной|групповой|работы|детьми|дошкольного|возраста</v>
      </c>
      <c r="I914" s="1"/>
      <c r="J914" s="1"/>
    </row>
    <row r="915" spans="1:10" ht="25.5" x14ac:dyDescent="0.2">
      <c r="A915" s="8" t="s">
        <v>913</v>
      </c>
      <c r="B915" s="7" t="s">
        <v>912</v>
      </c>
      <c r="C915" s="7" t="s">
        <v>911</v>
      </c>
      <c r="D915" s="6">
        <v>3600</v>
      </c>
      <c r="E915" s="5">
        <v>1</v>
      </c>
      <c r="F915" s="4" t="str">
        <f ca="1">IFERROR(__xludf.DUMMYFUNCTION("LOWER(REGEXREPLACE(B915&amp;"" ""&amp;C915,""[^а-яa-z0-9 ]"","" ""))")," лы  скенд р   лександр  еликий   lexander the  reat  каз   рус   англ яз      ингхэм  перевод  ужикова      ернебекова    ")</f>
        <v xml:space="preserve"> лы  скенд р   лександр  еликий   lexander the  reat  каз   рус   англ яз      ингхэм  перевод  ужикова      ернебекова    </v>
      </c>
      <c r="G915" s="4" t="str">
        <f ca="1">IFERROR(__xludf.DUMMYFUNCTION("TEXTJOIN(""|"",TRUE,UNIQUE(FILTER(SPLIT(F915,"" ""),LEN(SPLIT(F915,"" ""))&gt;2)))"),"скенд|лександр|еликий|lexander|the|reat|каз|рус|англ|ингхэм|перевод|ужикова|ернебекова")</f>
        <v>скенд|лександр|еликий|lexander|the|reat|каз|рус|англ|ингхэм|перевод|ужикова|ернебекова</v>
      </c>
      <c r="I915" s="1"/>
      <c r="J915" s="1"/>
    </row>
    <row r="916" spans="1:10" ht="25.5" x14ac:dyDescent="0.2">
      <c r="A916" s="8" t="s">
        <v>910</v>
      </c>
      <c r="B916" s="7" t="s">
        <v>909</v>
      </c>
      <c r="C916" s="7" t="s">
        <v>908</v>
      </c>
      <c r="D916" s="6">
        <v>21900</v>
      </c>
      <c r="E916" s="5">
        <v>1</v>
      </c>
      <c r="F916" s="4" t="str">
        <f ca="1">IFERROR(__xludf.DUMMYFUNCTION("LOWER(REGEXREPLACE(B916&amp;"" ""&amp;C916,""[^а-яa-z0-9 ]"","" ""))")," лы   бек жолы   еликий  елковый путь   he  reat  ilk  oad  каз   рус   англ яз    амраимов   ")</f>
        <v xml:space="preserve"> лы   бек жолы   еликий  елковый путь   he  reat  ilk  oad  каз   рус   англ яз    амраимов   </v>
      </c>
      <c r="G916" s="4" t="str">
        <f ca="1">IFERROR(__xludf.DUMMYFUNCTION("TEXTJOIN(""|"",TRUE,UNIQUE(FILTER(SPLIT(F916,"" ""),LEN(SPLIT(F916,"" ""))&gt;2)))"),"бек|жолы|еликий|елковый|путь|reat|ilk|oad|каз|рус|англ|амраимов")</f>
        <v>бек|жолы|еликий|елковый|путь|reat|ilk|oad|каз|рус|англ|амраимов</v>
      </c>
      <c r="I916" s="1"/>
      <c r="J916" s="1"/>
    </row>
    <row r="917" spans="1:10" ht="25.5" x14ac:dyDescent="0.2">
      <c r="A917" s="8" t="s">
        <v>907</v>
      </c>
      <c r="B917" s="7" t="s">
        <v>906</v>
      </c>
      <c r="C917" s="7" t="s">
        <v>905</v>
      </c>
      <c r="D917" s="6">
        <v>5400</v>
      </c>
      <c r="E917" s="5">
        <v>25</v>
      </c>
      <c r="F917" s="4" t="str">
        <f ca="1">IFERROR(__xludf.DUMMYFUNCTION("LOWER(REGEXREPLACE(B917&amp;"" ""&amp;C917,""[^а-яa-z0-9 ]"","" ""))")," артук  ащитный фартук предназначен для занятий творчеством  изобразительной деятельностью  трудовыми и игровыми видами деятельности   одонепроницаемый материал защищает одежду реб нка от загрязнений ")</f>
        <v xml:space="preserve"> артук  ащитный фартук предназначен для занятий творчеством  изобразительной деятельностью  трудовыми и игровыми видами деятельности   одонепроницаемый материал защищает одежду реб нка от загрязнений </v>
      </c>
      <c r="G917" s="4" t="str">
        <f ca="1">IFERROR(__xludf.DUMMYFUNCTION("TEXTJOIN(""|"",TRUE,UNIQUE(FILTER(SPLIT(F917,"" ""),LEN(SPLIT(F917,"" ""))&gt;2)))"),"артук|ащитный|фартук|предназначен|для|занятий|творчеством|изобразительной|деятельностью|трудовыми|игровыми|видами|деятельности|одонепроницаемый|материал|защищает|одежду|реб|нка|загрязнений")</f>
        <v>артук|ащитный|фартук|предназначен|для|занятий|творчеством|изобразительной|деятельностью|трудовыми|игровыми|видами|деятельности|одонепроницаемый|материал|защищает|одежду|реб|нка|загрязнений</v>
      </c>
      <c r="I917" s="1"/>
      <c r="J917" s="1"/>
    </row>
    <row r="918" spans="1:10" ht="51" x14ac:dyDescent="0.2">
      <c r="A918" s="8" t="s">
        <v>904</v>
      </c>
      <c r="B918" s="7" t="s">
        <v>903</v>
      </c>
      <c r="C918" s="7" t="s">
        <v>902</v>
      </c>
      <c r="D918" s="6">
        <v>3100</v>
      </c>
      <c r="E918" s="5">
        <v>10</v>
      </c>
      <c r="F918" s="4" t="str">
        <f ca="1">IFERROR(__xludf.DUMMYFUNCTION("LOWER(REGEXREPLACE(B918&amp;"" ""&amp;C918,""[^а-яa-z0-9 ]"","" ""))")," артук детский из водостойкого материала  с нарукавниками   артук предназначен для защиты одежды реб нка во время занятий рисованием  лепкой  экспериментирования и труда   зготовлен из водостойкого материала   иксируется на талии и шее с помощью регулируе"&amp;"мых ремней    комплект входят нарукавники из плащевой ткани с резинками   азмер фартука   51 44 см  нарукавников   11 25 см ")</f>
        <v xml:space="preserve"> артук детский из водостойкого материала  с нарукавниками   артук предназначен для защиты одежды реб нка во время занятий рисованием  лепкой  экспериментирования и труда   зготовлен из водостойкого материала   иксируется на талии и шее с помощью регулируемых ремней    комплект входят нарукавники из плащевой ткани с резинками   азмер фартука   51 44 см  нарукавников   11 25 см </v>
      </c>
      <c r="G918" s="4" t="str">
        <f ca="1">IFERROR(__xludf.DUMMYFUNCTION("TEXTJOIN(""|"",TRUE,UNIQUE(FILTER(SPLIT(F918,"" ""),LEN(SPLIT(F918,"" ""))&gt;2)))"),"артук|детский|водостойкого|материала|нарукавниками|артук|предназначен|для|защиты|одежды|реб|нка|время|занятий|рисованием|лепкой|экспериментирования|труда|зготовлен|водостойкого|материала|иксируется|талии|шее|помощью|регулируемых|ремней|комплект|входят|нар"&amp;"укавники|плащевой|ткани|резинками|азмер|фартука|нарукавников")</f>
        <v>артук|детский|водостойкого|материала|нарукавниками|артук|предназначен|для|защиты|одежды|реб|нка|время|занятий|рисованием|лепкой|экспериментирования|труда|зготовлен|водостойкого|материала|иксируется|талии|шее|помощью|регулируемых|ремней|комплект|входят|нарукавники|плащевой|ткани|резинками|азмер|фартука|нарукавников</v>
      </c>
      <c r="I918" s="1"/>
      <c r="J918" s="1"/>
    </row>
    <row r="919" spans="1:10" ht="25.5" x14ac:dyDescent="0.2">
      <c r="A919" s="8" t="s">
        <v>901</v>
      </c>
      <c r="B919" s="7" t="s">
        <v>900</v>
      </c>
      <c r="C919" s="7" t="s">
        <v>899</v>
      </c>
      <c r="D919" s="6">
        <v>3800</v>
      </c>
      <c r="E919" s="5">
        <v>16</v>
      </c>
      <c r="F919" s="4" t="str">
        <f ca="1">IFERROR(__xludf.DUMMYFUNCTION("LOWER(REGEXREPLACE(B919&amp;"" ""&amp;C919,""[^а-яa-z0-9 ]"","" ""))")," артуки для дежурных  омплект защитных фартуков для организации дежурств детей   спользуется для формирования навыков самообслуживания  ответственности и трудовой деятельности ")</f>
        <v xml:space="preserve"> артуки для дежурных  омплект защитных фартуков для организации дежурств детей   спользуется для формирования навыков самообслуживания  ответственности и трудовой деятельности </v>
      </c>
      <c r="G919" s="4" t="str">
        <f ca="1">IFERROR(__xludf.DUMMYFUNCTION("TEXTJOIN(""|"",TRUE,UNIQUE(FILTER(SPLIT(F919,"" ""),LEN(SPLIT(F919,"" ""))&gt;2)))"),"артуки|для|дежурных|омплект|защитных|фартуков|для|организации|дежурств|детей|спользуется|для|формирования|навыков|самообслуживания|ответственности|трудовой|деятельности")</f>
        <v>артуки|для|дежурных|омплект|защитных|фартуков|для|организации|дежурств|детей|спользуется|для|формирования|навыков|самообслуживания|ответственности|трудовой|деятельности</v>
      </c>
      <c r="I919" s="1"/>
      <c r="J919" s="1"/>
    </row>
    <row r="920" spans="1:10" ht="51" x14ac:dyDescent="0.2">
      <c r="A920" s="8" t="s">
        <v>898</v>
      </c>
      <c r="B920" s="7" t="s">
        <v>897</v>
      </c>
      <c r="C920" s="7" t="s">
        <v>896</v>
      </c>
      <c r="D920" s="6">
        <v>760000</v>
      </c>
      <c r="E920" s="5">
        <v>1</v>
      </c>
      <c r="F920" s="4" t="str">
        <f ca="1">IFERROR(__xludf.DUMMYFUNCTION("LOWER(REGEXREPLACE(B920&amp;"" ""&amp;C920,""[^а-яa-z0-9 ]"","" ""))")," иброоптический тоннель  ягкий сенсорный тоннель предназначен для занятий в сенсорной комнате   снащ н фиброоптическими волокнами и     подсветкой  создающими эффект  зв здного неба    спользуется для сенсорной стимуляции  релаксации и эмоциональной разгр"&amp;"узки детей   азмер 1200 900 800 мм   атериалы  винилискожа  пенополиуретан  карпет ")</f>
        <v xml:space="preserve"> иброоптический тоннель  ягкий сенсорный тоннель предназначен для занятий в сенсорной комнате   снащ н фиброоптическими волокнами и     подсветкой  создающими эффект  зв здного неба    спользуется для сенсорной стимуляции  релаксации и эмоциональной разгрузки детей   азмер 1200 900 800 мм   атериалы  винилискожа  пенополиуретан  карпет </v>
      </c>
      <c r="G920" s="4" t="str">
        <f ca="1">IFERROR(__xludf.DUMMYFUNCTION("TEXTJOIN(""|"",TRUE,UNIQUE(FILTER(SPLIT(F920,"" ""),LEN(SPLIT(F920,"" ""))&gt;2)))"),"иброоптический|тоннель|ягкий|сенсорный|тоннель|предназначен|для|занятий|сенсорной|комнате|снащ|фиброоптическими|волокнами|подсветкой|создающими|эффект|здного|неба|спользуется|для|сенсорной|стимуляции|релаксации|эмоциональной|разгрузки|детей|азмер|1200|900"&amp;"|800|атериалы|винилискожа|пенополиуретан|карпет")</f>
        <v>иброоптический|тоннель|ягкий|сенсорный|тоннель|предназначен|для|занятий|сенсорной|комнате|снащ|фиброоптическими|волокнами|подсветкой|создающими|эффект|здного|неба|спользуется|для|сенсорной|стимуляции|релаксации|эмоциональной|разгрузки|детей|азмер|1200|900|800|атериалы|винилискожа|пенополиуретан|карпет</v>
      </c>
      <c r="I920" s="1"/>
      <c r="J920" s="1"/>
    </row>
    <row r="921" spans="1:10" ht="38.25" x14ac:dyDescent="0.2">
      <c r="A921" s="8" t="s">
        <v>895</v>
      </c>
      <c r="B921" s="7" t="s">
        <v>894</v>
      </c>
      <c r="C921" s="7" t="s">
        <v>893</v>
      </c>
      <c r="D921" s="6">
        <v>52000</v>
      </c>
      <c r="E921" s="5">
        <v>2</v>
      </c>
      <c r="F921" s="4" t="str">
        <f ca="1">IFERROR(__xludf.DUMMYFUNCTION("LOWER(REGEXREPLACE(B921&amp;"" ""&amp;C921,""[^а-яa-z0-9 ]"","" ""))")," игуры семейных персонажей  абор фигур предназначен для работы с эмоциональной сферой  социальными и семейными ролями детей   спользуется в проективных  сюжетно ролевых и коррекционных играх   омплект включает фигурки членов семьи   атериалы безопасные  к"&amp;"рая закругл нные ")</f>
        <v xml:space="preserve"> игуры семейных персонажей  абор фигур предназначен для работы с эмоциональной сферой  социальными и семейными ролями детей   спользуется в проективных  сюжетно ролевых и коррекционных играх   омплект включает фигурки членов семьи   атериалы безопасные  края закругл нные </v>
      </c>
      <c r="G921" s="4" t="str">
        <f ca="1">IFERROR(__xludf.DUMMYFUNCTION("TEXTJOIN(""|"",TRUE,UNIQUE(FILTER(SPLIT(F921,"" ""),LEN(SPLIT(F921,"" ""))&gt;2)))"),"игуры|семейных|персонажей|абор|фигур|предназначен|для|работы|эмоциональной|сферой|социальными|семейными|ролями|детей|спользуется|проективных|сюжетно|ролевых|коррекционных|играх|омплект|включает|фигурки|членов|семьи|атериалы|безопасные|края|закругл|нные")</f>
        <v>игуры|семейных|персонажей|абор|фигур|предназначен|для|работы|эмоциональной|сферой|социальными|семейными|ролями|детей|спользуется|проективных|сюжетно|ролевых|коррекционных|играх|омплект|включает|фигурки|членов|семьи|атериалы|безопасные|края|закругл|нные</v>
      </c>
      <c r="I921" s="1"/>
      <c r="J921" s="1"/>
    </row>
    <row r="922" spans="1:10" ht="38.25" x14ac:dyDescent="0.2">
      <c r="A922" s="8" t="s">
        <v>892</v>
      </c>
      <c r="B922" s="7" t="s">
        <v>891</v>
      </c>
      <c r="C922" s="7" t="s">
        <v>890</v>
      </c>
      <c r="D922" s="6">
        <v>9600</v>
      </c>
      <c r="E922" s="5">
        <v>5</v>
      </c>
      <c r="F922" s="4" t="str">
        <f ca="1">IFERROR(__xludf.DUMMYFUNCTION("LOWER(REGEXREPLACE(B922&amp;"" ""&amp;C922,""[^а-яa-z0-9 ]"","" ""))")," игуры персонажи для самостоятельного рисования  абор фигур предназначен для творческой деятельности детей   спользуется для рисования  оформления персонажей и развития воображения  мелкой моторики и эмоционального самовыражения   рименяется в индивидуаль"&amp;"ной и групповой работе ")</f>
        <v xml:space="preserve"> игуры персонажи для самостоятельного рисования  абор фигур предназначен для творческой деятельности детей   спользуется для рисования  оформления персонажей и развития воображения  мелкой моторики и эмоционального самовыражения   рименяется в индивидуальной и групповой работе </v>
      </c>
      <c r="G922" s="4" t="str">
        <f ca="1">IFERROR(__xludf.DUMMYFUNCTION("TEXTJOIN(""|"",TRUE,UNIQUE(FILTER(SPLIT(F922,"" ""),LEN(SPLIT(F922,"" ""))&gt;2)))"),"игуры|персонажи|для|самостоятельного|рисования|абор|фигур|предназначен|для|творческой|деятельности|детей|спользуется|для|рисования|оформления|персонажей|развития|воображения|мелкой|моторики|эмоционального|самовыражения|рименяется|индивидуальной|групповой|"&amp;"работе")</f>
        <v>игуры|персонажи|для|самостоятельного|рисования|абор|фигур|предназначен|для|творческой|деятельности|детей|спользуется|для|рисования|оформления|персонажей|развития|воображения|мелкой|моторики|эмоционального|самовыражения|рименяется|индивидуальной|групповой|работе</v>
      </c>
      <c r="I922" s="1"/>
      <c r="J922" s="1"/>
    </row>
    <row r="923" spans="1:10" ht="12.75" x14ac:dyDescent="0.2">
      <c r="A923" s="8" t="s">
        <v>889</v>
      </c>
      <c r="B923" s="7" t="s">
        <v>888</v>
      </c>
      <c r="C923" s="7" t="s">
        <v>887</v>
      </c>
      <c r="D923" s="6">
        <v>15000</v>
      </c>
      <c r="E923" s="5">
        <v>1</v>
      </c>
      <c r="F923" s="4" t="str">
        <f ca="1">IFERROR(__xludf.DUMMYFUNCTION("LOWER(REGEXREPLACE(B923&amp;"" ""&amp;C923,""[^а-яa-z0-9 ]"","" ""))")," изика    ай  р  же  л под ред      орган  перевод  усатай    ")</f>
        <v xml:space="preserve"> изика    ай  р  же  л под ред      орган  перевод  усатай    </v>
      </c>
      <c r="G923" s="4" t="str">
        <f ca="1">IFERROR(__xludf.DUMMYFUNCTION("TEXTJOIN(""|"",TRUE,UNIQUE(FILTER(SPLIT(F923,"" ""),LEN(SPLIT(F923,"" ""))&gt;2)))"),"изика|под|ред|орган|перевод|усатай")</f>
        <v>изика|под|ред|орган|перевод|усатай</v>
      </c>
      <c r="I923" s="1"/>
      <c r="J923" s="1"/>
    </row>
    <row r="924" spans="1:10" ht="38.25" x14ac:dyDescent="0.2">
      <c r="A924" s="8" t="s">
        <v>886</v>
      </c>
      <c r="B924" s="7" t="s">
        <v>885</v>
      </c>
      <c r="C924" s="7" t="s">
        <v>884</v>
      </c>
      <c r="D924" s="6">
        <v>102600</v>
      </c>
      <c r="E924" s="5">
        <v>5</v>
      </c>
      <c r="F924" s="4" t="str">
        <f ca="1">IFERROR(__xludf.DUMMYFUNCTION("LOWER(REGEXREPLACE(B924&amp;"" ""&amp;C924,""[^а-яa-z0-9 ]"","" ""))")," екоративное растение   рацена   астение используется для оформления интерьера и создания озелен нной среды   азмещается в помещении в напольном или настольном горшке   е требует сложного ухода и используется как элемент декоративного оформления ")</f>
        <v xml:space="preserve"> екоративное растение   рацена   астение используется для оформления интерьера и создания озелен нной среды   азмещается в помещении в напольном или настольном горшке   е требует сложного ухода и используется как элемент декоративного оформления </v>
      </c>
      <c r="G924" s="4" t="str">
        <f ca="1">IFERROR(__xludf.DUMMYFUNCTION("TEXTJOIN(""|"",TRUE,UNIQUE(FILTER(SPLIT(F924,"" ""),LEN(SPLIT(F924,"" ""))&gt;2)))"),"екоративное|растение|рацена|астение|используется|для|оформления|интерьера|создания|озелен|нной|среды|азмещается|помещении|напольном|или|настольном|горшке|требует|сложного|ухода|используется|как|элемент|декоративного|оформления")</f>
        <v>екоративное|растение|рацена|астение|используется|для|оформления|интерьера|создания|озелен|нной|среды|азмещается|помещении|напольном|или|настольном|горшке|требует|сложного|ухода|используется|как|элемент|декоративного|оформления</v>
      </c>
      <c r="I924" s="1"/>
      <c r="J924" s="1"/>
    </row>
    <row r="925" spans="1:10" ht="12.75" x14ac:dyDescent="0.2">
      <c r="A925" s="8" t="s">
        <v>883</v>
      </c>
      <c r="B925" s="7" t="s">
        <v>882</v>
      </c>
      <c r="C925" s="7" t="s">
        <v>881</v>
      </c>
      <c r="D925" s="6">
        <v>15000</v>
      </c>
      <c r="E925" s="5">
        <v>1</v>
      </c>
      <c r="F925" s="4" t="str">
        <f ca="1">IFERROR(__xludf.DUMMYFUNCTION("LOWER(REGEXREPLACE(B925&amp;"" ""&amp;C925,""[^а-яa-z0-9 ]"","" ""))")," изика   росто и легко под ред      орган  перевод  едрук      ")</f>
        <v xml:space="preserve"> изика   росто и легко под ред      орган  перевод  едрук      </v>
      </c>
      <c r="G925" s="4" t="str">
        <f ca="1">IFERROR(__xludf.DUMMYFUNCTION("TEXTJOIN(""|"",TRUE,UNIQUE(FILTER(SPLIT(F925,"" ""),LEN(SPLIT(F925,"" ""))&gt;2)))"),"изика|росто|легко|под|ред|орган|перевод|едрук")</f>
        <v>изика|росто|легко|под|ред|орган|перевод|едрук</v>
      </c>
      <c r="I925" s="1"/>
      <c r="J925" s="1"/>
    </row>
    <row r="926" spans="1:10" ht="25.5" x14ac:dyDescent="0.2">
      <c r="A926" s="8" t="s">
        <v>880</v>
      </c>
      <c r="B926" s="7" t="s">
        <v>879</v>
      </c>
      <c r="C926" s="7" t="s">
        <v>878</v>
      </c>
      <c r="D926" s="6">
        <v>5400</v>
      </c>
      <c r="E926" s="5">
        <v>1</v>
      </c>
      <c r="F926" s="4" t="str">
        <f ca="1">IFERROR(__xludf.DUMMYFUNCTION("LOWER(REGEXREPLACE(B926&amp;"" ""&amp;C926,""[^а-яa-z0-9 ]"","" ""))")," изическая культура  етодическое руководство для организации занятий по физической культуре с детьми дошкольного возраста   спользуется педагогами для планирования и проведения образовательной деятельности ")</f>
        <v xml:space="preserve"> изическая культура  етодическое руководство для организации занятий по физической культуре с детьми дошкольного возраста   спользуется педагогами для планирования и проведения образовательной деятельности </v>
      </c>
      <c r="G926" s="4" t="str">
        <f ca="1">IFERROR(__xludf.DUMMYFUNCTION("TEXTJOIN(""|"",TRUE,UNIQUE(FILTER(SPLIT(F926,"" ""),LEN(SPLIT(F926,"" ""))&gt;2)))"),"изическая|культура|етодическое|руководство|для|организации|занятий|физической|культуре|детьми|дошкольного|возраста|спользуется|педагогами|для|планирования|проведения|образовательной|деятельности")</f>
        <v>изическая|культура|етодическое|руководство|для|организации|занятий|физической|культуре|детьми|дошкольного|возраста|спользуется|педагогами|для|планирования|проведения|образовательной|деятельности</v>
      </c>
      <c r="I926" s="1"/>
      <c r="J926" s="1"/>
    </row>
    <row r="927" spans="1:10" ht="25.5" x14ac:dyDescent="0.2">
      <c r="A927" s="8" t="s">
        <v>877</v>
      </c>
      <c r="B927" s="7" t="s">
        <v>876</v>
      </c>
      <c r="C927" s="7" t="s">
        <v>875</v>
      </c>
      <c r="D927" s="6">
        <v>68400</v>
      </c>
      <c r="E927" s="5">
        <v>5</v>
      </c>
      <c r="F927" s="4" t="str">
        <f ca="1">IFERROR(__xludf.DUMMYFUNCTION("LOWER(REGEXREPLACE(B927&amp;"" ""&amp;C927,""[^а-яa-z0-9 ]"","" ""))")," икус  омнатное декоративно лиственное растение с крупными листьями   спользуется для озеленения помещений и ознакомления детей с формой листьев   еприхотлив в уходе  подходит для детских учреждений ")</f>
        <v xml:space="preserve"> икус  омнатное декоративно лиственное растение с крупными листьями   спользуется для озеленения помещений и ознакомления детей с формой листьев   еприхотлив в уходе  подходит для детских учреждений </v>
      </c>
      <c r="G927" s="4" t="str">
        <f ca="1">IFERROR(__xludf.DUMMYFUNCTION("TEXTJOIN(""|"",TRUE,UNIQUE(FILTER(SPLIT(F927,"" ""),LEN(SPLIT(F927,"" ""))&gt;2)))"),"икус|омнатное|декоративно|лиственное|растение|крупными|листьями|спользуется|для|озеленения|помещений|ознакомления|детей|формой|листьев|еприхотлив|уходе|подходит|для|детских|учреждений")</f>
        <v>икус|омнатное|декоративно|лиственное|растение|крупными|листьями|спользуется|для|озеленения|помещений|ознакомления|детей|формой|листьев|еприхотлив|уходе|подходит|для|детских|учреждений</v>
      </c>
      <c r="I927" s="1"/>
      <c r="J927" s="1"/>
    </row>
    <row r="928" spans="1:10" ht="51" x14ac:dyDescent="0.2">
      <c r="A928" s="8" t="s">
        <v>874</v>
      </c>
      <c r="B928" s="7" t="s">
        <v>873</v>
      </c>
      <c r="C928" s="7" t="s">
        <v>872</v>
      </c>
      <c r="D928" s="6">
        <v>7000</v>
      </c>
      <c r="E928" s="5">
        <v>21</v>
      </c>
      <c r="F928" s="4" t="str">
        <f ca="1">IFERROR(__xludf.DUMMYFUNCTION("LOWER(REGEXREPLACE(B928&amp;"" ""&amp;C928,""[^а-яa-z0-9 ]"","" ""))")," итбол  итбол массажный с ручкой  диаметр не менее 55 см  максимальная нагрузка не менее 60 кг  вес не менее 420 г  материал      цвет микс  индивидуальная упаковка   пакет   редназначен для развивающих и физических занятий в детском саду  способствует ра"&amp;"звитию координации движений  равновесия  силы и общей физической активности детей от 3 лет ")</f>
        <v xml:space="preserve"> итбол  итбол массажный с ручкой  диаметр не менее 55 см  максимальная нагрузка не менее 60 кг  вес не менее 420 г  материал      цвет микс  индивидуальная упаковка   пакет   редназначен для развивающих и физических занятий в детском саду  способствует развитию координации движений  равновесия  силы и общей физической активности детей от 3 лет </v>
      </c>
      <c r="G928" s="4" t="str">
        <f ca="1">IFERROR(__xludf.DUMMYFUNCTION("TEXTJOIN(""|"",TRUE,UNIQUE(FILTER(SPLIT(F928,"" ""),LEN(SPLIT(F928,"" ""))&gt;2)))"),"итбол|итбол|массажный|ручкой|диаметр|менее|максимальная|нагрузка|менее|вес|менее|420|материал|цвет|микс|индивидуальная|упаковка|пакет|редназначен|для|развивающих|физических|занятий|детском|саду|способствует|развитию|координации|движений|равновесия|силы|об"&amp;"щей|физической|активности|детей|лет")</f>
        <v>итбол|итбол|массажный|ручкой|диаметр|менее|максимальная|нагрузка|менее|вес|менее|420|материал|цвет|микс|индивидуальная|упаковка|пакет|редназначен|для|развивающих|физических|занятий|детском|саду|способствует|развитию|координации|движений|равновесия|силы|общей|физической|активности|детей|лет</v>
      </c>
      <c r="I928" s="1"/>
      <c r="J928" s="1"/>
    </row>
    <row r="929" spans="1:10" ht="25.5" x14ac:dyDescent="0.2">
      <c r="A929" s="8" t="s">
        <v>871</v>
      </c>
      <c r="B929" s="7" t="s">
        <v>870</v>
      </c>
      <c r="C929" s="7" t="s">
        <v>869</v>
      </c>
      <c r="D929" s="6">
        <v>1000</v>
      </c>
      <c r="E929" s="5">
        <v>25</v>
      </c>
      <c r="F929" s="4" t="str">
        <f ca="1">IFERROR(__xludf.DUMMYFUNCTION("LOWER(REGEXREPLACE(B929&amp;"" ""&amp;C929,""[^а-яa-z0-9 ]"","" ""))")," лажки  ленты для ритмики  абор цветных флажков и лент предназначен для занятий ритмикой  танцами и музыкально двигательной деятельностью   спользуется для развития чувства ритма  координации и выразительности движений ")</f>
        <v xml:space="preserve"> лажки  ленты для ритмики  абор цветных флажков и лент предназначен для занятий ритмикой  танцами и музыкально двигательной деятельностью   спользуется для развития чувства ритма  координации и выразительности движений </v>
      </c>
      <c r="G929" s="4" t="str">
        <f ca="1">IFERROR(__xludf.DUMMYFUNCTION("TEXTJOIN(""|"",TRUE,UNIQUE(FILTER(SPLIT(F929,"" ""),LEN(SPLIT(F929,"" ""))&gt;2)))"),"лажки|ленты|для|ритмики|абор|цветных|флажков|лент|предназначен|для|занятий|ритмикой|танцами|музыкально|двигательной|деятельностью|спользуется|для|развития|чувства|ритма|координации|выразительности|движений")</f>
        <v>лажки|ленты|для|ритмики|абор|цветных|флажков|лент|предназначен|для|занятий|ритмикой|танцами|музыкально|двигательной|деятельностью|спользуется|для|развития|чувства|ритма|координации|выразительности|движений</v>
      </c>
      <c r="I929" s="1"/>
      <c r="J929" s="1"/>
    </row>
    <row r="930" spans="1:10" ht="25.5" x14ac:dyDescent="0.2">
      <c r="A930" s="8" t="s">
        <v>868</v>
      </c>
      <c r="B930" s="7" t="s">
        <v>867</v>
      </c>
      <c r="C930" s="7" t="s">
        <v>866</v>
      </c>
      <c r="D930" s="6">
        <v>1100</v>
      </c>
      <c r="E930" s="5">
        <v>10</v>
      </c>
      <c r="F930" s="4" t="str">
        <f ca="1">IFERROR(__xludf.DUMMYFUNCTION("LOWER(REGEXREPLACE(B930&amp;"" ""&amp;C930,""[^а-яa-z0-9 ]"","" ""))")," лажок разноцветный  азноцветный флажок предназначен для подвижных и музыкально ритмических игр  праздников и занятий физической культурой   атериалы   ткань и дерево    гкий и безопасный в использовании ")</f>
        <v xml:space="preserve"> лажок разноцветный  азноцветный флажок предназначен для подвижных и музыкально ритмических игр  праздников и занятий физической культурой   атериалы   ткань и дерево    гкий и безопасный в использовании </v>
      </c>
      <c r="G930" s="4" t="str">
        <f ca="1">IFERROR(__xludf.DUMMYFUNCTION("TEXTJOIN(""|"",TRUE,UNIQUE(FILTER(SPLIT(F930,"" ""),LEN(SPLIT(F930,"" ""))&gt;2)))"),"лажок|разноцветный|азноцветный|флажок|предназначен|для|подвижных|музыкально|ритмических|игр|праздников|занятий|физической|культурой|атериалы|ткань|дерево|гкий|безопасный|использовании")</f>
        <v>лажок|разноцветный|азноцветный|флажок|предназначен|для|подвижных|музыкально|ритмических|игр|праздников|занятий|физической|культурой|атериалы|ткань|дерево|гкий|безопасный|использовании</v>
      </c>
      <c r="I930" s="1"/>
      <c r="J930" s="1"/>
    </row>
    <row r="931" spans="1:10" ht="25.5" x14ac:dyDescent="0.2">
      <c r="A931" s="8" t="s">
        <v>865</v>
      </c>
      <c r="B931" s="7" t="s">
        <v>864</v>
      </c>
      <c r="C931" s="7" t="s">
        <v>863</v>
      </c>
      <c r="D931" s="6">
        <v>13300</v>
      </c>
      <c r="E931" s="5">
        <v>1</v>
      </c>
      <c r="F931" s="4" t="str">
        <f ca="1">IFERROR(__xludf.DUMMYFUNCTION("LOWER(REGEXREPLACE(B931&amp;"" ""&amp;C931,""[^а-яa-z0-9 ]"","" ""))")," ланеграф  астенный фланелеграф с набором фетровых фигурок предназначен для наглядно дидактической работы с детьми   спользуется для развития речи  мышления и представлений об окружающем мире ")</f>
        <v xml:space="preserve"> ланеграф  астенный фланелеграф с набором фетровых фигурок предназначен для наглядно дидактической работы с детьми   спользуется для развития речи  мышления и представлений об окружающем мире </v>
      </c>
      <c r="G931" s="4" t="str">
        <f ca="1">IFERROR(__xludf.DUMMYFUNCTION("TEXTJOIN(""|"",TRUE,UNIQUE(FILTER(SPLIT(F931,"" ""),LEN(SPLIT(F931,"" ""))&gt;2)))"),"ланеграф|астенный|фланелеграф|набором|фетровых|фигурок|предназначен|для|наглядно|дидактической|работы|детьми|спользуется|для|развития|речи|мышления|представлений|окружающем|мире")</f>
        <v>ланеграф|астенный|фланелеграф|набором|фетровых|фигурок|предназначен|для|наглядно|дидактической|работы|детьми|спользуется|для|развития|речи|мышления|представлений|окружающем|мире</v>
      </c>
      <c r="I931" s="1"/>
      <c r="J931" s="1"/>
    </row>
    <row r="932" spans="1:10" ht="25.5" x14ac:dyDescent="0.2">
      <c r="A932" s="8" t="s">
        <v>862</v>
      </c>
      <c r="B932" s="7" t="s">
        <v>861</v>
      </c>
      <c r="C932" s="7" t="s">
        <v>860</v>
      </c>
      <c r="D932" s="6">
        <v>44800</v>
      </c>
      <c r="E932" s="5">
        <v>7</v>
      </c>
      <c r="F932" s="4" t="str">
        <f ca="1">IFERROR(__xludf.DUMMYFUNCTION("LOWER(REGEXREPLACE(B932&amp;"" ""&amp;C932,""[^а-яa-z0-9 ]"","" ""))")," ланеграф   омашние животные   ематический фланеграф с набором фигурок домашних животных   спользуется для занятий по ознакомлению с окружающим миром  развитию речи и сюжетно ролевых игр ")</f>
        <v xml:space="preserve"> ланеграф   омашние животные   ематический фланеграф с набором фигурок домашних животных   спользуется для занятий по ознакомлению с окружающим миром  развитию речи и сюжетно ролевых игр </v>
      </c>
      <c r="G932" s="4" t="str">
        <f ca="1">IFERROR(__xludf.DUMMYFUNCTION("TEXTJOIN(""|"",TRUE,UNIQUE(FILTER(SPLIT(F932,"" ""),LEN(SPLIT(F932,"" ""))&gt;2)))"),"ланеграф|омашние|животные|ематический|фланеграф|набором|фигурок|домашних|животных|спользуется|для|занятий|ознакомлению|окружающим|миром|развитию|речи|сюжетно|ролевых|игр")</f>
        <v>ланеграф|омашние|животные|ематический|фланеграф|набором|фигурок|домашних|животных|спользуется|для|занятий|ознакомлению|окружающим|миром|развитию|речи|сюжетно|ролевых|игр</v>
      </c>
      <c r="I932" s="1"/>
      <c r="J932" s="1"/>
    </row>
    <row r="933" spans="1:10" ht="25.5" x14ac:dyDescent="0.2">
      <c r="A933" s="8" t="s">
        <v>859</v>
      </c>
      <c r="B933" s="7" t="s">
        <v>858</v>
      </c>
      <c r="C933" s="7" t="s">
        <v>857</v>
      </c>
      <c r="D933" s="6">
        <v>44700</v>
      </c>
      <c r="E933" s="5">
        <v>8</v>
      </c>
      <c r="F933" s="4" t="str">
        <f ca="1">IFERROR(__xludf.DUMMYFUNCTION("LOWER(REGEXREPLACE(B933&amp;"" ""&amp;C933,""[^а-яa-z0-9 ]"","" ""))")," ланелеграф  идактическое пособие для крепления фигурок и карточек из фетра   спользуется в образовательной деятельности для визуализации учебного материала ")</f>
        <v xml:space="preserve"> ланелеграф  идактическое пособие для крепления фигурок и карточек из фетра   спользуется в образовательной деятельности для визуализации учебного материала </v>
      </c>
      <c r="G933" s="4" t="str">
        <f ca="1">IFERROR(__xludf.DUMMYFUNCTION("TEXTJOIN(""|"",TRUE,UNIQUE(FILTER(SPLIT(F933,"" ""),LEN(SPLIT(F933,"" ""))&gt;2)))"),"ланелеграф|идактическое|пособие|для|крепления|фигурок|карточек|фетра|спользуется|образовательной|деятельности|для|визуализации|учебного|материала")</f>
        <v>ланелеграф|идактическое|пособие|для|крепления|фигурок|карточек|фетра|спользуется|образовательной|деятельности|для|визуализации|учебного|материала</v>
      </c>
      <c r="I933" s="1"/>
      <c r="J933" s="1"/>
    </row>
    <row r="934" spans="1:10" ht="51" x14ac:dyDescent="0.2">
      <c r="A934" s="8" t="s">
        <v>856</v>
      </c>
      <c r="B934" s="7" t="s">
        <v>855</v>
      </c>
      <c r="C934" s="7" t="s">
        <v>854</v>
      </c>
      <c r="D934" s="6">
        <v>11400</v>
      </c>
      <c r="E934" s="5">
        <v>50</v>
      </c>
      <c r="F934" s="4" t="str">
        <f ca="1">IFERROR(__xludf.DUMMYFUNCTION("LOWER(REGEXREPLACE(B934&amp;"" ""&amp;C934,""[^а-яa-z0-9 ]"","" ""))"),"  ол ба дар    нтеллектум   гра предназначена для развития логического мышления посредством объединения дорог по знакам  ")</f>
        <v xml:space="preserve">  ол ба дар    нтеллектум   гра предназначена для развития логического мышления посредством объединения дорог по знакам  </v>
      </c>
      <c r="G934" s="4" t="str">
        <f ca="1">IFERROR(__xludf.DUMMYFUNCTION("TEXTJOIN(""|"",TRUE,UNIQUE(FILTER(SPLIT(F934,"" ""),LEN(SPLIT(F934,"" ""))&gt;2)))"),"дар|нтеллектум|гра|предназначена|для|развития|логического|мышления|посредством|объединения|дорог|знакам")</f>
        <v>дар|нтеллектум|гра|предназначена|для|развития|логического|мышления|посредством|объединения|дорог|знакам</v>
      </c>
      <c r="I934" s="1"/>
      <c r="J934" s="1"/>
    </row>
    <row r="935" spans="1:10" ht="38.25" x14ac:dyDescent="0.2">
      <c r="A935" s="8" t="s">
        <v>853</v>
      </c>
      <c r="B935" s="7" t="s">
        <v>852</v>
      </c>
      <c r="C935" s="7" t="s">
        <v>851</v>
      </c>
      <c r="D935" s="6">
        <v>27400</v>
      </c>
      <c r="E935" s="5">
        <v>5</v>
      </c>
      <c r="F935" s="4" t="str">
        <f ca="1">IFERROR(__xludf.DUMMYFUNCTION("LOWER(REGEXREPLACE(B935&amp;"" ""&amp;C935,""[^а-яa-z0-9 ]"","" ""))")," екоративное растение алоказия  екоративное растение используется для оформления интерьера и создания эстетичной среды   рименяется как элемент озеленения помещений   азмещается в горшке и не требует активного ухода   редназначено для использования в поме"&amp;"щениях ")</f>
        <v xml:space="preserve"> екоративное растение алоказия  екоративное растение используется для оформления интерьера и создания эстетичной среды   рименяется как элемент озеленения помещений   азмещается в горшке и не требует активного ухода   редназначено для использования в помещениях </v>
      </c>
      <c r="G935" s="4" t="str">
        <f ca="1">IFERROR(__xludf.DUMMYFUNCTION("TEXTJOIN(""|"",TRUE,UNIQUE(FILTER(SPLIT(F935,"" ""),LEN(SPLIT(F935,"" ""))&gt;2)))"),"екоративное|растение|алоказия|екоративное|растение|используется|для|оформления|интерьера|создания|эстетичной|среды|рименяется|как|элемент|озеленения|помещений|азмещается|горшке|требует|активного|ухода|редназначено|для|использования|помещениях")</f>
        <v>екоративное|растение|алоказия|екоративное|растение|используется|для|оформления|интерьера|создания|эстетичной|среды|рименяется|как|элемент|озеленения|помещений|азмещается|горшке|требует|активного|ухода|редназначено|для|использования|помещениях</v>
      </c>
      <c r="I935" s="1"/>
      <c r="J935" s="1"/>
    </row>
    <row r="936" spans="1:10" ht="76.5" x14ac:dyDescent="0.2">
      <c r="A936" s="8" t="s">
        <v>850</v>
      </c>
      <c r="B936" s="7" t="s">
        <v>849</v>
      </c>
      <c r="C936" s="7" t="s">
        <v>848</v>
      </c>
      <c r="D936" s="6">
        <v>6900</v>
      </c>
      <c r="E936" s="5">
        <v>5</v>
      </c>
      <c r="F936" s="4" t="str">
        <f ca="1">IFERROR(__xludf.DUMMYFUNCTION("LOWER(REGEXREPLACE(B936&amp;"" ""&amp;C936,""[^а-яa-z0-9 ]"","" ""))")," ланелеграф из фетра с комплектом съ мных персонажей по мотивам сказок  ланелеграф из фетра используется для разыгрывания сказочных сюжетов с применением съ мных фигур персонажей   абота с элементами позволяет выстраивать последовательность событий и восп"&amp;"роизводить содержание знакомых сказок   акая деятельность направлена на развитие связной речи  навыков пересказа и воображения   ечатные изображения выполнены на фетре толщиной не менее 2 мм   азмер листов составляет не менее 20 30 см   ъ мные элементы мо"&amp;"гут крепиться на фетровую поверхность с использованием кнопок или липучек ")</f>
        <v xml:space="preserve"> ланелеграф из фетра с комплектом съ мных персонажей по мотивам сказок  ланелеграф из фетра используется для разыгрывания сказочных сюжетов с применением съ мных фигур персонажей   абота с элементами позволяет выстраивать последовательность событий и воспроизводить содержание знакомых сказок   акая деятельность направлена на развитие связной речи  навыков пересказа и воображения   ечатные изображения выполнены на фетре толщиной не менее 2 мм   азмер листов составляет не менее 20 30 см   ъ мные элементы могут крепиться на фетровую поверхность с использованием кнопок или липучек </v>
      </c>
      <c r="G936" s="4" t="str">
        <f ca="1">IFERROR(__xludf.DUMMYFUNCTION("TEXTJOIN(""|"",TRUE,UNIQUE(FILTER(SPLIT(F936,"" ""),LEN(SPLIT(F936,"" ""))&gt;2)))"),"ланелеграф|фетра|комплектом|мных|персонажей|мотивам|сказок|ланелеграф|фетра|используется|для|разыгрывания|сказочных|сюжетов|применением|мных|фигур|персонажей|абота|элементами|позволяет|выстраивать|последовательность|событий|воспроизводить|содержание|знако"&amp;"мых|сказок|акая|деятельность|направлена|развитие|связной|речи|навыков|пересказа|воображения|ечатные|изображения|выполнены|фетре|толщиной|менее|азмер|листов|составляет|менее|мные|элементы|могут|крепиться|фетровую|поверхность|использованием|кнопок|или|липуч"&amp;"ек")</f>
        <v>ланелеграф|фетра|комплектом|мных|персонажей|мотивам|сказок|ланелеграф|фетра|используется|для|разыгрывания|сказочных|сюжетов|применением|мных|фигур|персонажей|абота|элементами|позволяет|выстраивать|последовательность|событий|воспроизводить|содержание|знакомых|сказок|акая|деятельность|направлена|развитие|связной|речи|навыков|пересказа|воображения|ечатные|изображения|выполнены|фетре|толщиной|менее|азмер|листов|составляет|менее|мные|элементы|могут|крепиться|фетровую|поверхность|использованием|кнопок|или|липучек</v>
      </c>
      <c r="I936" s="1"/>
      <c r="J936" s="1"/>
    </row>
    <row r="937" spans="1:10" ht="25.5" x14ac:dyDescent="0.2">
      <c r="A937" s="8" t="s">
        <v>847</v>
      </c>
      <c r="B937" s="7" t="s">
        <v>846</v>
      </c>
      <c r="C937" s="7" t="s">
        <v>845</v>
      </c>
      <c r="D937" s="6">
        <v>44800</v>
      </c>
      <c r="E937" s="5">
        <v>7</v>
      </c>
      <c r="F937" s="4" t="str">
        <f ca="1">IFERROR(__xludf.DUMMYFUNCTION("LOWER(REGEXREPLACE(B937&amp;"" ""&amp;C937,""[^а-яa-z0-9 ]"","" ""))")," ланелеграф тканевый  ольшой тканевый фланелеграф с карманами для хранения элементов   спользуется для творческих  обучающих и игровых занятий с детьми ")</f>
        <v xml:space="preserve"> ланелеграф тканевый  ольшой тканевый фланелеграф с карманами для хранения элементов   спользуется для творческих  обучающих и игровых занятий с детьми </v>
      </c>
      <c r="G937" s="4" t="str">
        <f ca="1">IFERROR(__xludf.DUMMYFUNCTION("TEXTJOIN(""|"",TRUE,UNIQUE(FILTER(SPLIT(F937,"" ""),LEN(SPLIT(F937,"" ""))&gt;2)))"),"ланелеграф|тканевый|ольшой|тканевый|фланелеграф|карманами|для|хранения|элементов|спользуется|для|творческих|обучающих|игровых|занятий|детьми")</f>
        <v>ланелеграф|тканевый|ольшой|тканевый|фланелеграф|карманами|для|хранения|элементов|спользуется|для|творческих|обучающих|игровых|занятий|детьми</v>
      </c>
      <c r="I937" s="1"/>
      <c r="J937" s="1"/>
    </row>
    <row r="938" spans="1:10" ht="25.5" x14ac:dyDescent="0.2">
      <c r="A938" s="8" t="s">
        <v>844</v>
      </c>
      <c r="B938" s="7" t="s">
        <v>843</v>
      </c>
      <c r="C938" s="7" t="s">
        <v>842</v>
      </c>
      <c r="D938" s="6">
        <v>2600</v>
      </c>
      <c r="E938" s="5">
        <v>125</v>
      </c>
      <c r="F938" s="4" t="str">
        <f ca="1">IFERROR(__xludf.DUMMYFUNCTION("LOWER(REGEXREPLACE(B938&amp;"" ""&amp;C938,""[^а-яa-z0-9 ]"","" ""))")," ломастеры  абор фломастеров предназначен для рисования  оформления работ и творческих занятий   спользуется в изобразительной деятельности детей дошкольного возраста ")</f>
        <v xml:space="preserve"> ломастеры  абор фломастеров предназначен для рисования  оформления работ и творческих занятий   спользуется в изобразительной деятельности детей дошкольного возраста </v>
      </c>
      <c r="G938" s="4" t="str">
        <f ca="1">IFERROR(__xludf.DUMMYFUNCTION("TEXTJOIN(""|"",TRUE,UNIQUE(FILTER(SPLIT(F938,"" ""),LEN(SPLIT(F938,"" ""))&gt;2)))"),"ломастеры|абор|фломастеров|предназначен|для|рисования|оформления|работ|творческих|занятий|спользуется|изобразительной|деятельности|детей|дошкольного|возраста")</f>
        <v>ломастеры|абор|фломастеров|предназначен|для|рисования|оформления|работ|творческих|занятий|спользуется|изобразительной|деятельности|детей|дошкольного|возраста</v>
      </c>
      <c r="I938" s="1"/>
      <c r="J938" s="1"/>
    </row>
    <row r="939" spans="1:10" ht="25.5" x14ac:dyDescent="0.2">
      <c r="A939" s="8" t="s">
        <v>841</v>
      </c>
      <c r="B939" s="7" t="s">
        <v>840</v>
      </c>
      <c r="C939" s="7" t="s">
        <v>839</v>
      </c>
      <c r="D939" s="6">
        <v>28500</v>
      </c>
      <c r="E939" s="5">
        <v>1</v>
      </c>
      <c r="F939" s="4" t="str">
        <f ca="1">IFERROR(__xludf.DUMMYFUNCTION("LOWER(REGEXREPLACE(B939&amp;"" ""&amp;C939,""[^а-яa-z0-9 ]"","" ""))")," онарь  онарь ручной  предназначен для временного локального освещения при выполнении хозяйственных  технических и аварийных работ   добен в эксплуатации  компактный  безопасный в использовании ")</f>
        <v xml:space="preserve"> онарь  онарь ручной  предназначен для временного локального освещения при выполнении хозяйственных  технических и аварийных работ   добен в эксплуатации  компактный  безопасный в использовании </v>
      </c>
      <c r="G939" s="4" t="str">
        <f ca="1">IFERROR(__xludf.DUMMYFUNCTION("TEXTJOIN(""|"",TRUE,UNIQUE(FILTER(SPLIT(F939,"" ""),LEN(SPLIT(F939,"" ""))&gt;2)))"),"онарь|онарь|ручной|предназначен|для|временного|локального|освещения|при|выполнении|хозяйственных|технических|аварийных|работ|добен|эксплуатации|компактный|безопасный|использовании")</f>
        <v>онарь|онарь|ручной|предназначен|для|временного|локального|освещения|при|выполнении|хозяйственных|технических|аварийных|работ|добен|эксплуатации|компактный|безопасный|использовании</v>
      </c>
      <c r="I939" s="1"/>
      <c r="J939" s="1"/>
    </row>
    <row r="940" spans="1:10" ht="25.5" x14ac:dyDescent="0.2">
      <c r="A940" s="8" t="s">
        <v>838</v>
      </c>
      <c r="B940" s="7" t="s">
        <v>837</v>
      </c>
      <c r="C940" s="7" t="s">
        <v>836</v>
      </c>
      <c r="D940" s="6">
        <v>4800</v>
      </c>
      <c r="E940" s="5">
        <v>5</v>
      </c>
      <c r="F940" s="4" t="str">
        <f ca="1">IFERROR(__xludf.DUMMYFUNCTION("LOWER(REGEXREPLACE(B940&amp;"" ""&amp;C940,""[^а-яa-z0-9 ]"","" ""))")," ормочки  абор формочек предназначен для лепки и моделирования   спользуется для работы с пластилином  тестом и другими материалами   азвивает мелкую моторику и воображение ")</f>
        <v xml:space="preserve"> ормочки  абор формочек предназначен для лепки и моделирования   спользуется для работы с пластилином  тестом и другими материалами   азвивает мелкую моторику и воображение </v>
      </c>
      <c r="G940" s="4" t="str">
        <f ca="1">IFERROR(__xludf.DUMMYFUNCTION("TEXTJOIN(""|"",TRUE,UNIQUE(FILTER(SPLIT(F940,"" ""),LEN(SPLIT(F940,"" ""))&gt;2)))"),"ормочки|абор|формочек|предназначен|для|лепки|моделирования|спользуется|для|работы|пластилином|тестом|другими|материалами|азвивает|мелкую|моторику|воображение")</f>
        <v>ормочки|абор|формочек|предназначен|для|лепки|моделирования|спользуется|для|работы|пластилином|тестом|другими|материалами|азвивает|мелкую|моторику|воображение</v>
      </c>
      <c r="I940" s="1"/>
      <c r="J940" s="1"/>
    </row>
    <row r="941" spans="1:10" ht="12.75" x14ac:dyDescent="0.2">
      <c r="A941" s="8" t="s">
        <v>835</v>
      </c>
      <c r="B941" s="7" t="s">
        <v>834</v>
      </c>
      <c r="C941" s="7" t="s">
        <v>833</v>
      </c>
      <c r="D941" s="6">
        <v>4800</v>
      </c>
      <c r="E941" s="5">
        <v>1</v>
      </c>
      <c r="F941" s="4" t="str">
        <f ca="1">IFERROR(__xludf.DUMMYFUNCTION("LOWER(REGEXREPLACE(B941&amp;"" ""&amp;C941,""[^а-яa-z0-9 ]"","" ""))")," аншайымны  10 о и асы  ертолет   ")</f>
        <v xml:space="preserve"> аншайымны  10 о и асы  ертолет   </v>
      </c>
      <c r="G941" s="4" t="str">
        <f ca="1">IFERROR(__xludf.DUMMYFUNCTION("TEXTJOIN(""|"",TRUE,UNIQUE(FILTER(SPLIT(F941,"" ""),LEN(SPLIT(F941,"" ""))&gt;2)))"),"аншайымны|асы|ертолет")</f>
        <v>аншайымны|асы|ертолет</v>
      </c>
      <c r="I941" s="1"/>
      <c r="J941" s="1"/>
    </row>
    <row r="942" spans="1:10" ht="12.75" x14ac:dyDescent="0.2">
      <c r="A942" s="8" t="s">
        <v>832</v>
      </c>
      <c r="B942" s="7" t="s">
        <v>831</v>
      </c>
      <c r="C942" s="7" t="s">
        <v>828</v>
      </c>
      <c r="D942" s="6">
        <v>15000</v>
      </c>
      <c r="E942" s="5">
        <v>1</v>
      </c>
      <c r="F942" s="4" t="str">
        <f ca="1">IFERROR(__xludf.DUMMYFUNCTION("LOWER(REGEXREPLACE(B942&amp;"" ""&amp;C942,""[^а-яa-z0-9 ]"","" ""))")," имия    ай  р  же  л под ред      амасвами  перевод  арт      ")</f>
        <v xml:space="preserve"> имия    ай  р  же  л под ред      амасвами  перевод  арт      </v>
      </c>
      <c r="G942" s="4" t="str">
        <f ca="1">IFERROR(__xludf.DUMMYFUNCTION("TEXTJOIN(""|"",TRUE,UNIQUE(FILTER(SPLIT(F942,"" ""),LEN(SPLIT(F942,"" ""))&gt;2)))"),"имия|под|ред|амасвами|перевод|арт")</f>
        <v>имия|под|ред|амасвами|перевод|арт</v>
      </c>
      <c r="I942" s="1"/>
      <c r="J942" s="1"/>
    </row>
    <row r="943" spans="1:10" ht="12.75" x14ac:dyDescent="0.2">
      <c r="A943" s="8" t="s">
        <v>830</v>
      </c>
      <c r="B943" s="7" t="s">
        <v>829</v>
      </c>
      <c r="C943" s="7" t="s">
        <v>828</v>
      </c>
      <c r="D943" s="6">
        <v>15000</v>
      </c>
      <c r="E943" s="5">
        <v>1</v>
      </c>
      <c r="F943" s="4" t="str">
        <f ca="1">IFERROR(__xludf.DUMMYFUNCTION("LOWER(REGEXREPLACE(B943&amp;"" ""&amp;C943,""[^а-яa-z0-9 ]"","" ""))")," имия   росто и легко под ред      амасвами  перевод  арт      ")</f>
        <v xml:space="preserve"> имия   росто и легко под ред      амасвами  перевод  арт      </v>
      </c>
      <c r="G943" s="4" t="str">
        <f ca="1">IFERROR(__xludf.DUMMYFUNCTION("TEXTJOIN(""|"",TRUE,UNIQUE(FILTER(SPLIT(F943,"" ""),LEN(SPLIT(F943,"" ""))&gt;2)))"),"имия|росто|легко|под|ред|амасвами|перевод|арт")</f>
        <v>имия|росто|легко|под|ред|амасвами|перевод|арт</v>
      </c>
      <c r="I943" s="1"/>
      <c r="J943" s="1"/>
    </row>
    <row r="944" spans="1:10" ht="25.5" x14ac:dyDescent="0.2">
      <c r="A944" s="8" t="s">
        <v>827</v>
      </c>
      <c r="B944" s="7" t="s">
        <v>826</v>
      </c>
      <c r="C944" s="7" t="s">
        <v>825</v>
      </c>
      <c r="D944" s="6">
        <v>6800</v>
      </c>
      <c r="E944" s="5">
        <v>5</v>
      </c>
      <c r="F944" s="4" t="str">
        <f ca="1">IFERROR(__xludf.DUMMYFUNCTION("LOWER(REGEXREPLACE(B944&amp;"" ""&amp;C944,""[^а-яa-z0-9 ]"","" ""))")," лорофитум  омнатное растение  очищающее воздух   спользуется для озеленения помещений дошкольного учреждения и формирования у детей экологических представлений ")</f>
        <v xml:space="preserve"> лорофитум  омнатное растение  очищающее воздух   спользуется для озеленения помещений дошкольного учреждения и формирования у детей экологических представлений </v>
      </c>
      <c r="G944" s="4" t="str">
        <f ca="1">IFERROR(__xludf.DUMMYFUNCTION("TEXTJOIN(""|"",TRUE,UNIQUE(FILTER(SPLIT(F944,"" ""),LEN(SPLIT(F944,"" ""))&gt;2)))"),"лорофитум|омнатное|растение|очищающее|воздух|спользуется|для|озеленения|помещений|дошкольного|учреждения|формирования|детей|экологических|представлений")</f>
        <v>лорофитум|омнатное|растение|очищающее|воздух|спользуется|для|озеленения|помещений|дошкольного|учреждения|формирования|детей|экологических|представлений</v>
      </c>
      <c r="I944" s="1"/>
      <c r="J944" s="1"/>
    </row>
    <row r="945" spans="1:10" ht="38.25" x14ac:dyDescent="0.2">
      <c r="A945" s="8" t="s">
        <v>824</v>
      </c>
      <c r="B945" s="7" t="s">
        <v>823</v>
      </c>
      <c r="C945" s="7" t="s">
        <v>822</v>
      </c>
      <c r="D945" s="6">
        <v>285000</v>
      </c>
      <c r="E945" s="5">
        <v>5</v>
      </c>
      <c r="F945" s="4" t="str">
        <f ca="1">IFERROR(__xludf.DUMMYFUNCTION("LOWER(REGEXREPLACE(B945&amp;"" ""&amp;C945,""[^а-яa-z0-9 ]"","" ""))")," екоративные ароматные травы в горшках  оршечные растения с ароматными травами используются для декоративного оформления помещений и создания благоприятной визуальной среды   рименяются как элемент озеленения интерьера   азмещаются в контейнерах и не треб"&amp;"уют сложного ухода   редназначены для использования в помещениях ")</f>
        <v xml:space="preserve"> екоративные ароматные травы в горшках  оршечные растения с ароматными травами используются для декоративного оформления помещений и создания благоприятной визуальной среды   рименяются как элемент озеленения интерьера   азмещаются в контейнерах и не требуют сложного ухода   редназначены для использования в помещениях </v>
      </c>
      <c r="G945" s="4" t="str">
        <f ca="1">IFERROR(__xludf.DUMMYFUNCTION("TEXTJOIN(""|"",TRUE,UNIQUE(FILTER(SPLIT(F945,"" ""),LEN(SPLIT(F945,"" ""))&gt;2)))"),"екоративные|ароматные|травы|горшках|оршечные|растения|ароматными|травами|используются|для|декоративного|оформления|помещений|создания|благоприятной|визуальной|среды|рименяются|как|элемент|озеленения|интерьера|азмещаются|контейнерах|требуют|сложного|ухода|"&amp;"редназначены|для|использования|помещениях")</f>
        <v>екоративные|ароматные|травы|горшках|оршечные|растения|ароматными|травами|используются|для|декоративного|оформления|помещений|создания|благоприятной|визуальной|среды|рименяются|как|элемент|озеленения|интерьера|азмещаются|контейнерах|требуют|сложного|ухода|редназначены|для|использования|помещениях</v>
      </c>
      <c r="I945" s="1"/>
      <c r="J945" s="1"/>
    </row>
    <row r="946" spans="1:10" ht="25.5" x14ac:dyDescent="0.2">
      <c r="A946" s="8" t="s">
        <v>821</v>
      </c>
      <c r="B946" s="7" t="s">
        <v>820</v>
      </c>
      <c r="C946" s="7" t="s">
        <v>819</v>
      </c>
      <c r="D946" s="6">
        <v>3600</v>
      </c>
      <c r="E946" s="5">
        <v>1</v>
      </c>
      <c r="F946" s="4" t="str">
        <f ca="1">IFERROR(__xludf.DUMMYFUNCTION("LOWER(REGEXREPLACE(B946&amp;"" ""&amp;C946,""[^а-яa-z0-9 ]"","" ""))")," ристофор  олумб   hristopher  olumbus  каз   рус   англ яз      ейси  перевод  ужикова      ернебекова    ")</f>
        <v xml:space="preserve"> ристофор  олумб   hristopher  olumbus  каз   рус   англ яз      ейси  перевод  ужикова      ернебекова    </v>
      </c>
      <c r="G946" s="4" t="str">
        <f ca="1">IFERROR(__xludf.DUMMYFUNCTION("TEXTJOIN(""|"",TRUE,UNIQUE(FILTER(SPLIT(F946,"" ""),LEN(SPLIT(F946,"" ""))&gt;2)))"),"ристофор|олумб|hristopher|olumbus|каз|рус|англ|ейси|перевод|ужикова|ернебекова")</f>
        <v>ристофор|олумб|hristopher|olumbus|каз|рус|англ|ейси|перевод|ужикова|ернебекова</v>
      </c>
      <c r="I946" s="1"/>
      <c r="J946" s="1"/>
    </row>
    <row r="947" spans="1:10" ht="25.5" x14ac:dyDescent="0.2">
      <c r="A947" s="8" t="s">
        <v>818</v>
      </c>
      <c r="B947" s="7" t="s">
        <v>817</v>
      </c>
      <c r="C947" s="7" t="s">
        <v>816</v>
      </c>
      <c r="D947" s="6">
        <v>4800</v>
      </c>
      <c r="E947" s="5">
        <v>3</v>
      </c>
      <c r="F947" s="4" t="str">
        <f ca="1">IFERROR(__xludf.DUMMYFUNCTION("LOWER(REGEXREPLACE(B947&amp;"" ""&amp;C947,""[^а-яa-z0-9 ]"","" ""))")," удожественная литература  емонстрационный материал для развития речи  воображения и художественного восприятия детей дошкольного возраста   спользуется педагогами в образовательной деятельности ")</f>
        <v xml:space="preserve"> удожественная литература  емонстрационный материал для развития речи  воображения и художественного восприятия детей дошкольного возраста   спользуется педагогами в образовательной деятельности </v>
      </c>
      <c r="G947" s="4" t="str">
        <f ca="1">IFERROR(__xludf.DUMMYFUNCTION("TEXTJOIN(""|"",TRUE,UNIQUE(FILTER(SPLIT(F947,"" ""),LEN(SPLIT(F947,"" ""))&gt;2)))"),"удожественная|литература|емонстрационный|материал|для|развития|речи|воображения|художественного|восприятия|детей|дошкольного|возраста|спользуется|педагогами|образовательной|деятельности")</f>
        <v>удожественная|литература|емонстрационный|материал|для|развития|речи|воображения|художественного|восприятия|детей|дошкольного|возраста|спользуется|педагогами|образовательной|деятельности</v>
      </c>
      <c r="I947" s="1"/>
      <c r="J947" s="1"/>
    </row>
    <row r="948" spans="1:10" ht="25.5" x14ac:dyDescent="0.2">
      <c r="A948" s="8" t="s">
        <v>815</v>
      </c>
      <c r="B948" s="7" t="s">
        <v>814</v>
      </c>
      <c r="C948" s="7" t="s">
        <v>813</v>
      </c>
      <c r="D948" s="6">
        <v>90000</v>
      </c>
      <c r="E948" s="5">
        <v>5</v>
      </c>
      <c r="F948" s="4" t="str">
        <f ca="1">IFERROR(__xludf.DUMMYFUNCTION("LOWER(REGEXREPLACE(B948&amp;"" ""&amp;C948,""[^а-яa-z0-9 ]"","" ""))")," веты  комнатные растения   абор декоративных и декоративно лиственных растений  безопасных для детей   спользуются для озеленения помещений  экологического воспитания и ознакомления с формами листьев и разнообразием растений ")</f>
        <v xml:space="preserve"> веты  комнатные растения   абор декоративных и декоративно лиственных растений  безопасных для детей   спользуются для озеленения помещений  экологического воспитания и ознакомления с формами листьев и разнообразием растений </v>
      </c>
      <c r="G948" s="4" t="str">
        <f ca="1">IFERROR(__xludf.DUMMYFUNCTION("TEXTJOIN(""|"",TRUE,UNIQUE(FILTER(SPLIT(F948,"" ""),LEN(SPLIT(F948,"" ""))&gt;2)))"),"веты|комнатные|растения|абор|декоративных|декоративно|лиственных|растений|безопасных|для|детей|спользуются|для|озеленения|помещений|экологического|воспитания|ознакомления|формами|листьев|разнообразием|растений")</f>
        <v>веты|комнатные|растения|абор|декоративных|декоративно|лиственных|растений|безопасных|для|детей|спользуются|для|озеленения|помещений|экологического|воспитания|ознакомления|формами|листьев|разнообразием|растений</v>
      </c>
      <c r="I948" s="1"/>
      <c r="J948" s="1"/>
    </row>
    <row r="949" spans="1:10" ht="12.75" x14ac:dyDescent="0.2">
      <c r="A949" s="8" t="s">
        <v>812</v>
      </c>
      <c r="B949" s="7" t="s">
        <v>811</v>
      </c>
      <c r="C949" s="7" t="s">
        <v>810</v>
      </c>
      <c r="D949" s="6">
        <v>13287</v>
      </c>
      <c r="E949" s="5">
        <v>1</v>
      </c>
      <c r="F949" s="4" t="str">
        <f ca="1">IFERROR(__xludf.DUMMYFUNCTION("LOWER(REGEXREPLACE(B949&amp;"" ""&amp;C949,""[^а-яa-z0-9 ]"","" ""))")," айник  айник электрический")</f>
        <v xml:space="preserve"> айник  айник электрический</v>
      </c>
      <c r="G949" s="4" t="str">
        <f ca="1">IFERROR(__xludf.DUMMYFUNCTION("TEXTJOIN(""|"",TRUE,UNIQUE(FILTER(SPLIT(F949,"" ""),LEN(SPLIT(F949,"" ""))&gt;2)))"),"айник|айник|электрический")</f>
        <v>айник|айник|электрический</v>
      </c>
      <c r="I949" s="1"/>
      <c r="J949" s="1"/>
    </row>
    <row r="950" spans="1:10" ht="25.5" x14ac:dyDescent="0.2">
      <c r="A950" s="8" t="s">
        <v>809</v>
      </c>
      <c r="B950" s="7" t="s">
        <v>808</v>
      </c>
      <c r="C950" s="7" t="s">
        <v>807</v>
      </c>
      <c r="D950" s="6">
        <v>13000</v>
      </c>
      <c r="E950" s="5">
        <v>1</v>
      </c>
      <c r="F950" s="4" t="str">
        <f ca="1">IFERROR(__xludf.DUMMYFUNCTION("LOWER(REGEXREPLACE(B950&amp;"" ""&amp;C950,""[^а-яa-z0-9 ]"","" ""))")," асы настенные  асы настенные  предназначены для контроля времени в рабочем кабинете   беспечивают четкую и видимую индикацию времени  устойчивы к воздействию окружающей среды  для офисного использования ")</f>
        <v xml:space="preserve"> асы настенные  асы настенные  предназначены для контроля времени в рабочем кабинете   беспечивают четкую и видимую индикацию времени  устойчивы к воздействию окружающей среды  для офисного использования </v>
      </c>
      <c r="G950" s="4" t="str">
        <f ca="1">IFERROR(__xludf.DUMMYFUNCTION("TEXTJOIN(""|"",TRUE,UNIQUE(FILTER(SPLIT(F950,"" ""),LEN(SPLIT(F950,"" ""))&gt;2)))"),"асы|настенные|асы|настенные|предназначены|для|контроля|времени|рабочем|кабинете|беспечивают|четкую|видимую|индикацию|времени|устойчивы|воздействию|окружающей|среды|для|офисного|использования")</f>
        <v>асы|настенные|асы|настенные|предназначены|для|контроля|времени|рабочем|кабинете|беспечивают|четкую|видимую|индикацию|времени|устойчивы|воздействию|окружающей|среды|для|офисного|использования</v>
      </c>
      <c r="I950" s="1"/>
      <c r="J950" s="1"/>
    </row>
    <row r="951" spans="1:10" ht="12.75" x14ac:dyDescent="0.2">
      <c r="A951" s="8" t="s">
        <v>806</v>
      </c>
      <c r="B951" s="7" t="s">
        <v>805</v>
      </c>
      <c r="C951" s="7" t="s">
        <v>763</v>
      </c>
      <c r="D951" s="6">
        <v>16000</v>
      </c>
      <c r="E951" s="5">
        <v>1</v>
      </c>
      <c r="F951" s="4" t="str">
        <f ca="1">IFERROR(__xludf.DUMMYFUNCTION("LOWER(REGEXREPLACE(B951&amp;"" ""&amp;C951,""[^а-яa-z0-9 ]"","" ""))")," окан   утеводная звезда востока  ужикова   ")</f>
        <v xml:space="preserve"> окан   утеводная звезда востока  ужикова   </v>
      </c>
      <c r="G951" s="4" t="str">
        <f ca="1">IFERROR(__xludf.DUMMYFUNCTION("TEXTJOIN(""|"",TRUE,UNIQUE(FILTER(SPLIT(F951,"" ""),LEN(SPLIT(F951,"" ""))&gt;2)))"),"окан|утеводная|звезда|востока|ужикова")</f>
        <v>окан|утеводная|звезда|востока|ужикова</v>
      </c>
      <c r="I951" s="1"/>
      <c r="J951" s="1"/>
    </row>
    <row r="952" spans="1:10" ht="25.5" x14ac:dyDescent="0.2">
      <c r="A952" s="8" t="s">
        <v>804</v>
      </c>
      <c r="B952" s="7" t="s">
        <v>803</v>
      </c>
      <c r="C952" s="7" t="s">
        <v>802</v>
      </c>
      <c r="D952" s="6">
        <v>7200</v>
      </c>
      <c r="E952" s="5">
        <v>1</v>
      </c>
      <c r="F952" s="4" t="str">
        <f ca="1">IFERROR(__xludf.DUMMYFUNCTION("LOWER(REGEXREPLACE(B952&amp;"" ""&amp;C952,""[^а-яa-z0-9 ]"","" ""))")," удесное путешествие   рестоматия для 2 4 классов без автора")</f>
        <v xml:space="preserve"> удесное путешествие   рестоматия для 2 4 классов без автора</v>
      </c>
      <c r="G952" s="4" t="str">
        <f ca="1">IFERROR(__xludf.DUMMYFUNCTION("TEXTJOIN(""|"",TRUE,UNIQUE(FILTER(SPLIT(F952,"" ""),LEN(SPLIT(F952,"" ""))&gt;2)))"),"удесное|путешествие|рестоматия|для|классов|без|автора")</f>
        <v>удесное|путешествие|рестоматия|для|классов|без|автора</v>
      </c>
      <c r="I952" s="1"/>
      <c r="J952" s="1"/>
    </row>
    <row r="953" spans="1:10" ht="25.5" x14ac:dyDescent="0.2">
      <c r="A953" s="8" t="s">
        <v>801</v>
      </c>
      <c r="B953" s="7" t="s">
        <v>800</v>
      </c>
      <c r="C953" s="7" t="s">
        <v>799</v>
      </c>
      <c r="D953" s="6">
        <v>14400</v>
      </c>
      <c r="E953" s="5">
        <v>5</v>
      </c>
      <c r="F953" s="4" t="str">
        <f ca="1">IFERROR(__xludf.DUMMYFUNCTION("LOWER(REGEXREPLACE(B953&amp;"" ""&amp;C953,""[^а-яa-z0-9 ]"","" ""))")," апочка   едвежонок   олчонок   игр   ерый заяц   ельчонок  елочка   арнавальные шапочки предназначены для театрализованных игр  утренников и праздничных мероприятий в дошкольном учреждении   зготовлены из мягкого текстильного материала  комфортны и безоп"&amp;"асны для детей ")</f>
        <v xml:space="preserve"> апочка   едвежонок   олчонок   игр   ерый заяц   ельчонок  елочка   арнавальные шапочки предназначены для театрализованных игр  утренников и праздничных мероприятий в дошкольном учреждении   зготовлены из мягкого текстильного материала  комфортны и безопасны для детей </v>
      </c>
      <c r="G953" s="4" t="str">
        <f ca="1">IFERROR(__xludf.DUMMYFUNCTION("TEXTJOIN(""|"",TRUE,UNIQUE(FILTER(SPLIT(F953,"" ""),LEN(SPLIT(F953,"" ""))&gt;2)))"),"апочка|едвежонок|олчонок|игр|ерый|заяц|ельчонок|елочка|арнавальные|шапочки|предназначены|для|театрализованных|игр|утренников|праздничных|мероприятий|дошкольном|учреждении|зготовлены|мягкого|текстильного|материала|комфортны|безопасны|для|детей")</f>
        <v>апочка|едвежонок|олчонок|игр|ерый|заяц|ельчонок|елочка|арнавальные|шапочки|предназначены|для|театрализованных|игр|утренников|праздничных|мероприятий|дошкольном|учреждении|зготовлены|мягкого|текстильного|материала|комфортны|безопасны|для|детей</v>
      </c>
      <c r="I953" s="1"/>
      <c r="J953" s="1"/>
    </row>
    <row r="954" spans="1:10" ht="25.5" x14ac:dyDescent="0.2">
      <c r="A954" s="8" t="s">
        <v>798</v>
      </c>
      <c r="B954" s="7" t="s">
        <v>797</v>
      </c>
      <c r="C954" s="7" t="s">
        <v>796</v>
      </c>
      <c r="D954" s="6">
        <v>6800</v>
      </c>
      <c r="E954" s="5">
        <v>1</v>
      </c>
      <c r="F954" s="4" t="str">
        <f ca="1">IFERROR(__xludf.DUMMYFUNCTION("LOWER(REGEXREPLACE(B954&amp;"" ""&amp;C954,""[^а-яa-z0-9 ]"","" ""))")," арики  ластиковые шарики предназначены для использования в сухом бассейне  сенсорных и подвижных играх   оличество в наборе   100 шт   вета разноцветные   атериал   л гкий пластик ")</f>
        <v xml:space="preserve"> арики  ластиковые шарики предназначены для использования в сухом бассейне  сенсорных и подвижных играх   оличество в наборе   100 шт   вета разноцветные   атериал   л гкий пластик </v>
      </c>
      <c r="G954" s="4" t="str">
        <f ca="1">IFERROR(__xludf.DUMMYFUNCTION("TEXTJOIN(""|"",TRUE,UNIQUE(FILTER(SPLIT(F954,"" ""),LEN(SPLIT(F954,"" ""))&gt;2)))"),"арики|ластиковые|шарики|предназначены|для|использования|сухом|бассейне|сенсорных|подвижных|играх|оличество|наборе|100|вета|разноцветные|атериал|гкий|пластик")</f>
        <v>арики|ластиковые|шарики|предназначены|для|использования|сухом|бассейне|сенсорных|подвижных|играх|оличество|наборе|100|вета|разноцветные|атериал|гкий|пластик</v>
      </c>
      <c r="I954" s="1"/>
      <c r="J954" s="1"/>
    </row>
    <row r="955" spans="1:10" ht="38.25" x14ac:dyDescent="0.2">
      <c r="A955" s="8" t="s">
        <v>795</v>
      </c>
      <c r="B955" s="7" t="s">
        <v>794</v>
      </c>
      <c r="C955" s="7" t="s">
        <v>793</v>
      </c>
      <c r="D955" s="6">
        <v>8600</v>
      </c>
      <c r="E955" s="5">
        <v>7</v>
      </c>
      <c r="F955" s="4" t="str">
        <f ca="1">IFERROR(__xludf.DUMMYFUNCTION("LOWER(REGEXREPLACE(B955&amp;"" ""&amp;C955,""[^а-яa-z0-9 ]"","" ""))")," екоративные фрукты и овощи  екоративные модели фруктов и овощей используются для оформления интерьера и тематических зон   рименяются как наглядные и декоративные элементы   зделия выполнены из пластика и не требуют ухода   одходят для размещения в помещ"&amp;"ениях ")</f>
        <v xml:space="preserve"> екоративные фрукты и овощи  екоративные модели фруктов и овощей используются для оформления интерьера и тематических зон   рименяются как наглядные и декоративные элементы   зделия выполнены из пластика и не требуют ухода   одходят для размещения в помещениях </v>
      </c>
      <c r="G955" s="4" t="str">
        <f ca="1">IFERROR(__xludf.DUMMYFUNCTION("TEXTJOIN(""|"",TRUE,UNIQUE(FILTER(SPLIT(F955,"" ""),LEN(SPLIT(F955,"" ""))&gt;2)))"),"екоративные|фрукты|овощи|екоративные|модели|фруктов|овощей|используются|для|оформления|интерьера|тематических|зон|рименяются|как|наглядные|декоративные|элементы|зделия|выполнены|пластика|требуют|ухода|одходят|для|размещения|помещениях")</f>
        <v>екоративные|фрукты|овощи|екоративные|модели|фруктов|овощей|используются|для|оформления|интерьера|тематических|зон|рименяются|как|наглядные|декоративные|элементы|зделия|выполнены|пластика|требуют|ухода|одходят|для|размещения|помещениях</v>
      </c>
      <c r="I955" s="1"/>
      <c r="J955" s="1"/>
    </row>
    <row r="956" spans="1:10" ht="25.5" x14ac:dyDescent="0.2">
      <c r="A956" s="8" t="s">
        <v>792</v>
      </c>
      <c r="B956" s="7" t="s">
        <v>791</v>
      </c>
      <c r="C956" s="7" t="s">
        <v>790</v>
      </c>
      <c r="D956" s="6">
        <v>285000</v>
      </c>
      <c r="E956" s="5">
        <v>1</v>
      </c>
      <c r="F956" s="4" t="str">
        <f ca="1">IFERROR(__xludf.DUMMYFUNCTION("LOWER(REGEXREPLACE(B956&amp;"" ""&amp;C956,""[^а-яa-z0-9 ]"","" ""))")," арики для бассейна прозрачные  розрачные шарики предназначены для наполнения сухого бассейна   иаметр одного шарика   около 7 см   оличество   1500 шт   спользуются для сенсорной и игровой активности детей ")</f>
        <v xml:space="preserve"> арики для бассейна прозрачные  розрачные шарики предназначены для наполнения сухого бассейна   иаметр одного шарика   около 7 см   оличество   1500 шт   спользуются для сенсорной и игровой активности детей </v>
      </c>
      <c r="G956" s="4" t="str">
        <f ca="1">IFERROR(__xludf.DUMMYFUNCTION("TEXTJOIN(""|"",TRUE,UNIQUE(FILTER(SPLIT(F956,"" ""),LEN(SPLIT(F956,"" ""))&gt;2)))"),"арики|для|бассейна|прозрачные|розрачные|шарики|предназначены|для|наполнения|сухого|бассейна|иаметр|одного|шарика|около|оличество|1500|спользуются|для|сенсорной|игровой|активности|детей")</f>
        <v>арики|для|бассейна|прозрачные|розрачные|шарики|предназначены|для|наполнения|сухого|бассейна|иаметр|одного|шарика|около|оличество|1500|спользуются|для|сенсорной|игровой|активности|детей</v>
      </c>
      <c r="I956" s="1"/>
      <c r="J956" s="1"/>
    </row>
    <row r="957" spans="1:10" ht="38.25" x14ac:dyDescent="0.2">
      <c r="A957" s="8" t="s">
        <v>789</v>
      </c>
      <c r="B957" s="7" t="s">
        <v>788</v>
      </c>
      <c r="C957" s="7" t="s">
        <v>787</v>
      </c>
      <c r="D957" s="6">
        <v>24700</v>
      </c>
      <c r="E957" s="5">
        <v>14</v>
      </c>
      <c r="F957" s="4" t="str">
        <f ca="1">IFERROR(__xludf.DUMMYFUNCTION("LOWER(REGEXREPLACE(B957&amp;"" ""&amp;C957,""[^а-яa-z0-9 ]"","" ""))")," естигранная детская мозаика  азвивающая мозаика предназначена для детей дошкольного возраста   абор включает 170 элементов шестигранной формы   спользуется для развития мелкой моторики  логического мышления  цветовосприятия и воображения ")</f>
        <v xml:space="preserve"> естигранная детская мозаика  азвивающая мозаика предназначена для детей дошкольного возраста   абор включает 170 элементов шестигранной формы   спользуется для развития мелкой моторики  логического мышления  цветовосприятия и воображения </v>
      </c>
      <c r="G957" s="4" t="str">
        <f ca="1">IFERROR(__xludf.DUMMYFUNCTION("TEXTJOIN(""|"",TRUE,UNIQUE(FILTER(SPLIT(F957,"" ""),LEN(SPLIT(F957,"" ""))&gt;2)))"),"естигранная|детская|мозаика|азвивающая|мозаика|предназначена|для|детей|дошкольного|возраста|абор|включает|170|элементов|шестигранной|формы|спользуется|для|развития|мелкой|моторики|логического|мышления|цветовосприятия|воображения")</f>
        <v>естигранная|детская|мозаика|азвивающая|мозаика|предназначена|для|детей|дошкольного|возраста|абор|включает|170|элементов|шестигранной|формы|спользуется|для|развития|мелкой|моторики|логического|мышления|цветовосприятия|воображения</v>
      </c>
      <c r="I957" s="1"/>
      <c r="J957" s="1"/>
    </row>
    <row r="958" spans="1:10" ht="25.5" x14ac:dyDescent="0.2">
      <c r="A958" s="8" t="s">
        <v>786</v>
      </c>
      <c r="B958" s="7" t="s">
        <v>785</v>
      </c>
      <c r="C958" s="7" t="s">
        <v>784</v>
      </c>
      <c r="D958" s="6">
        <v>13700</v>
      </c>
      <c r="E958" s="5">
        <v>5</v>
      </c>
      <c r="F958" s="4" t="str">
        <f ca="1">IFERROR(__xludf.DUMMYFUNCTION("LOWER(REGEXREPLACE(B958&amp;"" ""&amp;C958,""[^а-яa-z0-9 ]"","" ""))")," еффлера  омнатное декоративно лиственное растение с крупными выразительными листьями   спользуется для озеленения помещений и ознакомления детей с формами листьев   одходит для детских учреждений ")</f>
        <v xml:space="preserve"> еффлера  омнатное декоративно лиственное растение с крупными выразительными листьями   спользуется для озеленения помещений и ознакомления детей с формами листьев   одходит для детских учреждений </v>
      </c>
      <c r="G958" s="4" t="str">
        <f ca="1">IFERROR(__xludf.DUMMYFUNCTION("TEXTJOIN(""|"",TRUE,UNIQUE(FILTER(SPLIT(F958,"" ""),LEN(SPLIT(F958,"" ""))&gt;2)))"),"еффлера|омнатное|декоративно|лиственное|растение|крупными|выразительными|листьями|спользуется|для|озеленения|помещений|ознакомления|детей|формами|листьев|одходит|для|детских|учреждений")</f>
        <v>еффлера|омнатное|декоративно|лиственное|растение|крупными|выразительными|листьями|спользуется|для|озеленения|помещений|ознакомления|детей|формами|листьев|одходит|для|детских|учреждений</v>
      </c>
      <c r="I958" s="1"/>
      <c r="J958" s="1"/>
    </row>
    <row r="959" spans="1:10" ht="63.75" x14ac:dyDescent="0.2">
      <c r="A959" s="8" t="s">
        <v>783</v>
      </c>
      <c r="B959" s="7" t="s">
        <v>782</v>
      </c>
      <c r="C959" s="7" t="s">
        <v>781</v>
      </c>
      <c r="D959" s="6">
        <v>25400</v>
      </c>
      <c r="E959" s="5">
        <v>10</v>
      </c>
      <c r="F959" s="4" t="str">
        <f ca="1">IFERROR(__xludf.DUMMYFUNCTION("LOWER(REGEXREPLACE(B959&amp;"" ""&amp;C959,""[^а-яa-z0-9 ]"","" ""))")," ирма деревянная для кукольного театра  еревянная ширма используется для организации театрализованных игр и постановок с куклами   онструкция формирует игровую сцену и отделяет пространство  сцены  от зрительной зоны    процессе спектаклей выполняется раз"&amp;"ыгрывание ролей и диалогов  что способствует развитию воображения и связной речи   ысота ширмы составляет не менее 50 см  ширина   не менее 80 см   азмер окна   не менее 20 30 см   атериал   фанера толщиной не менее 6 мм ")</f>
        <v xml:space="preserve"> ирма деревянная для кукольного театра  еревянная ширма используется для организации театрализованных игр и постановок с куклами   онструкция формирует игровую сцену и отделяет пространство  сцены  от зрительной зоны    процессе спектаклей выполняется разыгрывание ролей и диалогов  что способствует развитию воображения и связной речи   ысота ширмы составляет не менее 50 см  ширина   не менее 80 см   азмер окна   не менее 20 30 см   атериал   фанера толщиной не менее 6 мм </v>
      </c>
      <c r="G959" s="4" t="str">
        <f ca="1">IFERROR(__xludf.DUMMYFUNCTION("TEXTJOIN(""|"",TRUE,UNIQUE(FILTER(SPLIT(F959,"" ""),LEN(SPLIT(F959,"" ""))&gt;2)))"),"ирма|деревянная|для|кукольного|театра|еревянная|ширма|используется|для|организации|театрализованных|игр|постановок|куклами|онструкция|формирует|игровую|сцену|отделяет|пространство|сцены|зрительной|зоны|процессе|спектаклей|выполняется|разыгрывание|ролей|ди"&amp;"алогов|что|способствует|развитию|воображения|связной|речи|ысота|ширмы|составляет|менее|ширина|менее|азмер|окна|менее|атериал|фанера|толщиной|менее")</f>
        <v>ирма|деревянная|для|кукольного|театра|еревянная|ширма|используется|для|организации|театрализованных|игр|постановок|куклами|онструкция|формирует|игровую|сцену|отделяет|пространство|сцены|зрительной|зоны|процессе|спектаклей|выполняется|разыгрывание|ролей|диалогов|что|способствует|развитию|воображения|связной|речи|ысота|ширмы|составляет|менее|ширина|менее|азмер|окна|менее|атериал|фанера|толщиной|менее</v>
      </c>
      <c r="I959" s="1"/>
      <c r="J959" s="1"/>
    </row>
    <row r="960" spans="1:10" ht="25.5" x14ac:dyDescent="0.2">
      <c r="A960" s="8" t="s">
        <v>780</v>
      </c>
      <c r="B960" s="7" t="s">
        <v>779</v>
      </c>
      <c r="C960" s="7" t="s">
        <v>778</v>
      </c>
      <c r="D960" s="6">
        <v>52300</v>
      </c>
      <c r="E960" s="5">
        <v>7</v>
      </c>
      <c r="F960" s="4" t="str">
        <f ca="1">IFERROR(__xludf.DUMMYFUNCTION("LOWER(REGEXREPLACE(B960&amp;"" ""&amp;C960,""[^а-яa-z0-9 ]"","" ""))")," ирма для театра  етская театральная ширма предназначена для проведения кукольных и теневых представлений   зготовлена из экологичного дерева   абариты   около 50 2 40 см   езопасна для использования детьми ")</f>
        <v xml:space="preserve"> ирма для театра  етская театральная ширма предназначена для проведения кукольных и теневых представлений   зготовлена из экологичного дерева   абариты   около 50 2 40 см   езопасна для использования детьми </v>
      </c>
      <c r="G960" s="4" t="str">
        <f ca="1">IFERROR(__xludf.DUMMYFUNCTION("TEXTJOIN(""|"",TRUE,UNIQUE(FILTER(SPLIT(F960,"" ""),LEN(SPLIT(F960,"" ""))&gt;2)))"),"ирма|для|театра|етская|театральная|ширма|предназначена|для|проведения|кукольных|теневых|представлений|зготовлена|экологичного|дерева|абариты|около|езопасна|для|использования|детьми")</f>
        <v>ирма|для|театра|етская|театральная|ширма|предназначена|для|проведения|кукольных|теневых|представлений|зготовлена|экологичного|дерева|абариты|около|езопасна|для|использования|детьми</v>
      </c>
      <c r="I960" s="1"/>
      <c r="J960" s="1"/>
    </row>
    <row r="961" spans="1:10" ht="38.25" x14ac:dyDescent="0.2">
      <c r="A961" s="8" t="s">
        <v>777</v>
      </c>
      <c r="B961" s="7" t="s">
        <v>776</v>
      </c>
      <c r="C961" s="7" t="s">
        <v>775</v>
      </c>
      <c r="D961" s="6">
        <v>19000</v>
      </c>
      <c r="E961" s="5">
        <v>21</v>
      </c>
      <c r="F961" s="4" t="str">
        <f ca="1">IFERROR(__xludf.DUMMYFUNCTION("LOWER(REGEXREPLACE(B961&amp;"" ""&amp;C961,""[^а-яa-z0-9 ]"","" ""))")," ляпки  абор праздничных шляп предназначен для использования в театрализованных играх  утренниках  праздниках и фотосессиях в дошкольном учреждении    комплект входит 10 штук   вета и узоры   в случайном ассортименте   зготовлены из л гкого безопасного ма"&amp;"териала ")</f>
        <v xml:space="preserve"> ляпки  абор праздничных шляп предназначен для использования в театрализованных играх  утренниках  праздниках и фотосессиях в дошкольном учреждении    комплект входит 10 штук   вета и узоры   в случайном ассортименте   зготовлены из л гкого безопасного материала </v>
      </c>
      <c r="G961" s="4" t="str">
        <f ca="1">IFERROR(__xludf.DUMMYFUNCTION("TEXTJOIN(""|"",TRUE,UNIQUE(FILTER(SPLIT(F961,"" ""),LEN(SPLIT(F961,"" ""))&gt;2)))"),"ляпки|абор|праздничных|шляп|предназначен|для|использования|театрализованных|играх|утренниках|праздниках|фотосессиях|дошкольном|учреждении|комплект|входит|штук|вета|узоры|случайном|ассортименте|зготовлены|гкого|безопасного|материала")</f>
        <v>ляпки|абор|праздничных|шляп|предназначен|для|использования|театрализованных|играх|утренниках|праздниках|фотосессиях|дошкольном|учреждении|комплект|входит|штук|вета|узоры|случайном|ассортименте|зготовлены|гкого|безопасного|материала</v>
      </c>
      <c r="I961" s="1"/>
      <c r="J961" s="1"/>
    </row>
    <row r="962" spans="1:10" ht="38.25" x14ac:dyDescent="0.2">
      <c r="A962" s="8" t="s">
        <v>774</v>
      </c>
      <c r="B962" s="7" t="s">
        <v>773</v>
      </c>
      <c r="C962" s="7" t="s">
        <v>772</v>
      </c>
      <c r="D962" s="6">
        <v>6700</v>
      </c>
      <c r="E962" s="5">
        <v>7</v>
      </c>
      <c r="F962" s="4" t="str">
        <f ca="1">IFERROR(__xludf.DUMMYFUNCTION("LOWER(REGEXREPLACE(B962&amp;"" ""&amp;C962,""[^а-яa-z0-9 ]"","" ""))")," нуровка   азвивающие пуговки   азвивающая шнуровка предназначена для формирования мелкой моторики  усидчивости и навыков сортировки    комплект входит шнуровка и около 40 крупных пуговиц   атериалы   пластик и текстиль   етали безопасного размера  подход"&amp;"ят для использования под контролем взрослого ")</f>
        <v xml:space="preserve"> нуровка   азвивающие пуговки   азвивающая шнуровка предназначена для формирования мелкой моторики  усидчивости и навыков сортировки    комплект входит шнуровка и около 40 крупных пуговиц   атериалы   пластик и текстиль   етали безопасного размера  подходят для использования под контролем взрослого </v>
      </c>
      <c r="G962" s="4" t="str">
        <f ca="1">IFERROR(__xludf.DUMMYFUNCTION("TEXTJOIN(""|"",TRUE,UNIQUE(FILTER(SPLIT(F962,"" ""),LEN(SPLIT(F962,"" ""))&gt;2)))"),"нуровка|азвивающие|пуговки|азвивающая|шнуровка|предназначена|для|формирования|мелкой|моторики|усидчивости|навыков|сортировки|комплект|входит|шнуровка|около|крупных|пуговиц|атериалы|пластик|текстиль|етали|безопасного|размера|подходят|для|использования|под|"&amp;"контролем|взрослого")</f>
        <v>нуровка|азвивающие|пуговки|азвивающая|шнуровка|предназначена|для|формирования|мелкой|моторики|усидчивости|навыков|сортировки|комплект|входит|шнуровка|около|крупных|пуговиц|атериалы|пластик|текстиль|етали|безопасного|размера|подходят|для|использования|под|контролем|взрослого</v>
      </c>
      <c r="I962" s="1"/>
      <c r="J962" s="1"/>
    </row>
    <row r="963" spans="1:10" ht="38.25" x14ac:dyDescent="0.2">
      <c r="A963" s="8" t="s">
        <v>771</v>
      </c>
      <c r="B963" s="7" t="s">
        <v>770</v>
      </c>
      <c r="C963" s="7" t="s">
        <v>769</v>
      </c>
      <c r="D963" s="6">
        <v>8600</v>
      </c>
      <c r="E963" s="5">
        <v>7</v>
      </c>
      <c r="F963" s="4" t="str">
        <f ca="1">IFERROR(__xludf.DUMMYFUNCTION("LOWER(REGEXREPLACE(B963&amp;"" ""&amp;C963,""[^а-яa-z0-9 ]"","" ""))")," нуровка для малышей  еревянная развивающая шнуровка предназначена для детей дошкольного возраста   спользуется для развития мелкой моторики  координации движений  внимания и логического мышления   редставляет собой набор фигурок животных и шнурок для нан"&amp;"изывания   атериал   дерево ")</f>
        <v xml:space="preserve"> нуровка для малышей  еревянная развивающая шнуровка предназначена для детей дошкольного возраста   спользуется для развития мелкой моторики  координации движений  внимания и логического мышления   редставляет собой набор фигурок животных и шнурок для нанизывания   атериал   дерево </v>
      </c>
      <c r="G963" s="4" t="str">
        <f ca="1">IFERROR(__xludf.DUMMYFUNCTION("TEXTJOIN(""|"",TRUE,UNIQUE(FILTER(SPLIT(F963,"" ""),LEN(SPLIT(F963,"" ""))&gt;2)))"),"нуровка|для|малышей|еревянная|развивающая|шнуровка|предназначена|для|детей|дошкольного|возраста|спользуется|для|развития|мелкой|моторики|координации|движений|внимания|логического|мышления|редставляет|собой|набор|фигурок|животных|шнурок|для|нанизывания|ате"&amp;"риал|дерево")</f>
        <v>нуровка|для|малышей|еревянная|развивающая|шнуровка|предназначена|для|детей|дошкольного|возраста|спользуется|для|развития|мелкой|моторики|координации|движений|внимания|логического|мышления|редставляет|собой|набор|фигурок|животных|шнурок|для|нанизывания|атериал|дерево</v>
      </c>
      <c r="I963" s="1"/>
      <c r="J963" s="1"/>
    </row>
    <row r="964" spans="1:10" ht="12.75" x14ac:dyDescent="0.2">
      <c r="A964" s="8" t="s">
        <v>768</v>
      </c>
      <c r="B964" s="7" t="s">
        <v>767</v>
      </c>
      <c r="C964" s="7" t="s">
        <v>766</v>
      </c>
      <c r="D964" s="6">
        <v>4800</v>
      </c>
      <c r="E964" s="5">
        <v>1</v>
      </c>
      <c r="F964" s="4" t="str">
        <f ca="1">IFERROR(__xludf.DUMMYFUNCTION("LOWER(REGEXREPLACE(B964&amp;"" ""&amp;C964,""[^а-яa-z0-9 ]"","" ""))")," о ан   лиханов   географ ж не саяхатшы   рмагамбетов   ")</f>
        <v xml:space="preserve"> о ан   лиханов   географ ж не саяхатшы   рмагамбетов   </v>
      </c>
      <c r="G964" s="4" t="str">
        <f ca="1">IFERROR(__xludf.DUMMYFUNCTION("TEXTJOIN(""|"",TRUE,UNIQUE(FILTER(SPLIT(F964,"" ""),LEN(SPLIT(F964,"" ""))&gt;2)))"),"лиханов|географ|саяхатшы|рмагамбетов")</f>
        <v>лиханов|географ|саяхатшы|рмагамбетов</v>
      </c>
      <c r="I964" s="1"/>
      <c r="J964" s="1"/>
    </row>
    <row r="965" spans="1:10" ht="12.75" x14ac:dyDescent="0.2">
      <c r="A965" s="8" t="s">
        <v>765</v>
      </c>
      <c r="B965" s="7" t="s">
        <v>764</v>
      </c>
      <c r="C965" s="7" t="s">
        <v>763</v>
      </c>
      <c r="D965" s="6">
        <v>16000</v>
      </c>
      <c r="E965" s="5">
        <v>1</v>
      </c>
      <c r="F965" s="4" t="str">
        <f ca="1">IFERROR(__xludf.DUMMYFUNCTION("LOWER(REGEXREPLACE(B965&amp;"" ""&amp;C965,""[^а-яa-z0-9 ]"","" ""))")," о ан   ы ысты  жары  ж лдызы  ужикова   ")</f>
        <v xml:space="preserve"> о ан   ы ысты  жары  ж лдызы  ужикова   </v>
      </c>
      <c r="G965" s="4" t="str">
        <f ca="1">IFERROR(__xludf.DUMMYFUNCTION("TEXTJOIN(""|"",TRUE,UNIQUE(FILTER(SPLIT(F965,"" ""),LEN(SPLIT(F965,"" ""))&gt;2)))"),"ысты|жары|лдызы|ужикова")</f>
        <v>ысты|жары|лдызы|ужикова</v>
      </c>
      <c r="I965" s="1"/>
      <c r="J965" s="1"/>
    </row>
    <row r="966" spans="1:10" ht="63.75" x14ac:dyDescent="0.2">
      <c r="A966" s="8" t="s">
        <v>762</v>
      </c>
      <c r="B966" s="7" t="s">
        <v>761</v>
      </c>
      <c r="C966" s="7" t="s">
        <v>760</v>
      </c>
      <c r="D966" s="6">
        <v>2700</v>
      </c>
      <c r="E966" s="5">
        <v>5</v>
      </c>
      <c r="F966" s="4" t="str">
        <f ca="1">IFERROR(__xludf.DUMMYFUNCTION("LOWER(REGEXREPLACE(B966&amp;"" ""&amp;C966,""[^а-яa-z0-9 ]"","" ""))")," екоративный элемент   ишка сосновая   искусственная   скусственная сосновая шишка используется как декоративный элемент для оформления тематических композиций и природных уголков   зделие выполнено из безопасного материала  сохраняющего форму при длитель"&amp;"ной эксплуатации   одходит для размещения в вазах  корзинах  на полках и в витринных композициях   оверхность имитирует фактуру природной шишки   редназначена для многократного использования в помещении ")</f>
        <v xml:space="preserve"> екоративный элемент   ишка сосновая   искусственная   скусственная сосновая шишка используется как декоративный элемент для оформления тематических композиций и природных уголков   зделие выполнено из безопасного материала  сохраняющего форму при длительной эксплуатации   одходит для размещения в вазах  корзинах  на полках и в витринных композициях   оверхность имитирует фактуру природной шишки   редназначена для многократного использования в помещении </v>
      </c>
      <c r="G966" s="4" t="str">
        <f ca="1">IFERROR(__xludf.DUMMYFUNCTION("TEXTJOIN(""|"",TRUE,UNIQUE(FILTER(SPLIT(F966,"" ""),LEN(SPLIT(F966,"" ""))&gt;2)))"),"екоративный|элемент|ишка|сосновая|искусственная|скусственная|сосновая|шишка|используется|как|декоративный|элемент|для|оформления|тематических|композиций|природных|уголков|зделие|выполнено|безопасного|материала|сохраняющего|форму|при|длительной|эксплуатаци"&amp;"и|одходит|для|размещения|вазах|корзинах|полках|витринных|композициях|оверхность|имитирует|фактуру|природной|шишки|редназначена|для|многократного|использования|помещении")</f>
        <v>екоративный|элемент|ишка|сосновая|искусственная|скусственная|сосновая|шишка|используется|как|декоративный|элемент|для|оформления|тематических|композиций|природных|уголков|зделие|выполнено|безопасного|материала|сохраняющего|форму|при|длительной|эксплуатации|одходит|для|размещения|вазах|корзинах|полках|витринных|композициях|оверхность|имитирует|фактуру|природной|шишки|редназначена|для|многократного|использования|помещении</v>
      </c>
      <c r="I966" s="1"/>
      <c r="J966" s="1"/>
    </row>
    <row r="967" spans="1:10" ht="12.75" x14ac:dyDescent="0.2">
      <c r="A967" s="8" t="s">
        <v>759</v>
      </c>
      <c r="B967" s="7" t="s">
        <v>758</v>
      </c>
      <c r="C967" s="7" t="s">
        <v>757</v>
      </c>
      <c r="D967" s="6">
        <v>8000</v>
      </c>
      <c r="E967" s="5">
        <v>1</v>
      </c>
      <c r="F967" s="4" t="str">
        <f ca="1">IFERROR(__xludf.DUMMYFUNCTION("LOWER(REGEXREPLACE(B967&amp;"" ""&amp;C967,""[^а-яa-z0-9 ]"","" ""))")," уакты кундер     омыш лы туралы   хметова   ")</f>
        <v xml:space="preserve"> уакты кундер     омыш лы туралы   хметова   </v>
      </c>
      <c r="G967" s="4" t="str">
        <f ca="1">IFERROR(__xludf.DUMMYFUNCTION("TEXTJOIN(""|"",TRUE,UNIQUE(FILTER(SPLIT(F967,"" ""),LEN(SPLIT(F967,"" ""))&gt;2)))"),"уакты|кундер|омыш|туралы|хметова")</f>
        <v>уакты|кундер|омыш|туралы|хметова</v>
      </c>
      <c r="I967" s="1"/>
      <c r="J967" s="1"/>
    </row>
    <row r="968" spans="1:10" ht="12.75" x14ac:dyDescent="0.2">
      <c r="A968" s="8" t="s">
        <v>756</v>
      </c>
      <c r="B968" s="7" t="s">
        <v>755</v>
      </c>
      <c r="C968" s="7" t="s">
        <v>754</v>
      </c>
      <c r="D968" s="6">
        <v>13400</v>
      </c>
      <c r="E968" s="5">
        <v>1</v>
      </c>
      <c r="F968" s="4" t="str">
        <f ca="1">IFERROR(__xludf.DUMMYFUNCTION("LOWER(REGEXREPLACE(B968&amp;"" ""&amp;C968,""[^а-яa-z0-9 ]"","" ""))")," бырай   аланы  таза б лагы  спанов      телбаева        лтынсарин туралы ")</f>
        <v xml:space="preserve"> бырай   аланы  таза б лагы  спанов      телбаева        лтынсарин туралы </v>
      </c>
      <c r="G968" s="4" t="str">
        <f ca="1">IFERROR(__xludf.DUMMYFUNCTION("TEXTJOIN(""|"",TRUE,UNIQUE(FILTER(SPLIT(F968,"" ""),LEN(SPLIT(F968,"" ""))&gt;2)))"),"бырай|аланы|таза|лагы|спанов|телбаева|лтынсарин|туралы")</f>
        <v>бырай|аланы|таза|лагы|спанов|телбаева|лтынсарин|туралы</v>
      </c>
      <c r="I968" s="1"/>
      <c r="J968" s="1"/>
    </row>
    <row r="969" spans="1:10" ht="12.75" x14ac:dyDescent="0.2">
      <c r="A969" s="8" t="s">
        <v>753</v>
      </c>
      <c r="B969" s="7" t="s">
        <v>752</v>
      </c>
      <c r="C969" s="7" t="s">
        <v>751</v>
      </c>
      <c r="D969" s="6">
        <v>13400</v>
      </c>
      <c r="E969" s="5">
        <v>1</v>
      </c>
      <c r="F969" s="4" t="str">
        <f ca="1">IFERROR(__xludf.DUMMYFUNCTION("LOWER(REGEXREPLACE(B969&amp;"" ""&amp;C969,""[^а-яa-z0-9 ]"","" ""))")," бырай   истый родник степи  спанов      тельбаева   ")</f>
        <v xml:space="preserve"> бырай   истый родник степи  спанов      тельбаева   </v>
      </c>
      <c r="G969" s="4" t="str">
        <f ca="1">IFERROR(__xludf.DUMMYFUNCTION("TEXTJOIN(""|"",TRUE,UNIQUE(FILTER(SPLIT(F969,"" ""),LEN(SPLIT(F969,"" ""))&gt;2)))"),"бырай|истый|родник|степи|спанов|тельбаева")</f>
        <v>бырай|истый|родник|степи|спанов|тельбаева</v>
      </c>
      <c r="I969" s="1"/>
      <c r="J969" s="1"/>
    </row>
    <row r="970" spans="1:10" ht="51" x14ac:dyDescent="0.2">
      <c r="A970" s="8" t="s">
        <v>750</v>
      </c>
      <c r="B970" s="7" t="s">
        <v>749</v>
      </c>
      <c r="C970" s="7" t="s">
        <v>748</v>
      </c>
      <c r="D970" s="6">
        <v>64600</v>
      </c>
      <c r="E970" s="5">
        <v>21</v>
      </c>
      <c r="F970" s="4" t="str">
        <f ca="1">IFERROR(__xludf.DUMMYFUNCTION("LOWER(REGEXREPLACE(B970&amp;"" ""&amp;C970,""[^а-яa-z0-9 ]"","" ""))")," лектронная игра на память с музыкой и светом  лектронная игра включает режимы заданий на запоминание и реакцию с использованием световых и звуковых сигналов    процессе игры выполняется повторение последовательностей и реагирование на сигналы в заданном "&amp;"темпе   акая деятельность развивает внимание  память и скорость реакции   редусмотрено не менее тр х режимов игры   грушка оснащена световыми и звуковыми эффектами ")</f>
        <v xml:space="preserve"> лектронная игра на память с музыкой и светом  лектронная игра включает режимы заданий на запоминание и реакцию с использованием световых и звуковых сигналов    процессе игры выполняется повторение последовательностей и реагирование на сигналы в заданном темпе   акая деятельность развивает внимание  память и скорость реакции   редусмотрено не менее тр х режимов игры   грушка оснащена световыми и звуковыми эффектами </v>
      </c>
      <c r="G970" s="4" t="str">
        <f ca="1">IFERROR(__xludf.DUMMYFUNCTION("TEXTJOIN(""|"",TRUE,UNIQUE(FILTER(SPLIT(F970,"" ""),LEN(SPLIT(F970,"" ""))&gt;2)))"),"лектронная|игра|память|музыкой|светом|лектронная|игра|включает|режимы|заданий|запоминание|реакцию|использованием|световых|звуковых|сигналов|процессе|игры|выполняется|повторение|последовательностей|реагирование|сигналы|заданном|темпе|акая|деятельность|разв"&amp;"ивает|внимание|память|скорость|реакции|редусмотрено|менее|режимов|игры|грушка|оснащена|световыми|звуковыми|эффектами")</f>
        <v>лектронная|игра|память|музыкой|светом|лектронная|игра|включает|режимы|заданий|запоминание|реакцию|использованием|световых|звуковых|сигналов|процессе|игры|выполняется|повторение|последовательностей|реагирование|сигналы|заданном|темпе|акая|деятельность|развивает|внимание|память|скорость|реакции|редусмотрено|менее|режимов|игры|грушка|оснащена|световыми|звуковыми|эффектами</v>
      </c>
      <c r="I970" s="1"/>
      <c r="J970" s="1"/>
    </row>
    <row r="971" spans="1:10" ht="38.25" x14ac:dyDescent="0.2">
      <c r="A971" s="8" t="s">
        <v>747</v>
      </c>
      <c r="B971" s="7" t="s">
        <v>746</v>
      </c>
      <c r="C971" s="7" t="s">
        <v>745</v>
      </c>
      <c r="D971" s="6">
        <v>12400</v>
      </c>
      <c r="E971" s="5">
        <v>1</v>
      </c>
      <c r="F971" s="4" t="str">
        <f ca="1">IFERROR(__xludf.DUMMYFUNCTION("LOWER(REGEXREPLACE(B971&amp;"" ""&amp;C971,""[^а-яa-z0-9 ]"","" ""))")," моциональное яйцо  моциональное яйцо предназначено для интерактивных занятий с детьми дошкольного возраста   спользуется для выражения  распознавания и обсуждения эмоций в игровой форме   пособствует развитию эмоционального интеллекта  саморегуляции и ко"&amp;"ммуникативных навыков ")</f>
        <v xml:space="preserve"> моциональное яйцо  моциональное яйцо предназначено для интерактивных занятий с детьми дошкольного возраста   спользуется для выражения  распознавания и обсуждения эмоций в игровой форме   пособствует развитию эмоционального интеллекта  саморегуляции и коммуникативных навыков </v>
      </c>
      <c r="G971" s="4" t="str">
        <f ca="1">IFERROR(__xludf.DUMMYFUNCTION("TEXTJOIN(""|"",TRUE,UNIQUE(FILTER(SPLIT(F971,"" ""),LEN(SPLIT(F971,"" ""))&gt;2)))"),"моциональное|яйцо|моциональное|яйцо|предназначено|для|интерактивных|занятий|детьми|дошкольного|возраста|спользуется|для|выражения|распознавания|обсуждения|эмоций|игровой|форме|пособствует|развитию|эмоционального|интеллекта|саморегуляции|коммуникативных|на"&amp;"выков")</f>
        <v>моциональное|яйцо|моциональное|яйцо|предназначено|для|интерактивных|занятий|детьми|дошкольного|возраста|спользуется|для|выражения|распознавания|обсуждения|эмоций|игровой|форме|пособствует|развитию|эмоционального|интеллекта|саморегуляции|коммуникативных|навыков</v>
      </c>
      <c r="I971" s="1"/>
      <c r="J971" s="1"/>
    </row>
    <row r="972" spans="1:10" ht="38.25" x14ac:dyDescent="0.2">
      <c r="A972" s="8" t="s">
        <v>744</v>
      </c>
      <c r="B972" s="7" t="s">
        <v>743</v>
      </c>
      <c r="C972" s="7" t="s">
        <v>742</v>
      </c>
      <c r="D972" s="6">
        <v>4800</v>
      </c>
      <c r="E972" s="5">
        <v>1</v>
      </c>
      <c r="F972" s="4" t="str">
        <f ca="1">IFERROR(__xludf.DUMMYFUNCTION("LOWER(REGEXREPLACE(B972&amp;"" ""&amp;C972,""[^а-яa-z0-9 ]"","" ""))")," моциональные стикеры  абор стикеров предназначен для работы с эмоциональной сферой детей   спользуется для обозначения настроения  анализа чувств  выполнения игровых  коррекционных и диагностических заданий   одходит для индивидуальной и групповой работы"&amp;" ")</f>
        <v xml:space="preserve"> моциональные стикеры  абор стикеров предназначен для работы с эмоциональной сферой детей   спользуется для обозначения настроения  анализа чувств  выполнения игровых  коррекционных и диагностических заданий   одходит для индивидуальной и групповой работы </v>
      </c>
      <c r="G972" s="4" t="str">
        <f ca="1">IFERROR(__xludf.DUMMYFUNCTION("TEXTJOIN(""|"",TRUE,UNIQUE(FILTER(SPLIT(F972,"" ""),LEN(SPLIT(F972,"" ""))&gt;2)))"),"моциональные|стикеры|абор|стикеров|предназначен|для|работы|эмоциональной|сферой|детей|спользуется|для|обозначения|настроения|анализа|чувств|выполнения|игровых|коррекционных|диагностических|заданий|одходит|для|индивидуальной|групповой|работы")</f>
        <v>моциональные|стикеры|абор|стикеров|предназначен|для|работы|эмоциональной|сферой|детей|спользуется|для|обозначения|настроения|анализа|чувств|выполнения|игровых|коррекционных|диагностических|заданий|одходит|для|индивидуальной|групповой|работы</v>
      </c>
      <c r="I972" s="1"/>
      <c r="J972" s="1"/>
    </row>
    <row r="973" spans="1:10" ht="25.5" x14ac:dyDescent="0.2">
      <c r="A973" s="8" t="s">
        <v>741</v>
      </c>
      <c r="B973" s="7" t="s">
        <v>740</v>
      </c>
      <c r="C973" s="7" t="s">
        <v>739</v>
      </c>
      <c r="D973" s="6">
        <v>12700</v>
      </c>
      <c r="E973" s="5">
        <v>12</v>
      </c>
      <c r="F973" s="4" t="str">
        <f ca="1">IFERROR(__xludf.DUMMYFUNCTION("LOWER(REGEXREPLACE(B973&amp;"" ""&amp;C973,""[^а-яa-z0-9 ]"","" ""))")," нциклопедия   ануарлар   нциклопедия содержит иллюстрированную информацию о животных   спользуется для рассматривания и ознакомления с представителями животного мира   редназначена для познавательной деятельности ")</f>
        <v xml:space="preserve"> нциклопедия   ануарлар   нциклопедия содержит иллюстрированную информацию о животных   спользуется для рассматривания и ознакомления с представителями животного мира   редназначена для познавательной деятельности </v>
      </c>
      <c r="G973" s="4" t="str">
        <f ca="1">IFERROR(__xludf.DUMMYFUNCTION("TEXTJOIN(""|"",TRUE,UNIQUE(FILTER(SPLIT(F973,"" ""),LEN(SPLIT(F973,"" ""))&gt;2)))"),"нциклопедия|ануарлар|нциклопедия|содержит|иллюстрированную|информацию|животных|спользуется|для|рассматривания|ознакомления|представителями|животного|мира|редназначена|для|познавательной|деятельности")</f>
        <v>нциклопедия|ануарлар|нциклопедия|содержит|иллюстрированную|информацию|животных|спользуется|для|рассматривания|ознакомления|представителями|животного|мира|редназначена|для|познавательной|деятельности</v>
      </c>
      <c r="I973" s="1"/>
      <c r="J973" s="1"/>
    </row>
    <row r="974" spans="1:10" ht="38.25" x14ac:dyDescent="0.2">
      <c r="A974" s="8" t="s">
        <v>738</v>
      </c>
      <c r="B974" s="7" t="s">
        <v>737</v>
      </c>
      <c r="C974" s="7" t="s">
        <v>736</v>
      </c>
      <c r="D974" s="6">
        <v>6700</v>
      </c>
      <c r="E974" s="5">
        <v>25</v>
      </c>
      <c r="F974" s="4" t="str">
        <f ca="1">IFERROR(__xludf.DUMMYFUNCTION("LOWER(REGEXREPLACE(B974&amp;"" ""&amp;C974,""[^а-яa-z0-9 ]"","" ""))")," стафетные палочки  стафетные палочки предназначены для проведения подвижных и спортивных игр   лина   около 300 мм  диаметр   около 30 мм   ыполнены в виде ярко окрашенных полых цилиндров с гладкой поверхностью   атериал   алюминий   спользуются для эста"&amp;"фет и командных игр в спортивном зале и на улице ")</f>
        <v xml:space="preserve"> стафетные палочки  стафетные палочки предназначены для проведения подвижных и спортивных игр   лина   около 300 мм  диаметр   около 30 мм   ыполнены в виде ярко окрашенных полых цилиндров с гладкой поверхностью   атериал   алюминий   спользуются для эстафет и командных игр в спортивном зале и на улице </v>
      </c>
      <c r="G974" s="4" t="str">
        <f ca="1">IFERROR(__xludf.DUMMYFUNCTION("TEXTJOIN(""|"",TRUE,UNIQUE(FILTER(SPLIT(F974,"" ""),LEN(SPLIT(F974,"" ""))&gt;2)))"),"стафетные|палочки|стафетные|палочки|предназначены|для|проведения|подвижных|спортивных|игр|лина|около|300|диаметр|около|ыполнены|виде|ярко|окрашенных|полых|цилиндров|гладкой|поверхностью|атериал|алюминий|спользуются|для|эстафет|командных|игр|спортивном|зал"&amp;"е|улице")</f>
        <v>стафетные|палочки|стафетные|палочки|предназначены|для|проведения|подвижных|спортивных|игр|лина|около|300|диаметр|около|ыполнены|виде|ярко|окрашенных|полых|цилиндров|гладкой|поверхностью|атериал|алюминий|спользуются|для|эстафет|командных|игр|спортивном|зале|улице</v>
      </c>
      <c r="I974" s="1"/>
      <c r="J974" s="1"/>
    </row>
    <row r="975" spans="1:10" ht="12.75" x14ac:dyDescent="0.2">
      <c r="A975" s="8" t="s">
        <v>735</v>
      </c>
      <c r="B975" s="7" t="s">
        <v>734</v>
      </c>
      <c r="C975" s="7" t="s">
        <v>733</v>
      </c>
      <c r="D975" s="6">
        <v>7000</v>
      </c>
      <c r="E975" s="5">
        <v>1</v>
      </c>
      <c r="F975" s="4" t="str">
        <f ca="1">IFERROR(__xludf.DUMMYFUNCTION("LOWER(REGEXREPLACE(B975&amp;"" ""&amp;C975,""[^а-яa-z0-9 ]"","" ""))")," stana   the heart of our  otherland  уреханова   ")</f>
        <v xml:space="preserve"> stana   the heart of our  otherland  уреханова   </v>
      </c>
      <c r="G975" s="4" t="str">
        <f ca="1">IFERROR(__xludf.DUMMYFUNCTION("TEXTJOIN(""|"",TRUE,UNIQUE(FILTER(SPLIT(F975,"" ""),LEN(SPLIT(F975,"" ""))&gt;2)))"),"stana|the|heart|our|otherland|уреханова")</f>
        <v>stana|the|heart|our|otherland|уреханова</v>
      </c>
      <c r="I975" s="1"/>
      <c r="J975" s="1"/>
    </row>
    <row r="976" spans="1:10" ht="153" x14ac:dyDescent="0.2">
      <c r="A976" s="8" t="s">
        <v>732</v>
      </c>
      <c r="B976" s="7" t="s">
        <v>731</v>
      </c>
      <c r="C976" s="7" t="s">
        <v>730</v>
      </c>
      <c r="D976" s="6">
        <v>22100</v>
      </c>
      <c r="E976" s="5">
        <v>2</v>
      </c>
      <c r="F976" s="4" t="str">
        <f ca="1">IFERROR(__xludf.DUMMYFUNCTION("LOWER(REGEXREPLACE(B976&amp;"" ""&amp;C976,""[^а-яa-z0-9 ]"","" ""))")," емонстрационное пособие  емонстрационное пособие предназначено для использования на уроках труда начальной школе при обучении работе с текстилем и изучением его разнообразия   абор представляет собой собрание примеров сырьевых и готовых материалов  оформ"&amp;"ленное на планшетах   спользовать комплект можно как наглядный и раздаточный материал   оллекция обеспечит соблюдение принципа наглядности на уроках  посвященных значению и применению тканей    материале представлены текстильные материалы  животного проис"&amp;"хождения  ш лк натуральный  шерстяные ткани  растительного  хлопчатобумажные  льняные  а также их волокна и исходные продукты  искусственные  вискоза  лавсан  ацетат  образцы ниток и изделий из них  ленты  шнурки  кружева и т д    особие представляет собо"&amp;"й складную папку с планшетками  на которых прикреплены образцы   кспонаты пронумерованы и выложены согласно прилагаемому списку   азначение набора   познакомить учащихся с различными видами текстиля    состав входят  1 складная папка 2 паспарту  планшета "&amp;" паспорт   целях безопасной транспортировки и хранения изделие поставляется в упаковке размером 40х30х1 5 см в термоусадочной пленке   ес пособия не превышает 0 5 кг ")</f>
        <v xml:space="preserve"> емонстрационное пособие  емонстрационное пособие предназначено для использования на уроках труда начальной школе при обучении работе с текстилем и изучением его разнообразия   абор представляет собой собрание примеров сырьевых и готовых материалов  оформленное на планшетах   спользовать комплект можно как наглядный и раздаточный материал   оллекция обеспечит соблюдение принципа наглядности на уроках  посвященных значению и применению тканей    материале представлены текстильные материалы  животного происхождения  ш лк натуральный  шерстяные ткани  растительного  хлопчатобумажные  льняные  а также их волокна и исходные продукты  искусственные  вискоза  лавсан  ацетат  образцы ниток и изделий из них  ленты  шнурки  кружева и т д    особие представляет собой складную папку с планшетками  на которых прикреплены образцы   кспонаты пронумерованы и выложены согласно прилагаемому списку   азначение набора   познакомить учащихся с различными видами текстиля    состав входят  1 складная папка 2 паспарту  планшета  паспорт   целях безопасной транспортировки и хранения изделие поставляется в упаковке размером 40х30х1 5 см в термоусадочной пленке   ес пособия не превышает 0 5 кг </v>
      </c>
      <c r="G976" s="4" t="str">
        <f ca="1">IFERROR(__xludf.DUMMYFUNCTION("TEXTJOIN(""|"",TRUE,UNIQUE(FILTER(SPLIT(F976,"" ""),LEN(SPLIT(F976,"" ""))&gt;2)))"),"емонстрационное|пособие|емонстрационное|пособие|предназначено|для|использования|уроках|труда|начальной|школе|при|обучении|работе|текстилем|изучением|его|разнообразия|абор|представляет|собой|собрание|примеров|сырьевых|готовых|материалов|оформленное|планшет"&amp;"ах|спользовать|комплект|можно|как|наглядный|раздаточный|материал|оллекция|обеспечит|соблюдение|принципа|наглядности|уроках|посвященных|значению|применению|тканей|материале|представлены|текстильные|материалы|животного|происхождения|натуральный|шерстяные|тк"&amp;"ани|растительного|хлопчатобумажные|льняные|также|волокна|исходные|продукты|искусственные|вискоза|лавсан|ацетат|образцы|ниток|изделий|них|ленты|шнурки|кружева|особие|представляет|собой|складную|папку|планшетками|которых|прикреплены|образцы|кспонаты|пронуме"&amp;"рованы|выложены|согласно|прилагаемому|списку|азначение|набора|познакомить|учащихся|различными|видами|текстиля|состав|входят|складная|папка|паспарту|планшета|паспорт|целях|безопасной|транспортировки|хранения|изделие|поставляется|упаковке|размером|40х30х1|т"&amp;"ермоусадочной|пленке|пособия|превышает")</f>
        <v>емонстрационное|пособие|емонстрационное|пособие|предназначено|для|использования|уроках|труда|начальной|школе|при|обучении|работе|текстилем|изучением|его|разнообразия|абор|представляет|собой|собрание|примеров|сырьевых|готовых|материалов|оформленное|планшетах|спользовать|комплект|можно|как|наглядный|раздаточный|материал|оллекция|обеспечит|соблюдение|принципа|наглядности|уроках|посвященных|значению|применению|тканей|материале|представлены|текстильные|материалы|животного|происхождения|натуральный|шерстяные|ткани|растительного|хлопчатобумажные|льняные|также|волокна|исходные|продукты|искусственные|вискоза|лавсан|ацетат|образцы|ниток|изделий|них|ленты|шнурки|кружева|особие|представляет|собой|складную|папку|планшетками|которых|прикреплены|образцы|кспонаты|пронумерованы|выложены|согласно|прилагаемому|списку|азначение|набора|познакомить|учащихся|различными|видами|текстиля|состав|входят|складная|папка|паспарту|планшета|паспорт|целях|безопасной|транспортировки|хранения|изделие|поставляется|упаковке|размером|40х30х1|термоусадочной|пленке|пособия|превышает</v>
      </c>
      <c r="I976" s="1"/>
      <c r="J976" s="1"/>
    </row>
    <row r="977" spans="1:10" ht="25.5" x14ac:dyDescent="0.2">
      <c r="A977" s="8" t="s">
        <v>729</v>
      </c>
      <c r="B977" s="7" t="s">
        <v>728</v>
      </c>
      <c r="C977" s="7" t="s">
        <v>725</v>
      </c>
      <c r="D977" s="6">
        <v>91000</v>
      </c>
      <c r="E977" s="5">
        <v>1</v>
      </c>
      <c r="F977" s="4" t="str">
        <f ca="1">IFERROR(__xludf.DUMMYFUNCTION("LOWER(REGEXREPLACE(B977&amp;"" ""&amp;C977,""[^а-яa-z0-9 ]"","" ""))"),"                                                             анузакова    ")</f>
        <v xml:space="preserve">                                                             анузакова    </v>
      </c>
      <c r="G977" s="4" t="str">
        <f ca="1">IFERROR(__xludf.DUMMYFUNCTION("TEXTJOIN(""|"",TRUE,UNIQUE(FILTER(SPLIT(F977,"" ""),LEN(SPLIT(F977,"" ""))&gt;2)))"),"анузакова")</f>
        <v>анузакова</v>
      </c>
      <c r="I977" s="1"/>
      <c r="J977" s="1"/>
    </row>
    <row r="978" spans="1:10" ht="25.5" x14ac:dyDescent="0.2">
      <c r="A978" s="8" t="s">
        <v>727</v>
      </c>
      <c r="B978" s="7" t="s">
        <v>726</v>
      </c>
      <c r="C978" s="7" t="s">
        <v>725</v>
      </c>
      <c r="D978" s="6">
        <v>142500</v>
      </c>
      <c r="E978" s="5">
        <v>1</v>
      </c>
      <c r="F978" s="4" t="str">
        <f ca="1">IFERROR(__xludf.DUMMYFUNCTION("LOWER(REGEXREPLACE(B978&amp;"" ""&amp;C978,""[^а-яa-z0-9 ]"","" ""))"),"                                                                 анузакова    ")</f>
        <v xml:space="preserve">                                                                 анузакова    </v>
      </c>
      <c r="G978" s="4" t="str">
        <f ca="1">IFERROR(__xludf.DUMMYFUNCTION("TEXTJOIN(""|"",TRUE,UNIQUE(FILTER(SPLIT(F978,"" ""),LEN(SPLIT(F978,"" ""))&gt;2)))"),"анузакова")</f>
        <v>анузакова</v>
      </c>
      <c r="I978" s="1"/>
      <c r="J978" s="1"/>
    </row>
    <row r="979" spans="1:10" ht="12.75" x14ac:dyDescent="0.2">
      <c r="A979" s="8" t="s">
        <v>724</v>
      </c>
      <c r="B979" s="7" t="s">
        <v>723</v>
      </c>
      <c r="C979" s="7" t="s">
        <v>722</v>
      </c>
      <c r="D979" s="6">
        <v>30700</v>
      </c>
      <c r="E979" s="5">
        <v>1</v>
      </c>
      <c r="F979" s="4" t="str">
        <f ca="1">IFERROR(__xludf.DUMMYFUNCTION("LOWER(REGEXREPLACE(B979&amp;"" ""&amp;C979,""[^а-яa-z0-9 ]"","" ""))")," azakhstan   y  ative  and  юрта      ужикова")</f>
        <v xml:space="preserve"> azakhstan   y  ative  and  юрта      ужикова</v>
      </c>
      <c r="G979" s="4" t="str">
        <f ca="1">IFERROR(__xludf.DUMMYFUNCTION("TEXTJOIN(""|"",TRUE,UNIQUE(FILTER(SPLIT(F979,"" ""),LEN(SPLIT(F979,"" ""))&gt;2)))"),"azakhstan|ative|and|юрта|ужикова")</f>
        <v>azakhstan|ative|and|юрта|ужикова</v>
      </c>
      <c r="I979" s="1"/>
      <c r="J979" s="1"/>
    </row>
    <row r="980" spans="1:10" ht="51" x14ac:dyDescent="0.2">
      <c r="A980" s="8" t="s">
        <v>721</v>
      </c>
      <c r="B980" s="7" t="s">
        <v>720</v>
      </c>
      <c r="C980" s="7" t="s">
        <v>719</v>
      </c>
      <c r="D980" s="6">
        <v>511200</v>
      </c>
      <c r="E980" s="5">
        <v>15</v>
      </c>
      <c r="F980" s="4" t="str">
        <f ca="1">IFERROR(__xludf.DUMMYFUNCTION("LOWER(REGEXREPLACE(B980&amp;"" ""&amp;C980,""[^а-яa-z0-9 ]"","" ""))"),"       ducation         ssential  бразовательный набор для конструирования и первичного программирования  предназначенный для детей дошкольного и младшего школьного возраста   спользуется для развития логического мышления  навыков решения задач  командной"&amp;" работы и базовых инженерных представлений   одходит для индивидуальной и групповой работы ")</f>
        <v xml:space="preserve">       ducation         ssential  бразовательный набор для конструирования и первичного программирования  предназначенный для детей дошкольного и младшего школьного возраста   спользуется для развития логического мышления  навыков решения задач  командной работы и базовых инженерных представлений   одходит для индивидуальной и групповой работы </v>
      </c>
      <c r="G980" s="4" t="str">
        <f ca="1">IFERROR(__xludf.DUMMYFUNCTION("TEXTJOIN(""|"",TRUE,UNIQUE(FILTER(SPLIT(F980,"" ""),LEN(SPLIT(F980,"" ""))&gt;2)))"),"ducation|ssential|бразовательный|набор|для|конструирования|первичного|программирования|предназначенный|для|детей|дошкольного|младшего|школьного|возраста|спользуется|для|развития|логического|мышления|навыков|решения|задач|командной|работы|базовых|инженерны"&amp;"х|представлений|одходит|для|индивидуальной|групповой|работы")</f>
        <v>ducation|ssential|бразовательный|набор|для|конструирования|первичного|программирования|предназначенный|для|детей|дошкольного|младшего|школьного|возраста|спользуется|для|развития|логического|мышления|навыков|решения|задач|командной|работы|базовых|инженерных|представлений|одходит|для|индивидуальной|групповой|работы</v>
      </c>
      <c r="I980" s="1"/>
      <c r="J980" s="1"/>
    </row>
    <row r="981" spans="1:10" ht="114.75" x14ac:dyDescent="0.2">
      <c r="A981" s="8" t="s">
        <v>718</v>
      </c>
      <c r="B981" s="7" t="s">
        <v>717</v>
      </c>
      <c r="C981" s="7" t="s">
        <v>716</v>
      </c>
      <c r="D981" s="6">
        <v>403800</v>
      </c>
      <c r="E981" s="5">
        <v>20</v>
      </c>
      <c r="F981" s="4" t="str">
        <f ca="1">IFERROR(__xludf.DUMMYFUNCTION("LOWER(REGEXREPLACE(B981&amp;"" ""&amp;C981,""[^а-яa-z0-9 ]"","" ""))")," atata  ro  et  oding  atatalab  ro  et представляет собой универсальный набор для изучения основ программирования   ключает в себя робота  блоки программирования и различные аксессуары для создания множества увлекательных проектов   рограмма для робота с"&amp;"оздается используя физические программные блоки   чащиеся не используют никакие дисплеи  тем самым защищают свои глаза от синего излучения мониторов   абор обучает основам алгоритмического мышления  полученные знания облегчают дальнейшее обучение программ"&amp;"ированию ")</f>
        <v xml:space="preserve"> atata  ro  et  oding  atatalab  ro  et представляет собой универсальный набор для изучения основ программирования   ключает в себя робота  блоки программирования и различные аксессуары для создания множества увлекательных проектов   рограмма для робота создается используя физические программные блоки   чащиеся не используют никакие дисплеи  тем самым защищают свои глаза от синего излучения мониторов   абор обучает основам алгоритмического мышления  полученные знания облегчают дальнейшее обучение программированию </v>
      </c>
      <c r="G981" s="4" t="str">
        <f ca="1">IFERROR(__xludf.DUMMYFUNCTION("TEXTJOIN(""|"",TRUE,UNIQUE(FILTER(SPLIT(F981,"" ""),LEN(SPLIT(F981,"" ""))&gt;2)))"),"atata|oding|atatalab|представляет|собой|универсальный|набор|для|изучения|основ|программирования|ключает|себя|робота|блоки|программирования|различные|аксессуары|для|создания|множества|увлекательных|проектов|рограмма|для|робота|создается|используя|физически"&amp;"е|программные|блоки|чащиеся|используют|никакие|дисплеи|тем|самым|защищают|свои|глаза|синего|излучения|мониторов|абор|обучает|основам|алгоритмического|мышления|полученные|знания|облегчают|дальнейшее|обучение|программированию")</f>
        <v>atata|oding|atatalab|представляет|собой|универсальный|набор|для|изучения|основ|программирования|ключает|себя|робота|блоки|программирования|различные|аксессуары|для|создания|множества|увлекательных|проектов|рограмма|для|робота|создается|используя|физические|программные|блоки|чащиеся|используют|никакие|дисплеи|тем|самым|защищают|свои|глаза|синего|излучения|мониторов|абор|обучает|основам|алгоритмического|мышления|полученные|знания|облегчают|дальнейшее|обучение|программированию</v>
      </c>
      <c r="I981" s="1"/>
      <c r="J981" s="1"/>
    </row>
    <row r="982" spans="1:10" ht="12.75" x14ac:dyDescent="0.2">
      <c r="A982" s="8" t="s">
        <v>715</v>
      </c>
      <c r="B982" s="7" t="s">
        <v>714</v>
      </c>
      <c r="C982" s="7" t="s">
        <v>713</v>
      </c>
      <c r="D982" s="6">
        <v>27900</v>
      </c>
      <c r="E982" s="5">
        <v>1</v>
      </c>
      <c r="F982" s="4" t="str">
        <f ca="1">IFERROR(__xludf.DUMMYFUNCTION("LOWER(REGEXREPLACE(B982&amp;"" ""&amp;C982,""[^а-яa-z0-9 ]"","" ""))")," hokan  he  odestar of the  ast  ужикова     перевод  санова    ")</f>
        <v xml:space="preserve"> hokan  he  odestar of the  ast  ужикова     перевод  санова    </v>
      </c>
      <c r="G982" s="4" t="str">
        <f ca="1">IFERROR(__xludf.DUMMYFUNCTION("TEXTJOIN(""|"",TRUE,UNIQUE(FILTER(SPLIT(F982,"" ""),LEN(SPLIT(F982,"" ""))&gt;2)))"),"hokan|odestar|the|ast|ужикова|перевод|санова")</f>
        <v>hokan|odestar|the|ast|ужикова|перевод|санова</v>
      </c>
      <c r="I982" s="1"/>
      <c r="J982" s="1"/>
    </row>
    <row r="983" spans="1:10" ht="25.5" x14ac:dyDescent="0.2">
      <c r="A983" s="8" t="s">
        <v>712</v>
      </c>
      <c r="B983" s="7" t="s">
        <v>711</v>
      </c>
      <c r="C983" s="7" t="s">
        <v>710</v>
      </c>
      <c r="D983" s="6">
        <v>285000</v>
      </c>
      <c r="E983" s="5">
        <v>10</v>
      </c>
      <c r="F983" s="4" t="str">
        <f ca="1">IFERROR(__xludf.DUMMYFUNCTION("LOWER(REGEXREPLACE(B983&amp;"" ""&amp;C983,""[^а-яa-z0-9 ]"","" ""))"),"      набор для конструирования  азвивающий набор предназначен для освоения основ инженерного мышления  конструирования и командной работы   спользуется в образовательной деятельности детей дошкольного возраста ")</f>
        <v xml:space="preserve">      набор для конструирования  азвивающий набор предназначен для освоения основ инженерного мышления  конструирования и командной работы   спользуется в образовательной деятельности детей дошкольного возраста </v>
      </c>
      <c r="G983" s="4" t="str">
        <f ca="1">IFERROR(__xludf.DUMMYFUNCTION("TEXTJOIN(""|"",TRUE,UNIQUE(FILTER(SPLIT(F983,"" ""),LEN(SPLIT(F983,"" ""))&gt;2)))"),"набор|для|конструирования|азвивающий|набор|предназначен|для|освоения|основ|инженерного|мышления|конструирования|командной|работы|спользуется|образовательной|деятельности|детей|дошкольного|возраста")</f>
        <v>набор|для|конструирования|азвивающий|набор|предназначен|для|освоения|основ|инженерного|мышления|конструирования|командной|работы|спользуется|образовательной|деятельности|детей|дошкольного|возраста</v>
      </c>
      <c r="I983" s="1"/>
      <c r="J983" s="1"/>
    </row>
    <row r="984" spans="1:10" ht="127.5" x14ac:dyDescent="0.2">
      <c r="A984" s="8" t="s">
        <v>709</v>
      </c>
      <c r="B984" s="7" t="s">
        <v>708</v>
      </c>
      <c r="C984" s="7" t="s">
        <v>707</v>
      </c>
      <c r="D984" s="6">
        <v>158100</v>
      </c>
      <c r="E984" s="5">
        <v>20</v>
      </c>
      <c r="F984" s="4" t="str">
        <f ca="1">IFERROR(__xludf.DUMMYFUNCTION("LOWER(REGEXREPLACE(B984&amp;"" ""&amp;C984,""[^а-яa-z0-9 ]"","" ""))")," ale  ot  ale  ot  ro   это новейшая разработка от             то интерактивный робот  сочетающий в себе обучение в игровой форме  способствующий развитию креативности  критического мышления и навыков поиска решения проблем   ркие и удобные в использовани"&amp;"и модули помогают разнообразить вид заданий что очень важно для сохранения концентрации у детей   илый и интуитивно понятный дизайн способен покорить внимание каждого ребенка ")</f>
        <v xml:space="preserve"> ale  ot  ale  ot  ro   это новейшая разработка от             то интерактивный робот  сочетающий в себе обучение в игровой форме  способствующий развитию креативности  критического мышления и навыков поиска решения проблем   ркие и удобные в использовании модули помогают разнообразить вид заданий что очень важно для сохранения концентрации у детей   илый и интуитивно понятный дизайн способен покорить внимание каждого ребенка </v>
      </c>
      <c r="G984" s="4" t="str">
        <f ca="1">IFERROR(__xludf.DUMMYFUNCTION("TEXTJOIN(""|"",TRUE,UNIQUE(FILTER(SPLIT(F984,"" ""),LEN(SPLIT(F984,"" ""))&gt;2)))"),"ale|ale|это|новейшая|разработка|интерактивный|робот|сочетающий|себе|обучение|игровой|форме|способствующий|развитию|креативности|критического|мышления|навыков|поиска|решения|проблем|ркие|удобные|использовании|модули|помогают|разнообразить|вид|заданий|что|о"&amp;"чень|важно|для|сохранения|концентрации|детей|илый|интуитивно|понятный|дизайн|способен|покорить|внимание|каждого|ребенка")</f>
        <v>ale|ale|это|новейшая|разработка|интерактивный|робот|сочетающий|себе|обучение|игровой|форме|способствующий|развитию|креативности|критического|мышления|навыков|поиска|решения|проблем|ркие|удобные|использовании|модули|помогают|разнообразить|вид|заданий|что|очень|важно|для|сохранения|концентрации|детей|илый|интуитивно|понятный|дизайн|способен|покорить|внимание|каждого|ребенка</v>
      </c>
      <c r="I984" s="1"/>
      <c r="J984" s="1"/>
    </row>
    <row r="985" spans="1:10" ht="38.25" x14ac:dyDescent="0.2">
      <c r="A985" s="8" t="s">
        <v>706</v>
      </c>
      <c r="B985" s="7" t="s">
        <v>705</v>
      </c>
      <c r="C985" s="7" t="s">
        <v>704</v>
      </c>
      <c r="D985" s="6">
        <v>2500</v>
      </c>
      <c r="E985" s="5">
        <v>5</v>
      </c>
      <c r="F985" s="4" t="str">
        <f ca="1">IFERROR(__xludf.DUMMYFUNCTION("LOWER(REGEXREPLACE(B985&amp;"" ""&amp;C985,""[^а-яa-z0-9 ]"","" ""))")," емонстрационные картинки   оловные уборы   абор демонстрационных картинок используется для наглядного ознакомления с видами головных уборов   аждая карточка содержит изображение и текстовую информацию на обороте   азмер карточек   не менее 174 220 мм   р"&amp;"именяются при рассматривании и обсуждении ")</f>
        <v xml:space="preserve"> емонстрационные картинки   оловные уборы   абор демонстрационных картинок используется для наглядного ознакомления с видами головных уборов   аждая карточка содержит изображение и текстовую информацию на обороте   азмер карточек   не менее 174 220 мм   рименяются при рассматривании и обсуждении </v>
      </c>
      <c r="G985" s="4" t="str">
        <f ca="1">IFERROR(__xludf.DUMMYFUNCTION("TEXTJOIN(""|"",TRUE,UNIQUE(FILTER(SPLIT(F985,"" ""),LEN(SPLIT(F985,"" ""))&gt;2)))"),"емонстрационные|картинки|оловные|уборы|абор|демонстрационных|картинок|используется|для|наглядного|ознакомления|видами|головных|уборов|аждая|карточка|содержит|изображение|текстовую|информацию|обороте|азмер|карточек|менее|174|220|рименяются|при|рассматриван"&amp;"ии|обсуждении")</f>
        <v>емонстрационные|картинки|оловные|уборы|абор|демонстрационных|картинок|используется|для|наглядного|ознакомления|видами|головных|уборов|аждая|карточка|содержит|изображение|текстовую|информацию|обороте|азмер|карточек|менее|174|220|рименяются|при|рассматривании|обсуждении</v>
      </c>
      <c r="I985" s="1"/>
      <c r="J985" s="1"/>
    </row>
    <row r="986" spans="1:10" ht="63.75" x14ac:dyDescent="0.2">
      <c r="A986" s="8" t="s">
        <v>703</v>
      </c>
      <c r="B986" s="7" t="s">
        <v>702</v>
      </c>
      <c r="C986" s="7" t="s">
        <v>701</v>
      </c>
      <c r="D986" s="6">
        <v>57000</v>
      </c>
      <c r="E986" s="5">
        <v>20</v>
      </c>
      <c r="F986" s="4" t="str">
        <f ca="1">IFERROR(__xludf.DUMMYFUNCTION("LOWER(REGEXREPLACE(B986&amp;"" ""&amp;C986,""[^а-яa-z0-9 ]"","" ""))")," ale map  гровое программируемое поле  предназначенное для работы с интерактивным роботом  ale  ot  ro   спользуется для построения маршрутов  выполнения алгоритмических заданий и моделирования различных игровых ситуаций   озволяет детям осваивать основы "&amp;"программирования  развивать логическое и пространственное мышление  навыки планирования и решения задач   оле имеет разметку для перемещения робота и подходит для индивидуальной и групповой работы в образовательной среде ")</f>
        <v xml:space="preserve"> ale map  гровое программируемое поле  предназначенное для работы с интерактивным роботом  ale  ot  ro   спользуется для построения маршрутов  выполнения алгоритмических заданий и моделирования различных игровых ситуаций   озволяет детям осваивать основы программирования  развивать логическое и пространственное мышление  навыки планирования и решения задач   оле имеет разметку для перемещения робота и подходит для индивидуальной и групповой работы в образовательной среде </v>
      </c>
      <c r="G986" s="4" t="str">
        <f ca="1">IFERROR(__xludf.DUMMYFUNCTION("TEXTJOIN(""|"",TRUE,UNIQUE(FILTER(SPLIT(F986,"" ""),LEN(SPLIT(F986,"" ""))&gt;2)))"),"ale|map|гровое|программируемое|поле|предназначенное|для|работы|интерактивным|роботом|ale|спользуется|для|построения|маршрутов|выполнения|алгоритмических|заданий|моделирования|различных|игровых|ситуаций|озволяет|детям|осваивать|основы|программирования|разв"&amp;"ивать|логическое|пространственное|мышление|навыки|планирования|решения|задач|оле|имеет|разметку|для|перемещения|робота|подходит|для|индивидуальной|групповой|работы|образовательной|среде")</f>
        <v>ale|map|гровое|программируемое|поле|предназначенное|для|работы|интерактивным|роботом|ale|спользуется|для|построения|маршрутов|выполнения|алгоритмических|заданий|моделирования|различных|игровых|ситуаций|озволяет|детям|осваивать|основы|программирования|развивать|логическое|пространственное|мышление|навыки|планирования|решения|задач|оле|имеет|разметку|для|перемещения|робота|подходит|для|индивидуальной|групповой|работы|образовательной|среде</v>
      </c>
      <c r="I986" s="1"/>
      <c r="J986" s="1"/>
    </row>
    <row r="987" spans="1:10" ht="12.75" x14ac:dyDescent="0.2">
      <c r="A987" s="8" t="s">
        <v>700</v>
      </c>
      <c r="B987" s="7" t="s">
        <v>699</v>
      </c>
      <c r="C987" s="7" t="s">
        <v>698</v>
      </c>
      <c r="D987" s="6">
        <v>29300</v>
      </c>
      <c r="E987" s="5">
        <v>1</v>
      </c>
      <c r="F987" s="4" t="str">
        <f ca="1">IFERROR(__xludf.DUMMYFUNCTION("LOWER(REGEXREPLACE(B987&amp;"" ""&amp;C987,""[^а-яa-z0-9 ]"","" ""))")," he  reat  bai     ужикова      айрамбаева")</f>
        <v xml:space="preserve"> he  reat  bai     ужикова      айрамбаева</v>
      </c>
      <c r="G987" s="4" t="str">
        <f ca="1">IFERROR(__xludf.DUMMYFUNCTION("TEXTJOIN(""|"",TRUE,UNIQUE(FILTER(SPLIT(F987,"" ""),LEN(SPLIT(F987,"" ""))&gt;2)))"),"reat|bai|ужикова|айрамбаева")</f>
        <v>reat|bai|ужикова|айрамбаева</v>
      </c>
      <c r="I987" s="1"/>
      <c r="J987" s="1"/>
    </row>
    <row r="988" spans="1:10" ht="12.75" x14ac:dyDescent="0.2">
      <c r="A988" s="8" t="s">
        <v>697</v>
      </c>
      <c r="B988" s="7" t="s">
        <v>696</v>
      </c>
      <c r="C988" s="7" t="s">
        <v>695</v>
      </c>
      <c r="D988" s="6">
        <v>19900</v>
      </c>
      <c r="E988" s="5">
        <v>1</v>
      </c>
      <c r="F988" s="4" t="str">
        <f ca="1">IFERROR(__xludf.DUMMYFUNCTION("LOWER(REGEXREPLACE(B988&amp;"" ""&amp;C988,""[^а-яa-z0-9 ]"","" ""))")," elcome   auryz      спанова")</f>
        <v xml:space="preserve"> elcome   auryz      спанова</v>
      </c>
      <c r="G988" s="4" t="str">
        <f ca="1">IFERROR(__xludf.DUMMYFUNCTION("TEXTJOIN(""|"",TRUE,UNIQUE(FILTER(SPLIT(F988,"" ""),LEN(SPLIT(F988,"" ""))&gt;2)))"),"elcome|auryz|спанова")</f>
        <v>elcome|auryz|спанова</v>
      </c>
      <c r="I988" s="1"/>
      <c r="J988" s="1"/>
    </row>
    <row r="989" spans="1:10" ht="76.5" x14ac:dyDescent="0.2">
      <c r="A989" s="8" t="s">
        <v>694</v>
      </c>
      <c r="B989" s="7" t="s">
        <v>693</v>
      </c>
      <c r="C989" s="7" t="s">
        <v>692</v>
      </c>
      <c r="D989" s="6">
        <v>298300</v>
      </c>
      <c r="E989" s="5">
        <v>4</v>
      </c>
      <c r="F989" s="4" t="str">
        <f ca="1">IFERROR(__xludf.DUMMYFUNCTION("LOWER(REGEXREPLACE(B989&amp;"" ""&amp;C989,""[^а-яa-z0-9 ]"","" ""))"),"                                                  омплексный образовательный набор  предназначенный для использования в условиях дошкольного учреждения   спользуется для организации познавательной  исследовательской и конструкторской деятельности детей   "&amp;"пособствует развитию инженерного мышления  логики  воображения  навыков экспериментирования  командной работы и решения задач   ключает элементы для конструирования  моделирования  простых опытов и       занятий   атериалы набора безопасны для детей  адап"&amp;"тированы для индивидуальной и групповой работы  соответствуют требованиям эксплуатации в     ")</f>
        <v xml:space="preserve">                                                  омплексный образовательный набор  предназначенный для использования в условиях дошкольного учреждения   спользуется для организации познавательной  исследовательской и конструкторской деятельности детей   пособствует развитию инженерного мышления  логики  воображения  навыков экспериментирования  командной работы и решения задач   ключает элементы для конструирования  моделирования  простых опытов и       занятий   атериалы набора безопасны для детей  адаптированы для индивидуальной и групповой работы  соответствуют требованиям эксплуатации в     </v>
      </c>
      <c r="G989" s="4" t="str">
        <f ca="1">IFERROR(__xludf.DUMMYFUNCTION("TEXTJOIN(""|"",TRUE,UNIQUE(FILTER(SPLIT(F989,"" ""),LEN(SPLIT(F989,"" ""))&gt;2)))"),"омплексный|образовательный|набор|предназначенный|для|использования|условиях|дошкольного|учреждения|спользуется|для|организации|познавательной|исследовательской|конструкторской|деятельности|детей|пособствует|развитию|инженерного|мышления|логики|воображения"&amp;"|навыков|экспериментирования|командной|работы|решения|задач|ключает|элементы|для|конструирования|моделирования|простых|опытов|занятий|атериалы|набора|безопасны|для|детей|адаптированы|для|индивидуальной|групповой|работы|соответствуют|требованиям|эксплуатац"&amp;"ии")</f>
        <v>омплексный|образовательный|набор|предназначенный|для|использования|условиях|дошкольного|учреждения|спользуется|для|организации|познавательной|исследовательской|конструкторской|деятельности|детей|пособствует|развитию|инженерного|мышления|логики|воображения|навыков|экспериментирования|командной|работы|решения|задач|ключает|элементы|для|конструирования|моделирования|простых|опытов|занятий|атериалы|набора|безопасны|для|детей|адаптированы|для|индивидуальной|групповой|работы|соответствуют|требованиям|эксплуатации</v>
      </c>
      <c r="I989" s="1"/>
      <c r="J989" s="1"/>
    </row>
    <row r="990" spans="1:10" ht="25.5" x14ac:dyDescent="0.2">
      <c r="A990" s="8" t="s">
        <v>691</v>
      </c>
      <c r="B990" s="7" t="s">
        <v>690</v>
      </c>
      <c r="C990" s="7" t="s">
        <v>689</v>
      </c>
      <c r="D990" s="6">
        <v>241500</v>
      </c>
      <c r="E990" s="5">
        <v>4</v>
      </c>
      <c r="F990" s="4" t="str">
        <f ca="1">IFERROR(__xludf.DUMMYFUNCTION("LOWER(REGEXREPLACE(B990&amp;"" ""&amp;C990,""[^а-яa-z0-9 ]"","" ""))")," каф медицинский  каф медицинский двухстворчатый из полипропилена  размер 800х400х1800 мм                           2 1780   ")</f>
        <v xml:space="preserve"> каф медицинский  каф медицинский двухстворчатый из полипропилена  размер 800х400х1800 мм                           2 1780   </v>
      </c>
      <c r="G990" s="4" t="str">
        <f ca="1">IFERROR(__xludf.DUMMYFUNCTION("TEXTJOIN(""|"",TRUE,UNIQUE(FILTER(SPLIT(F990,"" ""),LEN(SPLIT(F990,"" ""))&gt;2)))"),"каф|медицинский|каф|медицинский|двухстворчатый|полипропилена|размер|800х400х1800|1780")</f>
        <v>каф|медицинский|каф|медицинский|двухстворчатый|полипропилена|размер|800х400х1800|1780</v>
      </c>
      <c r="I990" s="1"/>
      <c r="J990" s="1"/>
    </row>
    <row r="991" spans="1:10" ht="12.75" x14ac:dyDescent="0.2">
      <c r="A991" s="8" t="s">
        <v>688</v>
      </c>
      <c r="B991" s="7" t="s">
        <v>687</v>
      </c>
      <c r="C991" s="7" t="s">
        <v>686</v>
      </c>
      <c r="D991" s="6">
        <v>15300</v>
      </c>
      <c r="E991" s="5">
        <v>7</v>
      </c>
      <c r="F991" s="4" t="str">
        <f ca="1">IFERROR(__xludf.DUMMYFUNCTION("LOWER(REGEXREPLACE(B991&amp;"" ""&amp;C991,""[^а-яa-z0-9 ]"","" ""))")," есконтактный инфракрасный термометр  есконтактный термометр идеален для измерения температуры тела у взрослых  детей и новорожденных")</f>
        <v xml:space="preserve"> есконтактный инфракрасный термометр  есконтактный термометр идеален для измерения температуры тела у взрослых  детей и новорожденных</v>
      </c>
      <c r="G991" s="4" t="str">
        <f ca="1">IFERROR(__xludf.DUMMYFUNCTION("TEXTJOIN(""|"",TRUE,UNIQUE(FILTER(SPLIT(F991,"" ""),LEN(SPLIT(F991,"" ""))&gt;2)))"),"есконтактный|инфракрасный|термометр|есконтактный|термометр|идеален|для|измерения|температуры|тела|взрослых|детей|новорожденных")</f>
        <v>есконтактный|инфракрасный|термометр|есконтактный|термометр|идеален|для|измерения|температуры|тела|взрослых|детей|новорожденных</v>
      </c>
      <c r="I991" s="1"/>
      <c r="J991" s="1"/>
    </row>
    <row r="992" spans="1:10" ht="12.75" x14ac:dyDescent="0.2">
      <c r="A992" s="8" t="s">
        <v>685</v>
      </c>
      <c r="B992" s="7" t="s">
        <v>684</v>
      </c>
      <c r="C992" s="7" t="s">
        <v>683</v>
      </c>
      <c r="D992" s="6">
        <v>71500</v>
      </c>
      <c r="E992" s="5">
        <v>1</v>
      </c>
      <c r="F992" s="4" t="str">
        <f ca="1">IFERROR(__xludf.DUMMYFUNCTION("LOWER(REGEXREPLACE(B992&amp;"" ""&amp;C992,""[^а-яa-z0-9 ]"","" ""))")," остомер механический   остомер механический 400х398х2360")</f>
        <v xml:space="preserve"> остомер механический   остомер механический 400х398х2360</v>
      </c>
      <c r="G992" s="4" t="str">
        <f ca="1">IFERROR(__xludf.DUMMYFUNCTION("TEXTJOIN(""|"",TRUE,UNIQUE(FILTER(SPLIT(F992,"" ""),LEN(SPLIT(F992,"" ""))&gt;2)))"),"остомер|механический|остомер|механический|400х398х2360")</f>
        <v>остомер|механический|остомер|механический|400х398х2360</v>
      </c>
      <c r="I992" s="1"/>
      <c r="J992" s="1"/>
    </row>
    <row r="993" spans="1:10" ht="25.5" x14ac:dyDescent="0.2">
      <c r="A993" s="8" t="s">
        <v>682</v>
      </c>
      <c r="B993" s="7" t="s">
        <v>681</v>
      </c>
      <c r="C993" s="7" t="s">
        <v>680</v>
      </c>
      <c r="D993" s="6">
        <v>3600</v>
      </c>
      <c r="E993" s="5">
        <v>1</v>
      </c>
      <c r="F993" s="4" t="str">
        <f ca="1">IFERROR(__xludf.DUMMYFUNCTION("LOWER(REGEXREPLACE(B993&amp;"" ""&amp;C993,""[^а-яa-z0-9 ]"","" ""))")," аблица для проверки зрения оптометрические таблицы с уменьшающимися символами по строкам для определения остроты зрения  где расстояние до объекта и его размер сопоставляются  показывая остроту зрения    0 1  1 0 и т д  ")</f>
        <v xml:space="preserve"> аблица для проверки зрения оптометрические таблицы с уменьшающимися символами по строкам для определения остроты зрения  где расстояние до объекта и его размер сопоставляются  показывая остроту зрения    0 1  1 0 и т д  </v>
      </c>
      <c r="G993" s="4" t="str">
        <f ca="1">IFERROR(__xludf.DUMMYFUNCTION("TEXTJOIN(""|"",TRUE,UNIQUE(FILTER(SPLIT(F993,"" ""),LEN(SPLIT(F993,"" ""))&gt;2)))"),"аблица|для|проверки|зрения|оптометрические|таблицы|уменьшающимися|символами|строкам|для|определения|остроты|зрения|где|расстояние|объекта|его|размер|сопоставляются|показывая|остроту|зрения")</f>
        <v>аблица|для|проверки|зрения|оптометрические|таблицы|уменьшающимися|символами|строкам|для|определения|остроты|зрения|где|расстояние|объекта|его|размер|сопоставляются|показывая|остроту|зрения</v>
      </c>
      <c r="I993" s="1"/>
      <c r="J993" s="1"/>
    </row>
    <row r="994" spans="1:10" ht="51" x14ac:dyDescent="0.2">
      <c r="A994" s="8" t="s">
        <v>679</v>
      </c>
      <c r="B994" s="7" t="s">
        <v>678</v>
      </c>
      <c r="C994" s="7" t="s">
        <v>677</v>
      </c>
      <c r="D994" s="6">
        <v>6700</v>
      </c>
      <c r="E994" s="5">
        <v>5</v>
      </c>
      <c r="F994" s="4" t="str">
        <f ca="1">IFERROR(__xludf.DUMMYFUNCTION("LOWER(REGEXREPLACE(B994&amp;"" ""&amp;C994,""[^а-яa-z0-9 ]"","" ""))")," емонстрационные картинки   рибы съедобные и несъедобные   абор демонстрационных картинок используется для наглядного ознакомления с видами грибов и их классификацией   атериалы применяются при рассматривании изображений и обсуждении отличительных признак"&amp;"ов    набор входит не менее 16 демонстрационных картинок размером около 173 220 мм и 16 раздаточных карточек ")</f>
        <v xml:space="preserve"> емонстрационные картинки   рибы съедобные и несъедобные   абор демонстрационных картинок используется для наглядного ознакомления с видами грибов и их классификацией   атериалы применяются при рассматривании изображений и обсуждении отличительных признаков    набор входит не менее 16 демонстрационных картинок размером около 173 220 мм и 16 раздаточных карточек </v>
      </c>
      <c r="G994" s="4" t="str">
        <f ca="1">IFERROR(__xludf.DUMMYFUNCTION("TEXTJOIN(""|"",TRUE,UNIQUE(FILTER(SPLIT(F994,"" ""),LEN(SPLIT(F994,"" ""))&gt;2)))"),"емонстрационные|картинки|рибы|съедобные|несъедобные|абор|демонстрационных|картинок|используется|для|наглядного|ознакомления|видами|грибов|классификацией|атериалы|применяются|при|рассматривании|изображений|обсуждении|отличительных|признаков|набор|входит|ме"&amp;"нее|демонстрационных|картинок|размером|около|173|220|раздаточных|карточек")</f>
        <v>емонстрационные|картинки|рибы|съедобные|несъедобные|абор|демонстрационных|картинок|используется|для|наглядного|ознакомления|видами|грибов|классификацией|атериалы|применяются|при|рассматривании|изображений|обсуждении|отличительных|признаков|набор|входит|менее|демонстрационных|картинок|размером|около|173|220|раздаточных|карточек</v>
      </c>
      <c r="I994" s="1"/>
      <c r="J994" s="1"/>
    </row>
    <row r="995" spans="1:10" ht="12.75" x14ac:dyDescent="0.2">
      <c r="A995" s="8" t="s">
        <v>676</v>
      </c>
      <c r="B995" s="7" t="s">
        <v>675</v>
      </c>
      <c r="C995" s="7" t="s">
        <v>675</v>
      </c>
      <c r="D995" s="6">
        <v>1000</v>
      </c>
      <c r="E995" s="5">
        <v>1</v>
      </c>
      <c r="F995" s="4" t="str">
        <f ca="1">IFERROR(__xludf.DUMMYFUNCTION("LOWER(REGEXREPLACE(B995&amp;"" ""&amp;C995,""[^а-яa-z0-9 ]"","" ""))")," змерительная лента  змерительная лента")</f>
        <v xml:space="preserve"> змерительная лента  змерительная лента</v>
      </c>
      <c r="G995" s="4" t="str">
        <f ca="1">IFERROR(__xludf.DUMMYFUNCTION("TEXTJOIN(""|"",TRUE,UNIQUE(FILTER(SPLIT(F995,"" ""),LEN(SPLIT(F995,"" ""))&gt;2)))"),"змерительная|лента|змерительная|лента")</f>
        <v>змерительная|лента|змерительная|лента</v>
      </c>
      <c r="I995" s="1"/>
      <c r="J995" s="1"/>
    </row>
    <row r="996" spans="1:10" ht="38.25" x14ac:dyDescent="0.2">
      <c r="A996" s="8" t="s">
        <v>674</v>
      </c>
      <c r="B996" s="7" t="s">
        <v>673</v>
      </c>
      <c r="C996" s="7" t="s">
        <v>672</v>
      </c>
      <c r="D996" s="6">
        <v>17800</v>
      </c>
      <c r="E996" s="5">
        <v>2</v>
      </c>
      <c r="F996" s="4" t="str">
        <f ca="1">IFERROR(__xludf.DUMMYFUNCTION("LOWER(REGEXREPLACE(B996&amp;"" ""&amp;C996,""[^а-яa-z0-9 ]"","" ""))")," едицинские халаты защитная одежда с требованиями к гигиеничности  антибактериальность  гипоаллергенность   комфорту  воздухопроницаемость  эластичность   практичности  износостойкость  легкий уход  устойчивость к пятнам  влагоотталкивающие пропитки   фун"&amp;"кциональности  карманы  удобный крой  и презентабельности")</f>
        <v xml:space="preserve"> едицинские халаты защитная одежда с требованиями к гигиеничности  антибактериальность  гипоаллергенность   комфорту  воздухопроницаемость  эластичность   практичности  износостойкость  легкий уход  устойчивость к пятнам  влагоотталкивающие пропитки   функциональности  карманы  удобный крой  и презентабельности</v>
      </c>
      <c r="G996" s="4" t="str">
        <f ca="1">IFERROR(__xludf.DUMMYFUNCTION("TEXTJOIN(""|"",TRUE,UNIQUE(FILTER(SPLIT(F996,"" ""),LEN(SPLIT(F996,"" ""))&gt;2)))"),"едицинские|халаты|защитная|одежда|требованиями|гигиеничности|антибактериальность|гипоаллергенность|комфорту|воздухопроницаемость|эластичность|практичности|износостойкость|легкий|уход|устойчивость|пятнам|влагоотталкивающие|пропитки|функциональности|карманы"&amp;"|удобный|крой|презентабельности")</f>
        <v>едицинские|халаты|защитная|одежда|требованиями|гигиеничности|антибактериальность|гипоаллергенность|комфорту|воздухопроницаемость|эластичность|практичности|износостойкость|легкий|уход|устойчивость|пятнам|влагоотталкивающие|пропитки|функциональности|карманы|удобный|крой|презентабельности</v>
      </c>
      <c r="I996" s="1"/>
      <c r="J996" s="1"/>
    </row>
    <row r="997" spans="1:10" ht="12.75" x14ac:dyDescent="0.2">
      <c r="A997" s="8" t="s">
        <v>671</v>
      </c>
      <c r="B997" s="7" t="s">
        <v>670</v>
      </c>
      <c r="C997" s="7" t="s">
        <v>669</v>
      </c>
      <c r="D997" s="6">
        <v>11400</v>
      </c>
      <c r="E997" s="5">
        <v>2</v>
      </c>
      <c r="F997" s="4" t="str">
        <f ca="1">IFERROR(__xludf.DUMMYFUNCTION("LOWER(REGEXREPLACE(B997&amp;"" ""&amp;C997,""[^а-яa-z0-9 ]"","" ""))")," ровать для кукол  иниатюрная кровать для кукол с покрывалом   спользуется в сюжетно ролевых и бытовых играх ")</f>
        <v xml:space="preserve"> ровать для кукол  иниатюрная кровать для кукол с покрывалом   спользуется в сюжетно ролевых и бытовых играх </v>
      </c>
      <c r="G997" s="4" t="str">
        <f ca="1">IFERROR(__xludf.DUMMYFUNCTION("TEXTJOIN(""|"",TRUE,UNIQUE(FILTER(SPLIT(F997,"" ""),LEN(SPLIT(F997,"" ""))&gt;2)))"),"ровать|для|кукол|иниатюрная|кровать|для|кукол|покрывалом|спользуется|сюжетно|ролевых|бытовых|играх")</f>
        <v>ровать|для|кукол|иниатюрная|кровать|для|кукол|покрывалом|спользуется|сюжетно|ролевых|бытовых|играх</v>
      </c>
      <c r="I997" s="1"/>
      <c r="J997" s="1"/>
    </row>
    <row r="998" spans="1:10" ht="63.75" x14ac:dyDescent="0.2">
      <c r="A998" s="8" t="s">
        <v>668</v>
      </c>
      <c r="B998" s="7" t="s">
        <v>667</v>
      </c>
      <c r="C998" s="7" t="s">
        <v>666</v>
      </c>
      <c r="D998" s="6">
        <v>3500</v>
      </c>
      <c r="E998" s="5">
        <v>7</v>
      </c>
      <c r="F998" s="4" t="str">
        <f ca="1">IFERROR(__xludf.DUMMYFUNCTION("LOWER(REGEXREPLACE(B998&amp;"" ""&amp;C998,""[^а-яa-z0-9 ]"","" ""))")," озаика настольная развивающая  астольная мозаика предназначена для составления узоров и изображений по образцу и по замыслу реб нка   спользуется для развития мелкой моторики  зрительно пространственного восприятия  усидчивости и умения действовать по ин"&amp;"струкции   омплект включает игровое поле и набор фишек элементов не менее 100 шт   что обеспечивает разнообразие заданий   атериал деталей   безопасный пластик  устойчивый к частому использованию и влажной обработке ")</f>
        <v xml:space="preserve"> озаика настольная развивающая  астольная мозаика предназначена для составления узоров и изображений по образцу и по замыслу реб нка   спользуется для развития мелкой моторики  зрительно пространственного восприятия  усидчивости и умения действовать по инструкции   омплект включает игровое поле и набор фишек элементов не менее 100 шт   что обеспечивает разнообразие заданий   атериал деталей   безопасный пластик  устойчивый к частому использованию и влажной обработке </v>
      </c>
      <c r="G998" s="4" t="str">
        <f ca="1">IFERROR(__xludf.DUMMYFUNCTION("TEXTJOIN(""|"",TRUE,UNIQUE(FILTER(SPLIT(F998,"" ""),LEN(SPLIT(F998,"" ""))&gt;2)))"),"озаика|настольная|развивающая|астольная|мозаика|предназначена|для|составления|узоров|изображений|образцу|замыслу|реб|нка|спользуется|для|развития|мелкой|моторики|зрительно|пространственного|восприятия|усидчивости|умения|действовать|инструкции|омплект|вклю"&amp;"чает|игровое|поле|набор|фишек|элементов|менее|100|что|обеспечивает|разнообразие|заданий|атериал|деталей|безопасный|пластик|устойчивый|частому|использованию|влажной|обработке")</f>
        <v>озаика|настольная|развивающая|астольная|мозаика|предназначена|для|составления|узоров|изображений|образцу|замыслу|реб|нка|спользуется|для|развития|мелкой|моторики|зрительно|пространственного|восприятия|усидчивости|умения|действовать|инструкции|омплект|включает|игровое|поле|набор|фишек|элементов|менее|100|что|обеспечивает|разнообразие|заданий|атериал|деталей|безопасный|пластик|устойчивый|частому|использованию|влажной|обработке</v>
      </c>
      <c r="I998" s="1"/>
      <c r="J998" s="1"/>
    </row>
    <row r="999" spans="1:10" ht="25.5" x14ac:dyDescent="0.2">
      <c r="A999" s="8" t="s">
        <v>665</v>
      </c>
      <c r="B999" s="7" t="s">
        <v>664</v>
      </c>
      <c r="C999" s="7" t="s">
        <v>663</v>
      </c>
      <c r="D999" s="6">
        <v>805800</v>
      </c>
      <c r="E999" s="5">
        <v>1</v>
      </c>
      <c r="F999" s="4" t="str">
        <f ca="1">IFERROR(__xludf.DUMMYFUNCTION("LOWER(REGEXREPLACE(B999&amp;"" ""&amp;C999,""[^а-яa-z0-9 ]"","" ""))")," олодильник фармацевтический  олодильник предназначен для хранения медикаментов с соблюдением температурного режима  установленного санитарными требованиями ")</f>
        <v xml:space="preserve"> олодильник фармацевтический  олодильник предназначен для хранения медикаментов с соблюдением температурного режима  установленного санитарными требованиями </v>
      </c>
      <c r="G999" s="4" t="str">
        <f ca="1">IFERROR(__xludf.DUMMYFUNCTION("TEXTJOIN(""|"",TRUE,UNIQUE(FILTER(SPLIT(F999,"" ""),LEN(SPLIT(F999,"" ""))&gt;2)))"),"олодильник|фармацевтический|олодильник|предназначен|для|хранения|медикаментов|соблюдением|температурного|режима|установленного|санитарными|требованиями")</f>
        <v>олодильник|фармацевтический|олодильник|предназначен|для|хранения|медикаментов|соблюдением|температурного|режима|установленного|санитарными|требованиями</v>
      </c>
      <c r="I999" s="1"/>
      <c r="J999" s="1"/>
    </row>
    <row r="1000" spans="1:10" ht="38.25" x14ac:dyDescent="0.2">
      <c r="A1000" s="8" t="s">
        <v>662</v>
      </c>
      <c r="B1000" s="7" t="s">
        <v>661</v>
      </c>
      <c r="C1000" s="7" t="s">
        <v>660</v>
      </c>
      <c r="D1000" s="6">
        <v>6300</v>
      </c>
      <c r="E1000" s="5">
        <v>5</v>
      </c>
      <c r="F1000" s="4" t="str">
        <f ca="1">IFERROR(__xludf.DUMMYFUNCTION("LOWER(REGEXREPLACE(B1000&amp;"" ""&amp;C1000,""[^а-яa-z0-9 ]"","" ""))")," емонстрационные картинки   еревья и кустарники   абор демонстрационных картинок предназначен для ознакомления с видами деревьев и кустарников   спользуется при рассматривании изображений и обсуждении внешних признаков растений    комплект входит не менее"&amp;" 16 демонстрационных картинок и 16 раздаточных карточек ")</f>
        <v xml:space="preserve"> емонстрационные картинки   еревья и кустарники   абор демонстрационных картинок предназначен для ознакомления с видами деревьев и кустарников   спользуется при рассматривании изображений и обсуждении внешних признаков растений    комплект входит не менее 16 демонстрационных картинок и 16 раздаточных карточек </v>
      </c>
      <c r="G1000" s="4" t="str">
        <f ca="1">IFERROR(__xludf.DUMMYFUNCTION("TEXTJOIN(""|"",TRUE,UNIQUE(FILTER(SPLIT(F1000,"" ""),LEN(SPLIT(F1000,"" ""))&gt;2)))"),"емонстрационные|картинки|еревья|кустарники|абор|демонстрационных|картинок|предназначен|для|ознакомления|видами|деревьев|кустарников|спользуется|при|рассматривании|изображений|обсуждении|внешних|признаков|растений|комплект|входит|менее|демонстрационных|кар"&amp;"тинок|раздаточных|карточек")</f>
        <v>емонстрационные|картинки|еревья|кустарники|абор|демонстрационных|картинок|предназначен|для|ознакомления|видами|деревьев|кустарников|спользуется|при|рассматривании|изображений|обсуждении|внешних|признаков|растений|комплект|входит|менее|демонстрационных|картинок|раздаточных|карточек</v>
      </c>
      <c r="I1000" s="1"/>
      <c r="J1000" s="1"/>
    </row>
    <row r="1001" spans="1:10" ht="38.25" x14ac:dyDescent="0.2">
      <c r="A1001" s="8" t="s">
        <v>659</v>
      </c>
      <c r="B1001" s="7" t="s">
        <v>658</v>
      </c>
      <c r="C1001" s="7" t="s">
        <v>657</v>
      </c>
      <c r="D1001" s="6">
        <v>6700</v>
      </c>
      <c r="E1001" s="5">
        <v>5</v>
      </c>
      <c r="F1001" s="4" t="str">
        <f ca="1">IFERROR(__xludf.DUMMYFUNCTION("LOWER(REGEXREPLACE(B1001&amp;"" ""&amp;C1001,""[^а-яa-z0-9 ]"","" ""))")," емонстрационные картинки   икие животные   1   емонстрационные картинки используются для наглядного ознакомления с дикими животными   рименяются при рассматривании  классификации и обсуждении внешнего вида животных    набор входит 16 демонстрационных изо"&amp;"бражений и 16 раздаточных карточек ")</f>
        <v xml:space="preserve"> емонстрационные картинки   икие животные   1   емонстрационные картинки используются для наглядного ознакомления с дикими животными   рименяются при рассматривании  классификации и обсуждении внешнего вида животных    набор входит 16 демонстрационных изображений и 16 раздаточных карточек </v>
      </c>
      <c r="G1001" s="4" t="str">
        <f ca="1">IFERROR(__xludf.DUMMYFUNCTION("TEXTJOIN(""|"",TRUE,UNIQUE(FILTER(SPLIT(F1001,"" ""),LEN(SPLIT(F1001,"" ""))&gt;2)))"),"емонстрационные|картинки|икие|животные|емонстрационные|картинки|используются|для|наглядного|ознакомления|дикими|животными|рименяются|при|рассматривании|классификации|обсуждении|внешнего|вида|животных|набор|входит|демонстрационных|изображений|раздаточных|к"&amp;"арточек")</f>
        <v>емонстрационные|картинки|икие|животные|емонстрационные|картинки|используются|для|наглядного|ознакомления|дикими|животными|рименяются|при|рассматривании|классификации|обсуждении|внешнего|вида|животных|набор|входит|демонстрационных|изображений|раздаточных|карточек</v>
      </c>
      <c r="I1001" s="1"/>
      <c r="J1001" s="1"/>
    </row>
    <row r="1002" spans="1:10" ht="12.75" x14ac:dyDescent="0.2">
      <c r="A1002" s="8" t="s">
        <v>656</v>
      </c>
      <c r="B1002" s="7" t="s">
        <v>655</v>
      </c>
      <c r="C1002" s="7" t="s">
        <v>654</v>
      </c>
      <c r="D1002" s="6">
        <v>119000</v>
      </c>
      <c r="E1002" s="5">
        <v>2</v>
      </c>
      <c r="F1002" s="4" t="str">
        <f ca="1">IFERROR(__xludf.DUMMYFUNCTION("LOWER(REGEXREPLACE(B1002&amp;"" ""&amp;C1002,""[^а-яa-z0-9 ]"","" ""))"),"   устройство  ппарат для     терапии   0 12квт   220        60")</f>
        <v xml:space="preserve">   устройство  ппарат для     терапии   0 12квт   220        60</v>
      </c>
      <c r="G1002" s="4" t="str">
        <f ca="1">IFERROR(__xludf.DUMMYFUNCTION("TEXTJOIN(""|"",TRUE,UNIQUE(FILTER(SPLIT(F1002,"" ""),LEN(SPLIT(F1002,"" ""))&gt;2)))"),"устройство|ппарат|для|терапии|12квт|220")</f>
        <v>устройство|ппарат|для|терапии|12квт|220</v>
      </c>
      <c r="I1002" s="1"/>
      <c r="J1002" s="1"/>
    </row>
    <row r="1003" spans="1:10" ht="25.5" x14ac:dyDescent="0.2">
      <c r="A1003" s="8" t="s">
        <v>653</v>
      </c>
      <c r="B1003" s="7" t="s">
        <v>652</v>
      </c>
      <c r="C1003" s="7" t="s">
        <v>651</v>
      </c>
      <c r="D1003" s="6">
        <v>5400</v>
      </c>
      <c r="E1003" s="5">
        <v>1</v>
      </c>
      <c r="F1003" s="4" t="str">
        <f ca="1">IFERROR(__xludf.DUMMYFUNCTION("LOWER(REGEXREPLACE(B1003&amp;"" ""&amp;C1003,""[^а-яa-z0-9 ]"","" ""))")," знакомление с окружающим миром  электронная версия  2   знакомление с окружающим миром   етодическое пособие  электронная версия ")</f>
        <v xml:space="preserve"> знакомление с окружающим миром  электронная версия  2   знакомление с окружающим миром   етодическое пособие  электронная версия </v>
      </c>
      <c r="G1003" s="4" t="str">
        <f ca="1">IFERROR(__xludf.DUMMYFUNCTION("TEXTJOIN(""|"",TRUE,UNIQUE(FILTER(SPLIT(F1003,"" ""),LEN(SPLIT(F1003,"" ""))&gt;2)))"),"знакомление|окружающим|миром|электронная|версия|знакомление|окружающим|миром|етодическое|пособие|электронная|версия")</f>
        <v>знакомление|окружающим|миром|электронная|версия|знакомление|окружающим|миром|етодическое|пособие|электронная|версия</v>
      </c>
      <c r="I1003" s="1"/>
      <c r="J1003" s="1"/>
    </row>
    <row r="1004" spans="1:10" ht="25.5" x14ac:dyDescent="0.2">
      <c r="A1004" s="8" t="s">
        <v>650</v>
      </c>
      <c r="B1004" s="7" t="s">
        <v>649</v>
      </c>
      <c r="C1004" s="7" t="s">
        <v>648</v>
      </c>
      <c r="D1004" s="6">
        <v>4800</v>
      </c>
      <c r="E1004" s="5">
        <v>1</v>
      </c>
      <c r="F1004" s="4" t="str">
        <f ca="1">IFERROR(__xludf.DUMMYFUNCTION("LOWER(REGEXREPLACE(B1004&amp;"" ""&amp;C1004,""[^а-яa-z0-9 ]"","" ""))")," знакомление с окружающим миром  раздаточный материал  2   знакомление с окружающим миром   аздаточный материал")</f>
        <v xml:space="preserve"> знакомление с окружающим миром  раздаточный материал  2   знакомление с окружающим миром   аздаточный материал</v>
      </c>
      <c r="G1004" s="4" t="str">
        <f ca="1">IFERROR(__xludf.DUMMYFUNCTION("TEXTJOIN(""|"",TRUE,UNIQUE(FILTER(SPLIT(F1004,"" ""),LEN(SPLIT(F1004,"" ""))&gt;2)))"),"знакомление|окружающим|миром|раздаточный|материал|знакомление|окружающим|миром|аздаточный|материал")</f>
        <v>знакомление|окружающим|миром|раздаточный|материал|знакомление|окружающим|миром|аздаточный|материал</v>
      </c>
      <c r="I1004" s="1"/>
      <c r="J1004" s="1"/>
    </row>
    <row r="1005" spans="1:10" ht="12.75" x14ac:dyDescent="0.2">
      <c r="A1005" s="8" t="s">
        <v>647</v>
      </c>
      <c r="B1005" s="7" t="s">
        <v>646</v>
      </c>
      <c r="C1005" s="9" t="s">
        <v>645</v>
      </c>
      <c r="D1005" s="6">
        <v>15045</v>
      </c>
      <c r="E1005" s="5">
        <v>61</v>
      </c>
      <c r="F1005" s="4" t="str">
        <f ca="1">IFERROR(__xludf.DUMMYFUNCTION("LOWER(REGEXREPLACE(B1005&amp;"" ""&amp;C1005,""[^а-яa-z0-9 ]"","" ""))")," озатор для жидкого мыла  озатор жидкого мыла")</f>
        <v xml:space="preserve"> озатор для жидкого мыла  озатор жидкого мыла</v>
      </c>
      <c r="G1005" s="4" t="str">
        <f ca="1">IFERROR(__xludf.DUMMYFUNCTION("TEXTJOIN(""|"",TRUE,UNIQUE(FILTER(SPLIT(F1005,"" ""),LEN(SPLIT(F1005,"" ""))&gt;2)))"),"озатор|для|жидкого|мыла|озатор|жидкого|мыла")</f>
        <v>озатор|для|жидкого|мыла|озатор|жидкого|мыла</v>
      </c>
      <c r="I1005" s="1"/>
      <c r="J1005" s="1"/>
    </row>
    <row r="1006" spans="1:10" ht="12.75" x14ac:dyDescent="0.2">
      <c r="A1006" s="8" t="s">
        <v>644</v>
      </c>
      <c r="B1006" s="8" t="s">
        <v>643</v>
      </c>
      <c r="C1006" s="7" t="s">
        <v>642</v>
      </c>
      <c r="D1006" s="6">
        <v>1650200</v>
      </c>
      <c r="E1006" s="5">
        <v>1</v>
      </c>
      <c r="F1006" s="4" t="str">
        <f ca="1">IFERROR(__xludf.DUMMYFUNCTION("LOWER(REGEXREPLACE(B1006&amp;"" ""&amp;C1006,""[^а-яa-z0-9 ]"","" ""))")," ерстак   ерстак для столярных работ и работы с деревом")</f>
        <v xml:space="preserve"> ерстак   ерстак для столярных работ и работы с деревом</v>
      </c>
      <c r="G1006" s="4" t="str">
        <f ca="1">IFERROR(__xludf.DUMMYFUNCTION("TEXTJOIN(""|"",TRUE,UNIQUE(FILTER(SPLIT(F1006,"" ""),LEN(SPLIT(F1006,"" ""))&gt;2)))"),"ерстак|ерстак|для|столярных|работ|работы|деревом")</f>
        <v>ерстак|ерстак|для|столярных|работ|работы|деревом</v>
      </c>
      <c r="I1006" s="1"/>
      <c r="J1006" s="1"/>
    </row>
    <row r="1007" spans="1:10" ht="12.75" x14ac:dyDescent="0.2">
      <c r="A1007" s="8" t="s">
        <v>641</v>
      </c>
      <c r="B1007" s="8" t="s">
        <v>640</v>
      </c>
      <c r="C1007" s="7" t="s">
        <v>639</v>
      </c>
      <c r="D1007" s="6">
        <v>1429200</v>
      </c>
      <c r="E1007" s="5">
        <v>2</v>
      </c>
      <c r="F1007" s="4" t="str">
        <f ca="1">IFERROR(__xludf.DUMMYFUNCTION("LOWER(REGEXREPLACE(B1007&amp;"" ""&amp;C1007,""[^а-яa-z0-9 ]"","" ""))")," тол верстак  тол верстак для проектной деятельности")</f>
        <v xml:space="preserve"> тол верстак  тол верстак для проектной деятельности</v>
      </c>
      <c r="G1007" s="4" t="str">
        <f ca="1">IFERROR(__xludf.DUMMYFUNCTION("TEXTJOIN(""|"",TRUE,UNIQUE(FILTER(SPLIT(F1007,"" ""),LEN(SPLIT(F1007,"" ""))&gt;2)))"),"тол|верстак|тол|верстак|для|проектной|деятельности")</f>
        <v>тол|верстак|тол|верстак|для|проектной|деятельности</v>
      </c>
      <c r="I1007" s="1"/>
      <c r="J1007" s="1"/>
    </row>
    <row r="1008" spans="1:10" ht="12.75" x14ac:dyDescent="0.2">
      <c r="A1008" s="8" t="s">
        <v>638</v>
      </c>
      <c r="B1008" s="8" t="s">
        <v>637</v>
      </c>
      <c r="C1008" s="7" t="s">
        <v>636</v>
      </c>
      <c r="D1008" s="6">
        <v>1056200</v>
      </c>
      <c r="E1008" s="5">
        <v>1</v>
      </c>
      <c r="F1008" s="4" t="str">
        <f ca="1">IFERROR(__xludf.DUMMYFUNCTION("LOWER(REGEXREPLACE(B1008&amp;"" ""&amp;C1008,""[^а-яa-z0-9 ]"","" ""))")," обильный стол  обильный стол для экспериментов с песком и водой")</f>
        <v xml:space="preserve"> обильный стол  обильный стол для экспериментов с песком и водой</v>
      </c>
      <c r="G1008" s="4" t="str">
        <f ca="1">IFERROR(__xludf.DUMMYFUNCTION("TEXTJOIN(""|"",TRUE,UNIQUE(FILTER(SPLIT(F1008,"" ""),LEN(SPLIT(F1008,"" ""))&gt;2)))"),"обильный|стол|обильный|стол|для|экспериментов|песком|водой")</f>
        <v>обильный|стол|обильный|стол|для|экспериментов|песком|водой</v>
      </c>
      <c r="I1008" s="1"/>
      <c r="J1008" s="1"/>
    </row>
    <row r="1009" spans="1:10" ht="12.75" x14ac:dyDescent="0.2">
      <c r="A1009" s="8" t="s">
        <v>635</v>
      </c>
      <c r="B1009" s="8" t="s">
        <v>634</v>
      </c>
      <c r="C1009" s="7" t="s">
        <v>633</v>
      </c>
      <c r="D1009" s="6">
        <v>973200</v>
      </c>
      <c r="E1009" s="5">
        <v>1</v>
      </c>
      <c r="F1009" s="4" t="str">
        <f ca="1">IFERROR(__xludf.DUMMYFUNCTION("LOWER(REGEXREPLACE(B1009&amp;"" ""&amp;C1009,""[^а-яa-z0-9 ]"","" ""))")," тол с линзами   тол с линзами для макро наблюдений объектов")</f>
        <v xml:space="preserve"> тол с линзами   тол с линзами для макро наблюдений объектов</v>
      </c>
      <c r="G1009" s="4" t="str">
        <f ca="1">IFERROR(__xludf.DUMMYFUNCTION("TEXTJOIN(""|"",TRUE,UNIQUE(FILTER(SPLIT(F1009,"" ""),LEN(SPLIT(F1009,"" ""))&gt;2)))"),"тол|линзами|тол|линзами|для|макро|наблюдений|объектов")</f>
        <v>тол|линзами|тол|линзами|для|макро|наблюдений|объектов</v>
      </c>
      <c r="I1009" s="1"/>
      <c r="J1009" s="1"/>
    </row>
    <row r="1010" spans="1:10" ht="12.75" x14ac:dyDescent="0.2">
      <c r="A1010" s="8" t="s">
        <v>632</v>
      </c>
      <c r="B1010" s="7" t="s">
        <v>631</v>
      </c>
      <c r="C1010" s="7" t="s">
        <v>631</v>
      </c>
      <c r="D1010" s="6">
        <v>952800</v>
      </c>
      <c r="E1010" s="5">
        <v>1</v>
      </c>
      <c r="F1010" s="4" t="str">
        <f ca="1">IFERROR(__xludf.DUMMYFUNCTION("LOWER(REGEXREPLACE(B1010&amp;"" ""&amp;C1010,""[^а-яa-z0-9 ]"","" ""))")," тол для демонстрации находок и коллекций  тол для демонстрации находок и коллекций")</f>
        <v xml:space="preserve"> тол для демонстрации находок и коллекций  тол для демонстрации находок и коллекций</v>
      </c>
      <c r="G1010" s="4" t="str">
        <f ca="1">IFERROR(__xludf.DUMMYFUNCTION("TEXTJOIN(""|"",TRUE,UNIQUE(FILTER(SPLIT(F1010,"" ""),LEN(SPLIT(F1010,"" ""))&gt;2)))"),"тол|для|демонстрации|находок|коллекций|тол|для|демонстрации|находок|коллекций")</f>
        <v>тол|для|демонстрации|находок|коллекций|тол|для|демонстрации|находок|коллекций</v>
      </c>
      <c r="I1010" s="1"/>
      <c r="J1010" s="1"/>
    </row>
    <row r="1011" spans="1:10" ht="38.25" x14ac:dyDescent="0.2">
      <c r="A1011" s="8" t="s">
        <v>630</v>
      </c>
      <c r="B1011" s="7" t="s">
        <v>629</v>
      </c>
      <c r="C1011" s="7" t="s">
        <v>628</v>
      </c>
      <c r="D1011" s="6">
        <v>6700</v>
      </c>
      <c r="E1011" s="5">
        <v>5</v>
      </c>
      <c r="F1011" s="4" t="str">
        <f ca="1">IFERROR(__xludf.DUMMYFUNCTION("LOWER(REGEXREPLACE(B1011&amp;"" ""&amp;C1011,""[^а-яa-z0-9 ]"","" ""))")," емонстрационные картинки   икие животные   2   абор демонстрационных картинок используется для расширения представлений о диких животных   атериалы применяются для наглядного показа и обсуждения особенностей животных   омплект включает 16 демонстрационны"&amp;"х и 16 раздаточных карточек ")</f>
        <v xml:space="preserve"> емонстрационные картинки   икие животные   2   абор демонстрационных картинок используется для расширения представлений о диких животных   атериалы применяются для наглядного показа и обсуждения особенностей животных   омплект включает 16 демонстрационных и 16 раздаточных карточек </v>
      </c>
      <c r="G1011" s="4" t="str">
        <f ca="1">IFERROR(__xludf.DUMMYFUNCTION("TEXTJOIN(""|"",TRUE,UNIQUE(FILTER(SPLIT(F1011,"" ""),LEN(SPLIT(F1011,"" ""))&gt;2)))"),"емонстрационные|картинки|икие|животные|абор|демонстрационных|картинок|используется|для|расширения|представлений|диких|животных|атериалы|применяются|для|наглядного|показа|обсуждения|особенностей|животных|омплект|включает|демонстрационных|раздаточных|карточ"&amp;"ек")</f>
        <v>емонстрационные|картинки|икие|животные|абор|демонстрационных|картинок|используется|для|расширения|представлений|диких|животных|атериалы|применяются|для|наглядного|показа|обсуждения|особенностей|животных|омплект|включает|демонстрационных|раздаточных|карточек</v>
      </c>
      <c r="I1011" s="1"/>
      <c r="J1011" s="1"/>
    </row>
    <row r="1012" spans="1:10" ht="25.5" x14ac:dyDescent="0.2">
      <c r="A1012" s="8" t="s">
        <v>627</v>
      </c>
      <c r="B1012" s="7" t="s">
        <v>626</v>
      </c>
      <c r="C1012" s="7" t="s">
        <v>626</v>
      </c>
      <c r="D1012" s="6">
        <v>722400</v>
      </c>
      <c r="E1012" s="5">
        <v>2</v>
      </c>
      <c r="F1012" s="4" t="str">
        <f ca="1">IFERROR(__xludf.DUMMYFUNCTION("LOWER(REGEXREPLACE(B1012&amp;"" ""&amp;C1012,""[^а-яa-z0-9 ]"","" ""))")," теллаж для хранения      наборов и лотков  теллаж для хранения      наборов и лотков")</f>
        <v xml:space="preserve"> теллаж для хранения      наборов и лотков  теллаж для хранения      наборов и лотков</v>
      </c>
      <c r="G1012" s="4" t="str">
        <f ca="1">IFERROR(__xludf.DUMMYFUNCTION("TEXTJOIN(""|"",TRUE,UNIQUE(FILTER(SPLIT(F1012,"" ""),LEN(SPLIT(F1012,"" ""))&gt;2)))"),"теллаж|для|хранения|наборов|лотков|теллаж|для|хранения|наборов|лотков")</f>
        <v>теллаж|для|хранения|наборов|лотков|теллаж|для|хранения|наборов|лотков</v>
      </c>
      <c r="I1012" s="1"/>
      <c r="J1012" s="1"/>
    </row>
    <row r="1013" spans="1:10" ht="12.75" x14ac:dyDescent="0.2">
      <c r="A1013" s="8" t="s">
        <v>625</v>
      </c>
      <c r="B1013" s="7" t="s">
        <v>624</v>
      </c>
      <c r="C1013" s="7" t="s">
        <v>624</v>
      </c>
      <c r="D1013" s="6">
        <v>166600</v>
      </c>
      <c r="E1013" s="5">
        <v>2</v>
      </c>
      <c r="F1013" s="4" t="str">
        <f ca="1">IFERROR(__xludf.DUMMYFUNCTION("LOWER(REGEXREPLACE(B1013&amp;"" ""&amp;C1013,""[^а-яa-z0-9 ]"","" ""))")," абор глубоких лотков для мелких деталей  абор глубоких лотков для мелких деталей")</f>
        <v xml:space="preserve"> абор глубоких лотков для мелких деталей  абор глубоких лотков для мелких деталей</v>
      </c>
      <c r="G1013" s="4" t="str">
        <f ca="1">IFERROR(__xludf.DUMMYFUNCTION("TEXTJOIN(""|"",TRUE,UNIQUE(FILTER(SPLIT(F1013,"" ""),LEN(SPLIT(F1013,"" ""))&gt;2)))"),"абор|глубоких|лотков|для|мелких|деталей|абор|глубоких|лотков|для|мелких|деталей")</f>
        <v>абор|глубоких|лотков|для|мелких|деталей|абор|глубоких|лотков|для|мелких|деталей</v>
      </c>
      <c r="I1013" s="1"/>
      <c r="J1013" s="1"/>
    </row>
    <row r="1014" spans="1:10" ht="25.5" x14ac:dyDescent="0.2">
      <c r="A1014" s="8" t="s">
        <v>623</v>
      </c>
      <c r="B1014" s="7" t="s">
        <v>622</v>
      </c>
      <c r="C1014" s="7" t="s">
        <v>622</v>
      </c>
      <c r="D1014" s="6">
        <v>163000</v>
      </c>
      <c r="E1014" s="5">
        <v>25</v>
      </c>
      <c r="F1014" s="4" t="str">
        <f ca="1">IFERROR(__xludf.DUMMYFUNCTION("LOWER(REGEXREPLACE(B1014&amp;"" ""&amp;C1014,""[^а-яa-z0-9 ]"","" ""))")," тулья для всей группы  высота сиденья 25 см   тулья для всей группы  высота сиденья 25 см ")</f>
        <v xml:space="preserve"> тулья для всей группы  высота сиденья 25 см   тулья для всей группы  высота сиденья 25 см </v>
      </c>
      <c r="G1014" s="4" t="str">
        <f ca="1">IFERROR(__xludf.DUMMYFUNCTION("TEXTJOIN(""|"",TRUE,UNIQUE(FILTER(SPLIT(F1014,"" ""),LEN(SPLIT(F1014,"" ""))&gt;2)))"),"тулья|для|всей|группы|высота|сиденья|тулья|для|всей|группы|высота|сиденья")</f>
        <v>тулья|для|всей|группы|высота|сиденья|тулья|для|всей|группы|высота|сиденья</v>
      </c>
      <c r="I1014" s="1"/>
      <c r="J1014" s="1"/>
    </row>
    <row r="1015" spans="1:10" ht="12.75" x14ac:dyDescent="0.2">
      <c r="A1015" s="8" t="s">
        <v>621</v>
      </c>
      <c r="B1015" s="7" t="s">
        <v>620</v>
      </c>
      <c r="C1015" s="7" t="s">
        <v>620</v>
      </c>
      <c r="D1015" s="6">
        <v>736100</v>
      </c>
      <c r="E1015" s="5">
        <v>1</v>
      </c>
      <c r="F1015" s="4" t="str">
        <f ca="1">IFERROR(__xludf.DUMMYFUNCTION("LOWER(REGEXREPLACE(B1015&amp;"" ""&amp;C1015,""[^а-яa-z0-9 ]"","" ""))")," овер   осмос  для занятий на полу  овер   осмос  для занятий на полу")</f>
        <v xml:space="preserve"> овер   осмос  для занятий на полу  овер   осмос  для занятий на полу</v>
      </c>
      <c r="G1015" s="4" t="str">
        <f ca="1">IFERROR(__xludf.DUMMYFUNCTION("TEXTJOIN(""|"",TRUE,UNIQUE(FILTER(SPLIT(F1015,"" ""),LEN(SPLIT(F1015,"" ""))&gt;2)))"),"овер|осмос|для|занятий|полу|овер|осмос|для|занятий|полу")</f>
        <v>овер|осмос|для|занятий|полу|овер|осмос|для|занятий|полу</v>
      </c>
      <c r="I1015" s="1"/>
      <c r="J1015" s="1"/>
    </row>
    <row r="1016" spans="1:10" ht="25.5" x14ac:dyDescent="0.2">
      <c r="A1016" s="8" t="s">
        <v>619</v>
      </c>
      <c r="B1016" s="7" t="s">
        <v>618</v>
      </c>
      <c r="C1016" s="7" t="s">
        <v>618</v>
      </c>
      <c r="D1016" s="6">
        <v>347900</v>
      </c>
      <c r="E1016" s="5">
        <v>1</v>
      </c>
      <c r="F1016" s="4" t="str">
        <f ca="1">IFERROR(__xludf.DUMMYFUNCTION("LOWER(REGEXREPLACE(B1016&amp;"" ""&amp;C1016,""[^а-яa-z0-9 ]"","" ""))")," тойка для сушки работ после экспериментов  тойка для сушки работ после экспериментов")</f>
        <v xml:space="preserve"> тойка для сушки работ после экспериментов  тойка для сушки работ после экспериментов</v>
      </c>
      <c r="G1016" s="4" t="str">
        <f ca="1">IFERROR(__xludf.DUMMYFUNCTION("TEXTJOIN(""|"",TRUE,UNIQUE(FILTER(SPLIT(F1016,"" ""),LEN(SPLIT(F1016,"" ""))&gt;2)))"),"тойка|для|сушки|работ|после|экспериментов|тойка|для|сушки|работ|после|экспериментов")</f>
        <v>тойка|для|сушки|работ|после|экспериментов|тойка|для|сушки|работ|после|экспериментов</v>
      </c>
      <c r="I1016" s="1"/>
      <c r="J1016" s="1"/>
    </row>
    <row r="1017" spans="1:10" ht="25.5" x14ac:dyDescent="0.2">
      <c r="A1017" s="8" t="s">
        <v>617</v>
      </c>
      <c r="B1017" s="7" t="s">
        <v>616</v>
      </c>
      <c r="C1017" s="7" t="s">
        <v>616</v>
      </c>
      <c r="D1017" s="6">
        <v>389900</v>
      </c>
      <c r="E1017" s="5">
        <v>10</v>
      </c>
      <c r="F1017" s="4" t="str">
        <f ca="1">IFERROR(__xludf.DUMMYFUNCTION("LOWER(REGEXREPLACE(B1017&amp;"" ""&amp;C1017,""[^а-яa-z0-9 ]"","" ""))")," абор для дошкольного изучения  omputer science and     абор для дошкольного изучения  omputer science and   ")</f>
        <v xml:space="preserve"> абор для дошкольного изучения  omputer science and     абор для дошкольного изучения  omputer science and   </v>
      </c>
      <c r="G1017" s="4" t="str">
        <f ca="1">IFERROR(__xludf.DUMMYFUNCTION("TEXTJOIN(""|"",TRUE,UNIQUE(FILTER(SPLIT(F1017,"" ""),LEN(SPLIT(F1017,"" ""))&gt;2)))"),"абор|для|дошкольного|изучения|omputer|science|and|абор|для|дошкольного|изучения|omputer|science|and")</f>
        <v>абор|для|дошкольного|изучения|omputer|science|and|абор|для|дошкольного|изучения|omputer|science|and</v>
      </c>
      <c r="I1017" s="1"/>
      <c r="J1017" s="1"/>
    </row>
    <row r="1018" spans="1:10" ht="12.75" x14ac:dyDescent="0.2">
      <c r="A1018" s="8" t="s">
        <v>615</v>
      </c>
      <c r="B1018" s="7" t="s">
        <v>614</v>
      </c>
      <c r="C1018" s="7" t="s">
        <v>614</v>
      </c>
      <c r="D1018" s="6">
        <v>612000</v>
      </c>
      <c r="E1018" s="5">
        <v>0</v>
      </c>
      <c r="F1018" s="4" t="str">
        <f ca="1">IFERROR(__xludf.DUMMYFUNCTION("LOWER(REGEXREPLACE(B1018&amp;"" ""&amp;C1018,""[^а-яa-z0-9 ]"","" ""))")," ric   otion  ssential  ric   otion  ssential")</f>
        <v xml:space="preserve"> ric   otion  ssential  ric   otion  ssential</v>
      </c>
      <c r="G1018" s="4" t="str">
        <f ca="1">IFERROR(__xludf.DUMMYFUNCTION("TEXTJOIN(""|"",TRUE,UNIQUE(FILTER(SPLIT(F1018,"" ""),LEN(SPLIT(F1018,"" ""))&gt;2)))"),"ric|otion|ssential|ric|otion|ssential")</f>
        <v>ric|otion|ssential|ric|otion|ssential</v>
      </c>
      <c r="I1018" s="1"/>
      <c r="J1018" s="1"/>
    </row>
    <row r="1019" spans="1:10" ht="12.75" x14ac:dyDescent="0.2">
      <c r="A1019" s="8" t="s">
        <v>613</v>
      </c>
      <c r="B1019" s="7" t="s">
        <v>612</v>
      </c>
      <c r="C1019" s="7" t="s">
        <v>612</v>
      </c>
      <c r="D1019" s="6">
        <v>373400</v>
      </c>
      <c r="E1019" s="5">
        <v>10</v>
      </c>
      <c r="F1019" s="4" t="str">
        <f ca="1">IFERROR(__xludf.DUMMYFUNCTION("LOWER(REGEXREPLACE(B1019&amp;"" ""&amp;C1019,""[^а-яa-z0-9 ]"","" ""))"),"       ducation        ark        ducation        ark")</f>
        <v xml:space="preserve">       ducation        ark        ducation        ark</v>
      </c>
      <c r="G1019" s="4" t="str">
        <f ca="1">IFERROR(__xludf.DUMMYFUNCTION("TEXTJOIN(""|"",TRUE,UNIQUE(FILTER(SPLIT(F1019,"" ""),LEN(SPLIT(F1019,"" ""))&gt;2)))"),"ducation|ark|ducation|ark")</f>
        <v>ducation|ark|ducation|ark</v>
      </c>
      <c r="I1019" s="1"/>
      <c r="J1019" s="1"/>
    </row>
    <row r="1020" spans="1:10" ht="25.5" x14ac:dyDescent="0.2">
      <c r="A1020" s="8" t="s">
        <v>611</v>
      </c>
      <c r="B1020" s="7" t="s">
        <v>610</v>
      </c>
      <c r="C1020" s="7" t="s">
        <v>610</v>
      </c>
      <c r="D1020" s="6">
        <v>385600</v>
      </c>
      <c r="E1020" s="5">
        <v>0</v>
      </c>
      <c r="F1020" s="4" t="str">
        <f ca="1">IFERROR(__xludf.DUMMYFUNCTION("LOWER(REGEXREPLACE(B1020&amp;"" ""&amp;C1020,""[^а-яa-z0-9 ]"","" ""))")," нструменты для конструирования из картона для начальной школы  нструменты для конструирования из картона для начальной школы")</f>
        <v xml:space="preserve"> нструменты для конструирования из картона для начальной школы  нструменты для конструирования из картона для начальной школы</v>
      </c>
      <c r="G1020" s="4" t="str">
        <f ca="1">IFERROR(__xludf.DUMMYFUNCTION("TEXTJOIN(""|"",TRUE,UNIQUE(FILTER(SPLIT(F1020,"" ""),LEN(SPLIT(F1020,"" ""))&gt;2)))"),"нструменты|для|конструирования|картона|для|начальной|школы|нструменты|для|конструирования|картона|для|начальной|школы")</f>
        <v>нструменты|для|конструирования|картона|для|начальной|школы|нструменты|для|конструирования|картона|для|начальной|школы</v>
      </c>
      <c r="I1020" s="1"/>
      <c r="J1020" s="1"/>
    </row>
    <row r="1021" spans="1:10" ht="12.75" x14ac:dyDescent="0.2">
      <c r="A1021" s="8" t="s">
        <v>609</v>
      </c>
      <c r="B1021" s="8" t="s">
        <v>608</v>
      </c>
      <c r="C1021" s="7" t="s">
        <v>607</v>
      </c>
      <c r="D1021" s="6">
        <v>2100</v>
      </c>
      <c r="E1021" s="5">
        <v>2</v>
      </c>
      <c r="F1021" s="4" t="str">
        <f ca="1">IFERROR(__xludf.DUMMYFUNCTION("LOWER(REGEXREPLACE(B1021&amp;"" ""&amp;C1021,""[^а-яa-z0-9 ]"","" ""))")," ешалка напольная для верхней одежды  апольная вешалка   азмеры высота 1700мм  кол во крючков 8шт ")</f>
        <v xml:space="preserve"> ешалка напольная для верхней одежды  апольная вешалка   азмеры высота 1700мм  кол во крючков 8шт </v>
      </c>
      <c r="G1021" s="4" t="str">
        <f ca="1">IFERROR(__xludf.DUMMYFUNCTION("TEXTJOIN(""|"",TRUE,UNIQUE(FILTER(SPLIT(F1021,"" ""),LEN(SPLIT(F1021,"" ""))&gt;2)))"),"ешалка|напольная|для|верхней|одежды|апольная|вешалка|азмеры|высота|1700мм|кол|крючков|8шт")</f>
        <v>ешалка|напольная|для|верхней|одежды|апольная|вешалка|азмеры|высота|1700мм|кол|крючков|8шт</v>
      </c>
      <c r="I1021" s="1"/>
      <c r="J1021" s="1"/>
    </row>
    <row r="1022" spans="1:10" ht="38.25" x14ac:dyDescent="0.2">
      <c r="A1022" s="8" t="s">
        <v>606</v>
      </c>
      <c r="B1022" s="7" t="s">
        <v>605</v>
      </c>
      <c r="C1022" s="7" t="s">
        <v>604</v>
      </c>
      <c r="D1022" s="6">
        <v>36000</v>
      </c>
      <c r="E1022" s="5">
        <v>1</v>
      </c>
      <c r="F1022" s="4" t="str">
        <f ca="1">IFERROR(__xludf.DUMMYFUNCTION("LOWER(REGEXREPLACE(B1022&amp;"" ""&amp;C1022,""[^а-яa-z0-9 ]"","" ""))")," еркало настенное среднего размера  астенное зеркало используется для визуального контроля внешнего вида и ориентации в пространстве   азмещается на стене в помещениях общего пользования   азмер зеркала относится к средней категории и подходит для настенн"&amp;"ого монтажа ")</f>
        <v xml:space="preserve"> еркало настенное среднего размера  астенное зеркало используется для визуального контроля внешнего вида и ориентации в пространстве   азмещается на стене в помещениях общего пользования   азмер зеркала относится к средней категории и подходит для настенного монтажа </v>
      </c>
      <c r="G1022" s="4" t="str">
        <f ca="1">IFERROR(__xludf.DUMMYFUNCTION("TEXTJOIN(""|"",TRUE,UNIQUE(FILTER(SPLIT(F1022,"" ""),LEN(SPLIT(F1022,"" ""))&gt;2)))"),"еркало|настенное|среднего|размера|астенное|зеркало|используется|для|визуального|контроля|внешнего|вида|ориентации|пространстве|азмещается|стене|помещениях|общего|пользования|азмер|зеркала|относится|средней|категории|подходит|для|настенного|монтажа")</f>
        <v>еркало|настенное|среднего|размера|астенное|зеркало|используется|для|визуального|контроля|внешнего|вида|ориентации|пространстве|азмещается|стене|помещениях|общего|пользования|азмер|зеркала|относится|средней|категории|подходит|для|настенного|монтажа</v>
      </c>
      <c r="I1022" s="1"/>
      <c r="J1022" s="1"/>
    </row>
    <row r="1023" spans="1:10" ht="12.75" x14ac:dyDescent="0.2">
      <c r="A1023" s="8" t="s">
        <v>603</v>
      </c>
      <c r="B1023" s="7" t="s">
        <v>602</v>
      </c>
      <c r="C1023" s="7" t="s">
        <v>601</v>
      </c>
      <c r="D1023" s="6">
        <v>315000</v>
      </c>
      <c r="E1023" s="5">
        <v>1</v>
      </c>
      <c r="F1023" s="4" t="str">
        <f ca="1">IFERROR(__xludf.DUMMYFUNCTION("LOWER(REGEXREPLACE(B1023&amp;"" ""&amp;C1023,""[^а-яa-z0-9 ]"","" ""))")," тол производственный  роизводственный стол предназначен для хозяйственных работ   азмеры  1800х600х850")</f>
        <v xml:space="preserve"> тол производственный  роизводственный стол предназначен для хозяйственных работ   азмеры  1800х600х850</v>
      </c>
      <c r="G1023" s="4" t="str">
        <f ca="1">IFERROR(__xludf.DUMMYFUNCTION("TEXTJOIN(""|"",TRUE,UNIQUE(FILTER(SPLIT(F1023,"" ""),LEN(SPLIT(F1023,"" ""))&gt;2)))"),"тол|производственный|роизводственный|стол|предназначен|для|хозяйственных|работ|азмеры|1800х600х850")</f>
        <v>тол|производственный|роизводственный|стол|предназначен|для|хозяйственных|работ|азмеры|1800х600х850</v>
      </c>
      <c r="I1023" s="1"/>
      <c r="J1023" s="1"/>
    </row>
    <row r="1024" spans="1:10" ht="25.5" x14ac:dyDescent="0.2">
      <c r="A1024" s="8" t="s">
        <v>600</v>
      </c>
      <c r="B1024" s="7" t="s">
        <v>599</v>
      </c>
      <c r="C1024" s="7" t="s">
        <v>598</v>
      </c>
      <c r="D1024" s="6">
        <v>387000</v>
      </c>
      <c r="E1024" s="5">
        <v>2</v>
      </c>
      <c r="F1024" s="4" t="str">
        <f ca="1">IFERROR(__xludf.DUMMYFUNCTION("LOWER(REGEXREPLACE(B1024&amp;"" ""&amp;C1024,""[^а-яa-z0-9 ]"","" ""))")," тол промежуточный vpn7 2  азмеры  800 700 300 мм ")</f>
        <v xml:space="preserve"> тол промежуточный vpn7 2  азмеры  800 700 300 мм </v>
      </c>
      <c r="G1024" s="4" t="str">
        <f ca="1">IFERROR(__xludf.DUMMYFUNCTION("TEXTJOIN(""|"",TRUE,UNIQUE(FILTER(SPLIT(F1024,"" ""),LEN(SPLIT(F1024,"" ""))&gt;2)))"),"тол|промежуточный|vpn7|азмеры|800|700|300")</f>
        <v>тол|промежуточный|vpn7|азмеры|800|700|300</v>
      </c>
      <c r="I1024" s="1"/>
      <c r="J1024" s="1"/>
    </row>
    <row r="1025" spans="1:10" ht="12.75" x14ac:dyDescent="0.2">
      <c r="A1025" s="8" t="s">
        <v>597</v>
      </c>
      <c r="B1025" s="7" t="s">
        <v>596</v>
      </c>
      <c r="C1025" s="7" t="s">
        <v>595</v>
      </c>
      <c r="D1025" s="6">
        <v>283500</v>
      </c>
      <c r="E1025" s="5">
        <v>4</v>
      </c>
      <c r="F1025" s="4" t="str">
        <f ca="1">IFERROR(__xludf.DUMMYFUNCTION("LOWER(REGEXREPLACE(B1025&amp;"" ""&amp;C1025,""[^а-яa-z0-9 ]"","" ""))")," тол рабочий  абочий стол с металлической поверхностью   стойчивый  легко моющийся   азмеры  1800х600х850")</f>
        <v xml:space="preserve"> тол рабочий  абочий стол с металлической поверхностью   стойчивый  легко моющийся   азмеры  1800х600х850</v>
      </c>
      <c r="G1025" s="4" t="str">
        <f ca="1">IFERROR(__xludf.DUMMYFUNCTION("TEXTJOIN(""|"",TRUE,UNIQUE(FILTER(SPLIT(F1025,"" ""),LEN(SPLIT(F1025,"" ""))&gt;2)))"),"тол|рабочий|абочий|стол|металлической|поверхностью|стойчивый|легко|моющийся|азмеры|1800х600х850")</f>
        <v>тол|рабочий|абочий|стол|металлической|поверхностью|стойчивый|легко|моющийся|азмеры|1800х600х850</v>
      </c>
      <c r="I1025" s="1"/>
      <c r="J1025" s="1"/>
    </row>
    <row r="1026" spans="1:10" ht="12.75" x14ac:dyDescent="0.2">
      <c r="A1026" s="8" t="s">
        <v>594</v>
      </c>
      <c r="B1026" s="7" t="s">
        <v>593</v>
      </c>
      <c r="C1026" s="7" t="s">
        <v>592</v>
      </c>
      <c r="D1026" s="6">
        <v>237600</v>
      </c>
      <c r="E1026" s="5">
        <v>1</v>
      </c>
      <c r="F1026" s="4" t="str">
        <f ca="1">IFERROR(__xludf.DUMMYFUNCTION("LOWER(REGEXREPLACE(B1026&amp;"" ""&amp;C1026,""[^а-яa-z0-9 ]"","" ""))")," тол разгрузки посудомойки ce tbc70x75  ержавеющая сталь      430   ез нижней  полки и бортика   араметры  700x750x850 мм")</f>
        <v xml:space="preserve"> тол разгрузки посудомойки ce tbc70x75  ержавеющая сталь      430   ез нижней  полки и бортика   араметры  700x750x850 мм</v>
      </c>
      <c r="G1026" s="4" t="str">
        <f ca="1">IFERROR(__xludf.DUMMYFUNCTION("TEXTJOIN(""|"",TRUE,UNIQUE(FILTER(SPLIT(F1026,"" ""),LEN(SPLIT(F1026,"" ""))&gt;2)))"),"тол|разгрузки|посудомойки|tbc70x75|ержавеющая|сталь|430|нижней|полки|бортика|араметры|700x750x850")</f>
        <v>тол|разгрузки|посудомойки|tbc70x75|ержавеющая|сталь|430|нижней|полки|бортика|араметры|700x750x850</v>
      </c>
      <c r="I1026" s="1"/>
      <c r="J1026" s="1"/>
    </row>
    <row r="1027" spans="1:10" ht="51" x14ac:dyDescent="0.2">
      <c r="A1027" s="8" t="s">
        <v>591</v>
      </c>
      <c r="B1027" s="7" t="s">
        <v>590</v>
      </c>
      <c r="C1027" s="7" t="s">
        <v>589</v>
      </c>
      <c r="D1027" s="6">
        <v>735000</v>
      </c>
      <c r="E1027" s="5">
        <v>1</v>
      </c>
      <c r="F1027" s="4" t="str">
        <f ca="1">IFERROR(__xludf.DUMMYFUNCTION("LOWER(REGEXREPLACE(B1027&amp;"" ""&amp;C1027,""[^а-яa-z0-9 ]"","" ""))")," тол руководителя с приставной тумбой  исьменный стол  со встроенной тумбой   толешница выполнена из      или     повышенной плотности с ламинированным покрытием  устойчивым к истиранию и влаге   ромки обработаны     кромкой   поры металлические  устойчив"&amp;"ые  с подпятниками для защиты напольного покрытия   азмеры   1800 800 750 мм    комплект входит приставной стол для посетителей  ")</f>
        <v xml:space="preserve"> тол руководителя с приставной тумбой  исьменный стол  со встроенной тумбой   толешница выполнена из      или     повышенной плотности с ламинированным покрытием  устойчивым к истиранию и влаге   ромки обработаны     кромкой   поры металлические  устойчивые  с подпятниками для защиты напольного покрытия   азмеры   1800 800 750 мм    комплект входит приставной стол для посетителей  </v>
      </c>
      <c r="G1027" s="4" t="str">
        <f ca="1">IFERROR(__xludf.DUMMYFUNCTION("TEXTJOIN(""|"",TRUE,UNIQUE(FILTER(SPLIT(F1027,"" ""),LEN(SPLIT(F1027,"" ""))&gt;2)))"),"тол|руководителя|приставной|тумбой|исьменный|стол|встроенной|тумбой|толешница|выполнена|или|повышенной|плотности|ламинированным|покрытием|устойчивым|истиранию|влаге|ромки|обработаны|кромкой|поры|металлические|устойчивые|подпятниками|для|защиты|напольного|"&amp;"покрытия|азмеры|1800|800|750|комплект|входит|приставной|стол|для|посетителей")</f>
        <v>тол|руководителя|приставной|тумбой|исьменный|стол|встроенной|тумбой|толешница|выполнена|или|повышенной|плотности|ламинированным|покрытием|устойчивым|истиранию|влаге|ромки|обработаны|кромкой|поры|металлические|устойчивые|подпятниками|для|защиты|напольного|покрытия|азмеры|1800|800|750|комплект|входит|приставной|стол|для|посетителей</v>
      </c>
      <c r="I1027" s="1"/>
      <c r="J1027" s="1"/>
    </row>
    <row r="1028" spans="1:10" ht="12.75" x14ac:dyDescent="0.2">
      <c r="A1028" s="8" t="s">
        <v>588</v>
      </c>
      <c r="B1028" s="7" t="s">
        <v>587</v>
      </c>
      <c r="C1028" s="9" t="s">
        <v>586</v>
      </c>
      <c r="D1028" s="6">
        <v>175126</v>
      </c>
      <c r="E1028" s="5">
        <v>13</v>
      </c>
      <c r="F1028" s="4" t="str">
        <f ca="1">IFERROR(__xludf.DUMMYFUNCTION("LOWER(REGEXREPLACE(B1028&amp;"" ""&amp;C1028,""[^а-яa-z0-9 ]"","" ""))")," тол с 2 мойками  тол с двумя мойками       120 60   ержавеющая сталь   азмер  1200x600x850мм")</f>
        <v xml:space="preserve"> тол с 2 мойками  тол с двумя мойками       120 60   ержавеющая сталь   азмер  1200x600x850мм</v>
      </c>
      <c r="G1028" s="4" t="str">
        <f ca="1">IFERROR(__xludf.DUMMYFUNCTION("TEXTJOIN(""|"",TRUE,UNIQUE(FILTER(SPLIT(F1028,"" ""),LEN(SPLIT(F1028,"" ""))&gt;2)))"),"тол|мойками|тол|двумя|мойками|120|ержавеющая|сталь|азмер|1200x600x850мм")</f>
        <v>тол|мойками|тол|двумя|мойками|120|ержавеющая|сталь|азмер|1200x600x850мм</v>
      </c>
      <c r="I1028" s="1"/>
      <c r="J1028" s="1"/>
    </row>
    <row r="1029" spans="1:10" ht="12.75" x14ac:dyDescent="0.2">
      <c r="A1029" s="8" t="s">
        <v>585</v>
      </c>
      <c r="B1029" s="7" t="s">
        <v>584</v>
      </c>
      <c r="C1029" s="7" t="s">
        <v>583</v>
      </c>
      <c r="D1029" s="6">
        <v>707900</v>
      </c>
      <c r="E1029" s="5">
        <v>2</v>
      </c>
      <c r="F1029" s="4" t="str">
        <f ca="1">IFERROR(__xludf.DUMMYFUNCTION("LOWER(REGEXREPLACE(B1029&amp;"" ""&amp;C1029,""[^а-яa-z0-9 ]"","" ""))")," тол с 2 мойками ce tce120x70  ержавеющая сталь      430    бортиком без полки   ойка  50x40x25 см   араметры  1200x700x850 мм")</f>
        <v xml:space="preserve"> тол с 2 мойками ce tce120x70  ержавеющая сталь      430    бортиком без полки   ойка  50x40x25 см   араметры  1200x700x850 мм</v>
      </c>
      <c r="G1029" s="4" t="str">
        <f ca="1">IFERROR(__xludf.DUMMYFUNCTION("TEXTJOIN(""|"",TRUE,UNIQUE(FILTER(SPLIT(F1029,"" ""),LEN(SPLIT(F1029,"" ""))&gt;2)))"),"тол|мойками|tce120x70|ержавеющая|сталь|430|бортиком|без|полки|ойка|50x40x25|араметры|1200x700x850")</f>
        <v>тол|мойками|tce120x70|ержавеющая|сталь|430|бортиком|без|полки|ойка|50x40x25|араметры|1200x700x850</v>
      </c>
      <c r="I1029" s="1"/>
      <c r="J1029" s="1"/>
    </row>
    <row r="1030" spans="1:10" ht="25.5" x14ac:dyDescent="0.2">
      <c r="A1030" s="8" t="s">
        <v>582</v>
      </c>
      <c r="B1030" s="7" t="s">
        <v>581</v>
      </c>
      <c r="C1030" s="9" t="s">
        <v>580</v>
      </c>
      <c r="D1030" s="6">
        <v>66984</v>
      </c>
      <c r="E1030" s="5">
        <v>13</v>
      </c>
      <c r="F1030" s="4" t="str">
        <f ca="1">IFERROR(__xludf.DUMMYFUNCTION("LOWER(REGEXREPLACE(B1030&amp;"" ""&amp;C1030,""[^а-яa-z0-9 ]"","" ""))")," тол с одной полкой  тол производственный рабочий      1120 60   ержавеющая сталь    одной полкой и бортиком   азмер  1200x600x850мм")</f>
        <v xml:space="preserve"> тол с одной полкой  тол производственный рабочий      1120 60   ержавеющая сталь    одной полкой и бортиком   азмер  1200x600x850мм</v>
      </c>
      <c r="G1030" s="4" t="str">
        <f ca="1">IFERROR(__xludf.DUMMYFUNCTION("TEXTJOIN(""|"",TRUE,UNIQUE(FILTER(SPLIT(F1030,"" ""),LEN(SPLIT(F1030,"" ""))&gt;2)))"),"тол|одной|полкой|тол|производственный|рабочий|1120|ержавеющая|сталь|одной|полкой|бортиком|азмер|1200x600x850мм")</f>
        <v>тол|одной|полкой|тол|производственный|рабочий|1120|ержавеющая|сталь|одной|полкой|бортиком|азмер|1200x600x850мм</v>
      </c>
      <c r="I1030" s="1"/>
      <c r="J1030" s="1"/>
    </row>
    <row r="1031" spans="1:10" ht="12.75" x14ac:dyDescent="0.2">
      <c r="A1031" s="8" t="s">
        <v>579</v>
      </c>
      <c r="B1031" s="7" t="s">
        <v>578</v>
      </c>
      <c r="C1031" s="7" t="s">
        <v>577</v>
      </c>
      <c r="D1031" s="6">
        <v>218000</v>
      </c>
      <c r="E1031" s="5">
        <v>1</v>
      </c>
      <c r="F1031" s="4" t="str">
        <f ca="1">IFERROR(__xludf.DUMMYFUNCTION("LOWER(REGEXREPLACE(B1031&amp;"" ""&amp;C1031,""[^а-яa-z0-9 ]"","" ""))")," тол ce tc080x70  ержавеющая сталь 430   абариты  800x700x850 мм")</f>
        <v xml:space="preserve"> тол ce tc080x70  ержавеющая сталь 430   абариты  800x700x850 мм</v>
      </c>
      <c r="G1031" s="4" t="str">
        <f ca="1">IFERROR(__xludf.DUMMYFUNCTION("TEXTJOIN(""|"",TRUE,UNIQUE(FILTER(SPLIT(F1031,"" ""),LEN(SPLIT(F1031,"" ""))&gt;2)))"),"тол|tc080x70|ержавеющая|сталь|430|абариты|800x700x850")</f>
        <v>тол|tc080x70|ержавеющая|сталь|430|абариты|800x700x850</v>
      </c>
      <c r="I1031" s="1"/>
      <c r="J1031" s="1"/>
    </row>
    <row r="1032" spans="1:10" ht="25.5" x14ac:dyDescent="0.2">
      <c r="A1032" s="8" t="s">
        <v>576</v>
      </c>
      <c r="B1032" s="7" t="s">
        <v>575</v>
      </c>
      <c r="C1032" s="7" t="s">
        <v>574</v>
      </c>
      <c r="D1032" s="6">
        <v>516600</v>
      </c>
      <c r="E1032" s="5">
        <v>1</v>
      </c>
      <c r="F1032" s="4" t="str">
        <f ca="1">IFERROR(__xludf.DUMMYFUNCTION("LOWER(REGEXREPLACE(B1032&amp;"" ""&amp;C1032,""[^а-яa-z0-9 ]"","" ""))")," тол ромашка  3 половинки  на регулируемых ножках  етский стол состоит из тр х половинок  общий диаметр   160 см   редназначен для групповой работы и занятий  ")</f>
        <v xml:space="preserve"> тол ромашка  3 половинки  на регулируемых ножках  етский стол состоит из тр х половинок  общий диаметр   160 см   редназначен для групповой работы и занятий  </v>
      </c>
      <c r="G1032" s="4" t="str">
        <f ca="1">IFERROR(__xludf.DUMMYFUNCTION("TEXTJOIN(""|"",TRUE,UNIQUE(FILTER(SPLIT(F1032,"" ""),LEN(SPLIT(F1032,"" ""))&gt;2)))"),"тол|ромашка|половинки|регулируемых|ножках|етский|стол|состоит|половинок|общий|диаметр|160|редназначен|для|групповой|работы|занятий")</f>
        <v>тол|ромашка|половинки|регулируемых|ножках|етский|стол|состоит|половинок|общий|диаметр|160|редназначен|для|групповой|работы|занятий</v>
      </c>
      <c r="I1032" s="1"/>
      <c r="J1032" s="1"/>
    </row>
    <row r="1033" spans="1:10" ht="25.5" x14ac:dyDescent="0.2">
      <c r="A1033" s="8" t="s">
        <v>573</v>
      </c>
      <c r="B1033" s="7" t="s">
        <v>572</v>
      </c>
      <c r="C1033" s="7" t="s">
        <v>571</v>
      </c>
      <c r="D1033" s="6">
        <v>19300</v>
      </c>
      <c r="E1033" s="5">
        <v>7</v>
      </c>
      <c r="F1033" s="4" t="str">
        <f ca="1">IFERROR(__xludf.DUMMYFUNCTION("LOWER(REGEXREPLACE(B1033&amp;"" ""&amp;C1033,""[^а-яa-z0-9 ]"","" ""))")," толик для игры с песком и водой  ластиковый столик для игр с песком и водой с крышкой   спользуется для сенсорных и развивающих занятий  устойчивый  безопасный  легко очищается ")</f>
        <v xml:space="preserve"> толик для игры с песком и водой  ластиковый столик для игр с песком и водой с крышкой   спользуется для сенсорных и развивающих занятий  устойчивый  безопасный  легко очищается </v>
      </c>
      <c r="G1033" s="4" t="str">
        <f ca="1">IFERROR(__xludf.DUMMYFUNCTION("TEXTJOIN(""|"",TRUE,UNIQUE(FILTER(SPLIT(F1033,"" ""),LEN(SPLIT(F1033,"" ""))&gt;2)))"),"толик|для|игры|песком|водой|ластиковый|столик|для|игр|песком|водой|крышкой|спользуется|для|сенсорных|развивающих|занятий|устойчивый|безопасный|легко|очищается")</f>
        <v>толик|для|игры|песком|водой|ластиковый|столик|для|игр|песком|водой|крышкой|спользуется|для|сенсорных|развивающих|занятий|устойчивый|безопасный|легко|очищается</v>
      </c>
      <c r="I1033" s="1"/>
      <c r="J1033" s="1"/>
    </row>
    <row r="1034" spans="1:10" ht="12.75" x14ac:dyDescent="0.2">
      <c r="A1034" s="8" t="s">
        <v>570</v>
      </c>
      <c r="B1034" s="7" t="s">
        <v>569</v>
      </c>
      <c r="C1034" s="7" t="s">
        <v>568</v>
      </c>
      <c r="D1034" s="6">
        <v>42000</v>
      </c>
      <c r="E1034" s="5">
        <v>1</v>
      </c>
      <c r="F1034" s="4" t="str">
        <f ca="1">IFERROR(__xludf.DUMMYFUNCTION("LOWER(REGEXREPLACE(B1034&amp;"" ""&amp;C1034,""[^а-яa-z0-9 ]"","" ""))")," тул  тул офисный     388 со спинкой с удобной посадкой   азмеры 530х560х820 см ")</f>
        <v xml:space="preserve"> тул  тул офисный     388 со спинкой с удобной посадкой   азмеры 530х560х820 см </v>
      </c>
      <c r="G1034" s="4" t="str">
        <f ca="1">IFERROR(__xludf.DUMMYFUNCTION("TEXTJOIN(""|"",TRUE,UNIQUE(FILTER(SPLIT(F1034,"" ""),LEN(SPLIT(F1034,"" ""))&gt;2)))"),"тул|тул|офисный|388|спинкой|удобной|посадкой|азмеры|530х560х820")</f>
        <v>тул|тул|офисный|388|спинкой|удобной|посадкой|азмеры|530х560х820</v>
      </c>
      <c r="I1034" s="1"/>
      <c r="J1034" s="1"/>
    </row>
    <row r="1035" spans="1:10" ht="76.5" x14ac:dyDescent="0.2">
      <c r="A1035" s="8" t="s">
        <v>567</v>
      </c>
      <c r="B1035" s="8" t="s">
        <v>566</v>
      </c>
      <c r="C1035" s="7" t="s">
        <v>565</v>
      </c>
      <c r="D1035" s="6">
        <v>42000</v>
      </c>
      <c r="E1035" s="5">
        <v>20</v>
      </c>
      <c r="F1035" s="4" t="str">
        <f ca="1">IFERROR(__xludf.DUMMYFUNCTION("LOWER(REGEXREPLACE(B1035&amp;"" ""&amp;C1035,""[^а-яa-z0-9 ]"","" ""))")," етский стул со спинкой   етский стул со спинкой  предназначенный для безопасного и комфортного сидения детей   онструкция выполнена из качественного дерева или прочного пластика  обеспечивая л гкость  устойчивость и долговечность   азмеры изделия  высота"&amp;" стула   48 см  высота сиденья   28 см  ширина   30 см   тул прочный  с тщательно обработанными краями и безопасными углами  подходит для ежедневного использования в детских учреждениях  ")</f>
        <v xml:space="preserve"> етский стул со спинкой   етский стул со спинкой  предназначенный для безопасного и комфортного сидения детей   онструкция выполнена из качественного дерева или прочного пластика  обеспечивая л гкость  устойчивость и долговечность   азмеры изделия  высота стула   48 см  высота сиденья   28 см  ширина   30 см   тул прочный  с тщательно обработанными краями и безопасными углами  подходит для ежедневного использования в детских учреждениях  </v>
      </c>
      <c r="G1035" s="4" t="str">
        <f ca="1">IFERROR(__xludf.DUMMYFUNCTION("TEXTJOIN(""|"",TRUE,UNIQUE(FILTER(SPLIT(F1035,"" ""),LEN(SPLIT(F1035,"" ""))&gt;2)))"),"етский|стул|спинкой|етский|стул|спинкой|предназначенный|для|безопасного|комфортного|сидения|детей|онструкция|выполнена|качественного|дерева|или|прочного|пластика|обеспечивая|гкость|устойчивость|долговечность|азмеры|изделия|высота|стула|высота|сиденья|шири"&amp;"на|тул|прочный|тщательно|обработанными|краями|безопасными|углами|подходит|для|ежедневного|использования|детских|учреждениях")</f>
        <v>етский|стул|спинкой|етский|стул|спинкой|предназначенный|для|безопасного|комфортного|сидения|детей|онструкция|выполнена|качественного|дерева|или|прочного|пластика|обеспечивая|гкость|устойчивость|долговечность|азмеры|изделия|высота|стула|высота|сиденья|ширина|тул|прочный|тщательно|обработанными|краями|безопасными|углами|подходит|для|ежедневного|использования|детских|учреждениях</v>
      </c>
      <c r="I1035" s="1"/>
      <c r="J1035" s="1"/>
    </row>
    <row r="1036" spans="1:10" ht="12.75" x14ac:dyDescent="0.2">
      <c r="A1036" s="8" t="s">
        <v>564</v>
      </c>
      <c r="B1036" s="7" t="s">
        <v>563</v>
      </c>
      <c r="C1036" s="9" t="s">
        <v>562</v>
      </c>
      <c r="D1036" s="6">
        <v>23131</v>
      </c>
      <c r="E1036" s="5">
        <v>26</v>
      </c>
      <c r="F1036" s="4" t="str">
        <f ca="1">IFERROR(__xludf.DUMMYFUNCTION("LOWER(REGEXREPLACE(B1036&amp;"" ""&amp;C1036,""[^а-яa-z0-9 ]"","" ""))")," тул для воспитателя с спинкой  тул полумягкий   ромированный каркас   азмер  550x600x830мм")</f>
        <v xml:space="preserve"> тул для воспитателя с спинкой  тул полумягкий   ромированный каркас   азмер  550x600x830мм</v>
      </c>
      <c r="G1036" s="4" t="str">
        <f ca="1">IFERROR(__xludf.DUMMYFUNCTION("TEXTJOIN(""|"",TRUE,UNIQUE(FILTER(SPLIT(F1036,"" ""),LEN(SPLIT(F1036,"" ""))&gt;2)))"),"тул|для|воспитателя|спинкой|тул|полумягкий|ромированный|каркас|азмер|550x600x830мм")</f>
        <v>тул|для|воспитателя|спинкой|тул|полумягкий|ромированный|каркас|азмер|550x600x830мм</v>
      </c>
      <c r="I1036" s="1"/>
      <c r="J1036" s="1"/>
    </row>
    <row r="1037" spans="1:10" ht="12.75" x14ac:dyDescent="0.2">
      <c r="A1037" s="8" t="s">
        <v>561</v>
      </c>
      <c r="B1037" s="7" t="s">
        <v>560</v>
      </c>
      <c r="C1037" s="7" t="s">
        <v>559</v>
      </c>
      <c r="D1037" s="6">
        <v>210000</v>
      </c>
      <c r="E1037" s="5">
        <v>50</v>
      </c>
      <c r="F1037" s="4" t="str">
        <f ca="1">IFERROR(__xludf.DUMMYFUNCTION("LOWER(REGEXREPLACE(B1037&amp;"" ""&amp;C1037,""[^а-яa-z0-9 ]"","" ""))")," тул для зрителей  тул предназначен для оснащения актового зала   азмеры   х х   500х650х860мм")</f>
        <v xml:space="preserve"> тул для зрителей  тул предназначен для оснащения актового зала   азмеры   х х   500х650х860мм</v>
      </c>
      <c r="G1037" s="4" t="str">
        <f ca="1">IFERROR(__xludf.DUMMYFUNCTION("TEXTJOIN(""|"",TRUE,UNIQUE(FILTER(SPLIT(F1037,"" ""),LEN(SPLIT(F1037,"" ""))&gt;2)))"),"тул|для|зрителей|тул|предназначен|для|оснащения|актового|зала|азмеры|500х650х860мм")</f>
        <v>тул|для|зрителей|тул|предназначен|для|оснащения|актового|зала|азмеры|500х650х860мм</v>
      </c>
      <c r="I1037" s="1"/>
      <c r="J1037" s="1"/>
    </row>
    <row r="1038" spans="1:10" ht="25.5" x14ac:dyDescent="0.2">
      <c r="A1038" s="8" t="s">
        <v>558</v>
      </c>
      <c r="B1038" s="7" t="s">
        <v>557</v>
      </c>
      <c r="C1038" s="7" t="s">
        <v>556</v>
      </c>
      <c r="D1038" s="6">
        <v>31045</v>
      </c>
      <c r="E1038" s="5">
        <v>3</v>
      </c>
      <c r="F1038" s="4" t="str">
        <f ca="1">IFERROR(__xludf.DUMMYFUNCTION("LOWER(REGEXREPLACE(B1038&amp;"" ""&amp;C1038,""[^а-яa-z0-9 ]"","" ""))")," тул полумягкий  тул полумягкий   атериал обивки ткань эко кожа   еталлический каркас  окрашен порошковой полимерной краской   азмер 410х560х940мм")</f>
        <v xml:space="preserve"> тул полумягкий  тул полумягкий   атериал обивки ткань эко кожа   еталлический каркас  окрашен порошковой полимерной краской   азмер 410х560х940мм</v>
      </c>
      <c r="G1038" s="4" t="str">
        <f ca="1">IFERROR(__xludf.DUMMYFUNCTION("TEXTJOIN(""|"",TRUE,UNIQUE(FILTER(SPLIT(F1038,"" ""),LEN(SPLIT(F1038,"" ""))&gt;2)))"),"тул|полумягкий|тул|полумягкий|атериал|обивки|ткань|эко|кожа|еталлический|каркас|окрашен|порошковой|полимерной|краской|азмер|410х560х940мм")</f>
        <v>тул|полумягкий|тул|полумягкий|атериал|обивки|ткань|эко|кожа|еталлический|каркас|окрашен|порошковой|полимерной|краской|азмер|410х560х940мм</v>
      </c>
      <c r="I1038" s="1"/>
      <c r="J1038" s="1"/>
    </row>
    <row r="1039" spans="1:10" ht="51" x14ac:dyDescent="0.2">
      <c r="A1039" s="7"/>
      <c r="B1039" s="7"/>
      <c r="C1039" s="7" t="s">
        <v>555</v>
      </c>
      <c r="D1039" s="6">
        <v>94500</v>
      </c>
      <c r="E1039" s="5">
        <v>15</v>
      </c>
      <c r="F1039" s="4" t="str">
        <f ca="1">IFERROR(__xludf.DUMMYFUNCTION("LOWER(REGEXREPLACE(B1039&amp;"" ""&amp;C1039,""[^а-яa-z0-9 ]"","" ""))"),"  тул предназначен для оснащения кабинетов       беспечивает комфортную посадку  устойчивую конструкцию и удобство при длительном использовании   атериал обивки ткань эко кожа   еталлический каркас  окрашен порошковой полимерной краской   азмер 410х560х94"&amp;"0мм")</f>
        <v xml:space="preserve">  тул предназначен для оснащения кабинетов       беспечивает комфортную посадку  устойчивую конструкцию и удобство при длительном использовании   атериал обивки ткань эко кожа   еталлический каркас  окрашен порошковой полимерной краской   азмер 410х560х940мм</v>
      </c>
      <c r="G1039" s="4" t="str">
        <f ca="1">IFERROR(__xludf.DUMMYFUNCTION("TEXTJOIN(""|"",TRUE,UNIQUE(FILTER(SPLIT(F1039,"" ""),LEN(SPLIT(F1039,"" ""))&gt;2)))"),"тул|предназначен|для|оснащения|кабинетов|беспечивает|комфортную|посадку|устойчивую|конструкцию|удобство|при|длительном|использовании|атериал|обивки|ткань|эко|кожа|еталлический|каркас|окрашен|порошковой|полимерной|краской|азмер|410х560х940мм")</f>
        <v>тул|предназначен|для|оснащения|кабинетов|беспечивает|комфортную|посадку|устойчивую|конструкцию|удобство|при|длительном|использовании|атериал|обивки|ткань|эко|кожа|еталлический|каркас|окрашен|порошковой|полимерной|краской|азмер|410х560х940мм</v>
      </c>
      <c r="I1039" s="1"/>
      <c r="J1039" s="1"/>
    </row>
    <row r="1040" spans="1:10" ht="12.75" x14ac:dyDescent="0.2">
      <c r="A1040" s="8" t="s">
        <v>554</v>
      </c>
      <c r="B1040" s="7" t="s">
        <v>553</v>
      </c>
      <c r="C1040" s="9" t="s">
        <v>552</v>
      </c>
      <c r="D1040" s="6">
        <v>35124</v>
      </c>
      <c r="E1040" s="5">
        <v>13</v>
      </c>
      <c r="F1040" s="4" t="str">
        <f ca="1">IFERROR(__xludf.DUMMYFUNCTION("LOWER(REGEXREPLACE(B1040&amp;"" ""&amp;C1040,""[^а-яa-z0-9 ]"","" ""))")," чительский стол  тол однотумбовый с 2 выдвижными ящиками       16 мм  размер 1200х600х760мм")</f>
        <v xml:space="preserve"> чительский стол  тол однотумбовый с 2 выдвижными ящиками       16 мм  размер 1200х600х760мм</v>
      </c>
      <c r="G1040" s="4" t="str">
        <f ca="1">IFERROR(__xludf.DUMMYFUNCTION("TEXTJOIN(""|"",TRUE,UNIQUE(FILTER(SPLIT(F1040,"" ""),LEN(SPLIT(F1040,"" ""))&gt;2)))"),"чительский|стол|тол|однотумбовый|выдвижными|ящиками|размер|1200х600х760мм")</f>
        <v>чительский|стол|тол|однотумбовый|выдвижными|ящиками|размер|1200х600х760мм</v>
      </c>
      <c r="I1040" s="1"/>
      <c r="J1040" s="1"/>
    </row>
    <row r="1041" spans="1:10" ht="12.75" x14ac:dyDescent="0.2">
      <c r="A1041" s="8" t="s">
        <v>551</v>
      </c>
      <c r="B1041" s="7" t="s">
        <v>550</v>
      </c>
      <c r="C1041" s="7" t="s">
        <v>549</v>
      </c>
      <c r="D1041" s="6">
        <v>525000</v>
      </c>
      <c r="E1041" s="5">
        <v>1</v>
      </c>
      <c r="F1041" s="4" t="str">
        <f ca="1">IFERROR(__xludf.DUMMYFUNCTION("LOWER(REGEXREPLACE(B1041&amp;"" ""&amp;C1041,""[^а-яa-z0-9 ]"","" ""))")," онференц стол для совещаний  онференц стол для проведения совещаний и рабочих встреч   азмеры 2700х1000х750мм")</f>
        <v xml:space="preserve"> онференц стол для совещаний  онференц стол для проведения совещаний и рабочих встреч   азмеры 2700х1000х750мм</v>
      </c>
      <c r="G1041" s="4" t="str">
        <f ca="1">IFERROR(__xludf.DUMMYFUNCTION("TEXTJOIN(""|"",TRUE,UNIQUE(FILTER(SPLIT(F1041,"" ""),LEN(SPLIT(F1041,"" ""))&gt;2)))"),"онференц|стол|для|совещаний|онференц|стол|для|проведения|совещаний|рабочих|встреч|азмеры|2700х1000х750мм")</f>
        <v>онференц|стол|для|совещаний|онференц|стол|для|проведения|совещаний|рабочих|встреч|азмеры|2700х1000х750мм</v>
      </c>
      <c r="I1041" s="1"/>
      <c r="J1041" s="1"/>
    </row>
    <row r="1042" spans="1:10" ht="25.5" x14ac:dyDescent="0.2">
      <c r="A1042" s="8" t="s">
        <v>548</v>
      </c>
      <c r="B1042" s="7" t="s">
        <v>547</v>
      </c>
      <c r="C1042" s="7" t="s">
        <v>546</v>
      </c>
      <c r="D1042" s="6">
        <v>163800</v>
      </c>
      <c r="E1042" s="5">
        <v>2</v>
      </c>
      <c r="F1042" s="4" t="str">
        <f ca="1">IFERROR(__xludf.DUMMYFUNCTION("LOWER(REGEXREPLACE(B1042&amp;"" ""&amp;C1042,""[^а-яa-z0-9 ]"","" ""))")," ведская стенка  спользуется для лазания  упражнений на координацию  силу и гибкость   астенное крепление  прорезиненные ступени   аксимальная нагрузка   до 100 кг   азмеры ширина 1400мм  высота 2400мм ")</f>
        <v xml:space="preserve"> ведская стенка  спользуется для лазания  упражнений на координацию  силу и гибкость   астенное крепление  прорезиненные ступени   аксимальная нагрузка   до 100 кг   азмеры ширина 1400мм  высота 2400мм </v>
      </c>
      <c r="G1042" s="4" t="str">
        <f ca="1">IFERROR(__xludf.DUMMYFUNCTION("TEXTJOIN(""|"",TRUE,UNIQUE(FILTER(SPLIT(F1042,"" ""),LEN(SPLIT(F1042,"" ""))&gt;2)))"),"ведская|стенка|спользуется|для|лазания|упражнений|координацию|силу|гибкость|астенное|крепление|прорезиненные|ступени|аксимальная|нагрузка|100|азмеры|ширина|1400мм|высота|2400мм")</f>
        <v>ведская|стенка|спользуется|для|лазания|упражнений|координацию|силу|гибкость|астенное|крепление|прорезиненные|ступени|аксимальная|нагрузка|100|азмеры|ширина|1400мм|высота|2400мм</v>
      </c>
      <c r="I1042" s="1"/>
      <c r="J1042" s="1"/>
    </row>
    <row r="1043" spans="1:10" ht="12.75" x14ac:dyDescent="0.2">
      <c r="A1043" s="8" t="s">
        <v>545</v>
      </c>
      <c r="B1043" s="7" t="s">
        <v>544</v>
      </c>
      <c r="C1043" s="7" t="s">
        <v>543</v>
      </c>
      <c r="D1043" s="6">
        <v>244200</v>
      </c>
      <c r="E1043" s="5">
        <v>2</v>
      </c>
      <c r="F1043" s="4" t="str">
        <f ca="1">IFERROR(__xludf.DUMMYFUNCTION("LOWER(REGEXREPLACE(B1043&amp;"" ""&amp;C1043,""[^а-яa-z0-9 ]"","" ""))")," каф  снащ н полками   азмеры 800х380х2000")</f>
        <v xml:space="preserve"> каф  снащ н полками   азмеры 800х380х2000</v>
      </c>
      <c r="G1043" s="4" t="str">
        <f ca="1">IFERROR(__xludf.DUMMYFUNCTION("TEXTJOIN(""|"",TRUE,UNIQUE(FILTER(SPLIT(F1043,"" ""),LEN(SPLIT(F1043,"" ""))&gt;2)))"),"каф|снащ|полками|азмеры|800х380х2000")</f>
        <v>каф|снащ|полками|азмеры|800х380х2000</v>
      </c>
      <c r="I1043" s="1"/>
      <c r="J1043" s="1"/>
    </row>
    <row r="1044" spans="1:10" ht="12.75" x14ac:dyDescent="0.2">
      <c r="A1044" s="8" t="s">
        <v>542</v>
      </c>
      <c r="B1044" s="7" t="s">
        <v>541</v>
      </c>
      <c r="C1044" s="9" t="s">
        <v>540</v>
      </c>
      <c r="D1044" s="6">
        <v>172228</v>
      </c>
      <c r="E1044" s="5">
        <v>52</v>
      </c>
      <c r="F1044" s="4" t="str">
        <f ca="1">IFERROR(__xludf.DUMMYFUNCTION("LOWER(REGEXREPLACE(B1044&amp;"" ""&amp;C1044,""[^а-яa-z0-9 ]"","" ""))")," каф 5 секционный  каф для одежды 5 ти секционный       16мм  металиический каркас  размер 1375х500х1250мм")</f>
        <v xml:space="preserve"> каф 5 секционный  каф для одежды 5 ти секционный       16мм  металиический каркас  размер 1375х500х1250мм</v>
      </c>
      <c r="G1044" s="4" t="str">
        <f ca="1">IFERROR(__xludf.DUMMYFUNCTION("TEXTJOIN(""|"",TRUE,UNIQUE(FILTER(SPLIT(F1044,"" ""),LEN(SPLIT(F1044,"" ""))&gt;2)))"),"каф|секционный|каф|для|одежды|секционный|16мм|металиический|каркас|размер|1375х500х1250мм")</f>
        <v>каф|секционный|каф|для|одежды|секционный|16мм|металиический|каркас|размер|1375х500х1250мм</v>
      </c>
      <c r="I1044" s="1"/>
      <c r="J1044" s="1"/>
    </row>
    <row r="1045" spans="1:10" ht="38.25" x14ac:dyDescent="0.2">
      <c r="A1045" s="8" t="s">
        <v>539</v>
      </c>
      <c r="B1045" s="7" t="s">
        <v>538</v>
      </c>
      <c r="C1045" s="7" t="s">
        <v>537</v>
      </c>
      <c r="D1045" s="6">
        <v>105000</v>
      </c>
      <c r="E1045" s="5">
        <v>13</v>
      </c>
      <c r="F1045" s="4" t="str">
        <f ca="1">IFERROR(__xludf.DUMMYFUNCTION("LOWER(REGEXREPLACE(B1045&amp;"" ""&amp;C1045,""[^а-яa-z0-9 ]"","" ""))")," каф в буфетной      предназначен для хранения чистой посуды и столовых приборов  азмеры           800   314   720 мм  конструкция   стационарная  материал корпуса         кромка        внутреннее наполнение   полки для размещения посуды и приборов  повер"&amp;"хность   влагостойкая  легко моющаяся")</f>
        <v xml:space="preserve"> каф в буфетной      предназначен для хранения чистой посуды и столовых приборов  азмеры           800   314   720 мм  конструкция   стационарная  материал корпуса         кромка        внутреннее наполнение   полки для размещения посуды и приборов  поверхность   влагостойкая  легко моющаяся</v>
      </c>
      <c r="G1045" s="4" t="str">
        <f ca="1">IFERROR(__xludf.DUMMYFUNCTION("TEXTJOIN(""|"",TRUE,UNIQUE(FILTER(SPLIT(F1045,"" ""),LEN(SPLIT(F1045,"" ""))&gt;2)))"),"каф|буфетной|предназначен|для|хранения|чистой|посуды|столовых|приборов|азмеры|800|314|720|конструкция|стационарная|материал|корпуса|кромка|внутреннее|наполнение|полки|для|размещения|посуды|приборов|поверхность|влагостойкая|легко|моющаяся")</f>
        <v>каф|буфетной|предназначен|для|хранения|чистой|посуды|столовых|приборов|азмеры|800|314|720|конструкция|стационарная|материал|корпуса|кромка|внутреннее|наполнение|полки|для|размещения|посуды|приборов|поверхность|влагостойкая|легко|моющаяся</v>
      </c>
      <c r="I1045" s="1"/>
      <c r="J1045" s="1"/>
    </row>
    <row r="1046" spans="1:10" ht="25.5" x14ac:dyDescent="0.2">
      <c r="A1046" s="8" t="s">
        <v>536</v>
      </c>
      <c r="B1046" s="7" t="s">
        <v>535</v>
      </c>
      <c r="C1046" s="7" t="s">
        <v>534</v>
      </c>
      <c r="D1046" s="6">
        <v>136500</v>
      </c>
      <c r="E1046" s="5">
        <v>1</v>
      </c>
      <c r="F1046" s="4" t="str">
        <f ca="1">IFERROR(__xludf.DUMMYFUNCTION("LOWER(REGEXREPLACE(B1046&amp;"" ""&amp;C1046,""[^а-яa-z0-9 ]"","" ""))")," каф для грязного белья  каф для временного хранения грязного белья  онструкция устойчивая  легко моется и дезинфицируется   азмеры 600х500х1860")</f>
        <v xml:space="preserve"> каф для грязного белья  каф для временного хранения грязного белья  онструкция устойчивая  легко моется и дезинфицируется   азмеры 600х500х1860</v>
      </c>
      <c r="G1046" s="4" t="str">
        <f ca="1">IFERROR(__xludf.DUMMYFUNCTION("TEXTJOIN(""|"",TRUE,UNIQUE(FILTER(SPLIT(F1046,"" ""),LEN(SPLIT(F1046,"" ""))&gt;2)))"),"каф|для|грязного|белья|каф|для|временного|хранения|грязного|белья|онструкция|устойчивая|легко|моется|дезинфицируется|азмеры|600х500х1860")</f>
        <v>каф|для|грязного|белья|каф|для|временного|хранения|грязного|белья|онструкция|устойчивая|легко|моется|дезинфицируется|азмеры|600х500х1860</v>
      </c>
      <c r="I1046" s="1"/>
      <c r="J1046" s="1"/>
    </row>
    <row r="1047" spans="1:10" ht="12.75" x14ac:dyDescent="0.2">
      <c r="A1047" s="8" t="s">
        <v>533</v>
      </c>
      <c r="B1047" s="7" t="s">
        <v>532</v>
      </c>
      <c r="C1047" s="7" t="s">
        <v>531</v>
      </c>
      <c r="D1047" s="6">
        <v>168000</v>
      </c>
      <c r="E1047" s="5">
        <v>16</v>
      </c>
      <c r="F1047" s="4" t="str">
        <f ca="1">IFERROR(__xludf.DUMMYFUNCTION("LOWER(REGEXREPLACE(B1047&amp;"" ""&amp;C1047,""[^а-яa-z0-9 ]"","" ""))")," каф для документов  каф для документации  закрытый   азмеры  800 450 1200 мм ")</f>
        <v xml:space="preserve"> каф для документов  каф для документации  закрытый   азмеры  800 450 1200 мм </v>
      </c>
      <c r="G1047" s="4" t="str">
        <f ca="1">IFERROR(__xludf.DUMMYFUNCTION("TEXTJOIN(""|"",TRUE,UNIQUE(FILTER(SPLIT(F1047,"" ""),LEN(SPLIT(F1047,"" ""))&gt;2)))"),"каф|для|документов|каф|для|документации|закрытый|азмеры|800|450|1200")</f>
        <v>каф|для|документов|каф|для|документации|закрытый|азмеры|800|450|1200</v>
      </c>
      <c r="I1047" s="1"/>
      <c r="J1047" s="1"/>
    </row>
    <row r="1048" spans="1:10" ht="12.75" x14ac:dyDescent="0.2">
      <c r="A1048" s="8" t="s">
        <v>530</v>
      </c>
      <c r="B1048" s="8" t="s">
        <v>529</v>
      </c>
      <c r="C1048" s="9" t="s">
        <v>528</v>
      </c>
      <c r="D1048" s="6">
        <v>60861</v>
      </c>
      <c r="E1048" s="5">
        <v>27</v>
      </c>
      <c r="F1048" s="4" t="str">
        <f ca="1">IFERROR(__xludf.DUMMYFUNCTION("LOWER(REGEXREPLACE(B1048&amp;"" ""&amp;C1048,""[^а-яa-z0-9 ]"","" ""))")," каф для одежды  каф для одежды 2 х дверный       16 мм  размеры 800х540х1930 мм")</f>
        <v xml:space="preserve"> каф для одежды  каф для одежды 2 х дверный       16 мм  размеры 800х540х1930 мм</v>
      </c>
      <c r="G1048" s="4" t="str">
        <f ca="1">IFERROR(__xludf.DUMMYFUNCTION("TEXTJOIN(""|"",TRUE,UNIQUE(FILTER(SPLIT(F1048,"" ""),LEN(SPLIT(F1048,"" ""))&gt;2)))"),"каф|для|одежды|каф|для|одежды|дверный|размеры|800х540х1930")</f>
        <v>каф|для|одежды|каф|для|одежды|дверный|размеры|800х540х1930</v>
      </c>
      <c r="I1048" s="1"/>
      <c r="J1048" s="1"/>
    </row>
    <row r="1049" spans="1:10" ht="25.5" x14ac:dyDescent="0.2">
      <c r="A1049" s="8" t="s">
        <v>527</v>
      </c>
      <c r="B1049" s="7" t="s">
        <v>526</v>
      </c>
      <c r="C1049" s="7" t="s">
        <v>525</v>
      </c>
      <c r="D1049" s="6">
        <v>52500</v>
      </c>
      <c r="E1049" s="5">
        <v>1</v>
      </c>
      <c r="F1049" s="4" t="str">
        <f ca="1">IFERROR(__xludf.DUMMYFUNCTION("LOWER(REGEXREPLACE(B1049&amp;"" ""&amp;C1049,""[^а-яa-z0-9 ]"","" ""))")," каф для тканей         тдельное хранение тканей  каф для тканей  закрытый   азмеры  800 450 1200 мм ")</f>
        <v xml:space="preserve"> каф для тканей         тдельное хранение тканей  каф для тканей  закрытый   азмеры  800 450 1200 мм </v>
      </c>
      <c r="G1049" s="4" t="str">
        <f ca="1">IFERROR(__xludf.DUMMYFUNCTION("TEXTJOIN(""|"",TRUE,UNIQUE(FILTER(SPLIT(F1049,"" ""),LEN(SPLIT(F1049,"" ""))&gt;2)))"),"каф|для|тканей|тдельное|хранение|тканей|каф|для|тканей|закрытый|азмеры|800|450|1200")</f>
        <v>каф|для|тканей|тдельное|хранение|тканей|каф|для|тканей|закрытый|азмеры|800|450|1200</v>
      </c>
      <c r="I1049" s="1"/>
      <c r="J1049" s="1"/>
    </row>
    <row r="1050" spans="1:10" ht="12.75" x14ac:dyDescent="0.2">
      <c r="A1050" s="8" t="s">
        <v>524</v>
      </c>
      <c r="B1050" s="8" t="s">
        <v>523</v>
      </c>
      <c r="C1050" s="7" t="s">
        <v>522</v>
      </c>
      <c r="D1050" s="6">
        <v>126000</v>
      </c>
      <c r="E1050" s="5">
        <v>4</v>
      </c>
      <c r="F1050" s="4" t="str">
        <f ca="1">IFERROR(__xludf.DUMMYFUNCTION("LOWER(REGEXREPLACE(B1050&amp;"" ""&amp;C1050,""[^а-яa-z0-9 ]"","" ""))")," каф закрытый  каф закрытый   азмеры  800 450 1200 мм ")</f>
        <v xml:space="preserve"> каф закрытый  каф закрытый   азмеры  800 450 1200 мм </v>
      </c>
      <c r="G1050" s="4" t="str">
        <f ca="1">IFERROR(__xludf.DUMMYFUNCTION("TEXTJOIN(""|"",TRUE,UNIQUE(FILTER(SPLIT(F1050,"" ""),LEN(SPLIT(F1050,"" ""))&gt;2)))"),"каф|закрытый|каф|закрытый|азмеры|800|450|1200")</f>
        <v>каф|закрытый|каф|закрытый|азмеры|800|450|1200</v>
      </c>
      <c r="I1050" s="1"/>
      <c r="J1050" s="1"/>
    </row>
    <row r="1051" spans="1:10" ht="38.25" x14ac:dyDescent="0.2">
      <c r="A1051" s="8" t="s">
        <v>521</v>
      </c>
      <c r="B1051" s="7" t="s">
        <v>520</v>
      </c>
      <c r="C1051" s="7" t="s">
        <v>519</v>
      </c>
      <c r="D1051" s="6">
        <v>126000</v>
      </c>
      <c r="E1051" s="5">
        <v>13</v>
      </c>
      <c r="F1051" s="4" t="str">
        <f ca="1">IFERROR(__xludf.DUMMYFUNCTION("LOWER(REGEXREPLACE(B1051&amp;"" ""&amp;C1051,""[^а-яa-z0-9 ]"","" ""))")," каф навесной с газ лифтом   азмеры           600   314   360 мм  тип   навесной  механизм открывания   дверца с газлифтом  материал корпуса         кромка        фасад               крепление   настенное  скрытое  поверхность   влагостойкая  легко моющая"&amp;"ся ")</f>
        <v xml:space="preserve"> каф навесной с газ лифтом   азмеры           600   314   360 мм  тип   навесной  механизм открывания   дверца с газлифтом  материал корпуса         кромка        фасад               крепление   настенное  скрытое  поверхность   влагостойкая  легко моющаяся </v>
      </c>
      <c r="G1051" s="4" t="str">
        <f ca="1">IFERROR(__xludf.DUMMYFUNCTION("TEXTJOIN(""|"",TRUE,UNIQUE(FILTER(SPLIT(F1051,"" ""),LEN(SPLIT(F1051,"" ""))&gt;2)))"),"каф|навесной|газ|лифтом|азмеры|600|314|360|тип|навесной|механизм|открывания|дверца|газлифтом|материал|корпуса|кромка|фасад|крепление|настенное|скрытое|поверхность|влагостойкая|легко|моющаяся")</f>
        <v>каф|навесной|газ|лифтом|азмеры|600|314|360|тип|навесной|механизм|открывания|дверца|газлифтом|материал|корпуса|кромка|фасад|крепление|настенное|скрытое|поверхность|влагостойкая|легко|моющаяся</v>
      </c>
      <c r="I1051" s="1"/>
      <c r="J1051" s="1"/>
    </row>
    <row r="1052" spans="1:10" ht="12.75" x14ac:dyDescent="0.2">
      <c r="A1052" s="8" t="s">
        <v>518</v>
      </c>
      <c r="B1052" s="7" t="s">
        <v>517</v>
      </c>
      <c r="C1052" s="7" t="s">
        <v>516</v>
      </c>
      <c r="D1052" s="6">
        <v>1408500</v>
      </c>
      <c r="E1052" s="5">
        <v>1</v>
      </c>
      <c r="F1052" s="4" t="str">
        <f ca="1">IFERROR(__xludf.DUMMYFUNCTION("LOWER(REGEXREPLACE(B1052&amp;"" ""&amp;C1052,""[^а-яa-z0-9 ]"","" ""))")," каф расстоечный vmk 2  местимость  8 противней 40x60  3 2 к т   230    азмеры  940x790x850 мм")</f>
        <v xml:space="preserve"> каф расстоечный vmk 2  местимость  8 противней 40x60  3 2 к т   230    азмеры  940x790x850 мм</v>
      </c>
      <c r="G1052" s="4" t="str">
        <f ca="1">IFERROR(__xludf.DUMMYFUNCTION("TEXTJOIN(""|"",TRUE,UNIQUE(FILTER(SPLIT(F1052,"" ""),LEN(SPLIT(F1052,"" ""))&gt;2)))"),"каф|расстоечный|vmk|местимость|противней|40x60|230|азмеры|940x790x850")</f>
        <v>каф|расстоечный|vmk|местимость|противней|40x60|230|азмеры|940x790x850</v>
      </c>
      <c r="I1052" s="1"/>
      <c r="J1052" s="1"/>
    </row>
    <row r="1053" spans="1:10" ht="25.5" x14ac:dyDescent="0.2">
      <c r="A1053" s="8" t="s">
        <v>515</v>
      </c>
      <c r="B1053" s="7" t="s">
        <v>514</v>
      </c>
      <c r="C1053" s="7" t="s">
        <v>513</v>
      </c>
      <c r="D1053" s="6">
        <v>136500</v>
      </c>
      <c r="E1053" s="5">
        <v>3</v>
      </c>
      <c r="F1053" s="4" t="str">
        <f ca="1">IFERROR(__xludf.DUMMYFUNCTION("LOWER(REGEXREPLACE(B1053&amp;"" ""&amp;C1053,""[^а-яa-z0-9 ]"","" ""))")," каф хозяйственный  каф предназначен для хранения хозяйственного инвентаря  уборочных принадлежностей  моющих и дезинфицирующих средств   снащается полками и или отделением для швабр и ведер   азмеры 600х500х1860")</f>
        <v xml:space="preserve"> каф хозяйственный  каф предназначен для хранения хозяйственного инвентаря  уборочных принадлежностей  моющих и дезинфицирующих средств   снащается полками и или отделением для швабр и ведер   азмеры 600х500х1860</v>
      </c>
      <c r="G1053" s="4" t="str">
        <f ca="1">IFERROR(__xludf.DUMMYFUNCTION("TEXTJOIN(""|"",TRUE,UNIQUE(FILTER(SPLIT(F1053,"" ""),LEN(SPLIT(F1053,"" ""))&gt;2)))"),"каф|хозяйственный|каф|предназначен|для|хранения|хозяйственного|инвентаря|уборочных|принадлежностей|моющих|дезинфицирующих|средств|снащается|полками|или|отделением|для|швабр|ведер|азмеры|600х500х1860")</f>
        <v>каф|хозяйственный|каф|предназначен|для|хранения|хозяйственного|инвентаря|уборочных|принадлежностей|моющих|дезинфицирующих|средств|снащается|полками|или|отделением|для|швабр|ведер|азмеры|600х500х1860</v>
      </c>
      <c r="I1053" s="1"/>
      <c r="J1053" s="1"/>
    </row>
    <row r="1054" spans="1:10" ht="12.75" x14ac:dyDescent="0.2">
      <c r="A1054" s="8" t="s">
        <v>512</v>
      </c>
      <c r="B1054" s="7" t="s">
        <v>511</v>
      </c>
      <c r="C1054" s="7" t="s">
        <v>510</v>
      </c>
      <c r="D1054" s="6">
        <v>770400</v>
      </c>
      <c r="E1054" s="5">
        <v>1</v>
      </c>
      <c r="F1054" s="4" t="str">
        <f ca="1">IFERROR(__xludf.DUMMYFUNCTION("LOWER(REGEXREPLACE(B1054&amp;"" ""&amp;C1054,""[^а-яa-z0-9 ]"","" ""))")," каф ce dm120x60  ержавеющая сталь 430    2 дверями  4 полками   араметры  1200x600x1600 мм")</f>
        <v xml:space="preserve"> каф ce dm120x60  ержавеющая сталь 430    2 дверями  4 полками   араметры  1200x600x1600 мм</v>
      </c>
      <c r="G1054" s="4" t="str">
        <f ca="1">IFERROR(__xludf.DUMMYFUNCTION("TEXTJOIN(""|"",TRUE,UNIQUE(FILTER(SPLIT(F1054,"" ""),LEN(SPLIT(F1054,"" ""))&gt;2)))"),"каф|dm120x60|ержавеющая|сталь|430|дверями|полками|араметры|1200x600x1600")</f>
        <v>каф|dm120x60|ержавеющая|сталь|430|дверями|полками|араметры|1200x600x1600</v>
      </c>
      <c r="I1054" s="1"/>
      <c r="J1054" s="1"/>
    </row>
    <row r="1055" spans="1:10" ht="25.5" x14ac:dyDescent="0.2">
      <c r="A1055" s="8" t="s">
        <v>509</v>
      </c>
      <c r="B1055" s="7" t="s">
        <v>508</v>
      </c>
      <c r="C1055" s="7" t="s">
        <v>507</v>
      </c>
      <c r="D1055" s="6">
        <v>35830</v>
      </c>
      <c r="E1055" s="5">
        <v>3</v>
      </c>
      <c r="F1055" s="4" t="str">
        <f ca="1">IFERROR(__xludf.DUMMYFUNCTION("LOWER(REGEXREPLACE(B1055&amp;"" ""&amp;C1055,""[^а-яa-z0-9 ]"","" ""))")," тол однотумбовый с 2 выдвижными ящиками  тол однотумбовый с 2 выдвижными ящиками       16 мм  размер 1200х700х750мм ")</f>
        <v xml:space="preserve"> тол однотумбовый с 2 выдвижными ящиками  тол однотумбовый с 2 выдвижными ящиками       16 мм  размер 1200х700х750мм </v>
      </c>
      <c r="G1055" s="4" t="str">
        <f ca="1">IFERROR(__xludf.DUMMYFUNCTION("TEXTJOIN(""|"",TRUE,UNIQUE(FILTER(SPLIT(F1055,"" ""),LEN(SPLIT(F1055,"" ""))&gt;2)))"),"тол|однотумбовый|выдвижными|ящиками|тол|однотумбовый|выдвижными|ящиками|размер|1200х700х750мм")</f>
        <v>тол|однотумбовый|выдвижными|ящиками|тол|однотумбовый|выдвижными|ящиками|размер|1200х700х750мм</v>
      </c>
      <c r="I1055" s="1"/>
      <c r="J1055" s="1"/>
    </row>
    <row r="1056" spans="1:10" ht="25.5" x14ac:dyDescent="0.2">
      <c r="A1056" s="8" t="s">
        <v>506</v>
      </c>
      <c r="B1056" s="8" t="s">
        <v>505</v>
      </c>
      <c r="C1056" s="7" t="s">
        <v>504</v>
      </c>
      <c r="D1056" s="6">
        <v>84000</v>
      </c>
      <c r="E1056" s="5">
        <v>2</v>
      </c>
      <c r="F1056" s="4" t="str">
        <f ca="1">IFERROR(__xludf.DUMMYFUNCTION("LOWER(REGEXREPLACE(B1056&amp;"" ""&amp;C1056,""[^а-яa-z0-9 ]"","" ""))")," ровать детская для изолятора  ровать детская односпальная  размеры 1436х650х600мм   аркас цельносварная рамочная  конструкция  боковины и царги кровати из      16 мм  все углы закруглены   оже 1400х600мм")</f>
        <v xml:space="preserve"> ровать детская для изолятора  ровать детская односпальная  размеры 1436х650х600мм   аркас цельносварная рамочная  конструкция  боковины и царги кровати из      16 мм  все углы закруглены   оже 1400х600мм</v>
      </c>
      <c r="G1056" s="4" t="str">
        <f ca="1">IFERROR(__xludf.DUMMYFUNCTION("TEXTJOIN(""|"",TRUE,UNIQUE(FILTER(SPLIT(F1056,"" ""),LEN(SPLIT(F1056,"" ""))&gt;2)))"),"ровать|детская|для|изолятора|ровать|детская|односпальная|размеры|1436х650х600мм|аркас|цельносварная|рамочная|конструкция|боковины|царги|кровати|все|углы|закруглены|оже|1400х600мм")</f>
        <v>ровать|детская|для|изолятора|ровать|детская|односпальная|размеры|1436х650х600мм|аркас|цельносварная|рамочная|конструкция|боковины|царги|кровати|все|углы|закруглены|оже|1400х600мм</v>
      </c>
      <c r="I1056" s="1"/>
      <c r="J1056" s="1"/>
    </row>
    <row r="1057" spans="1:10" ht="38.25" x14ac:dyDescent="0.2">
      <c r="A1057" s="8" t="s">
        <v>503</v>
      </c>
      <c r="B1057" s="8" t="s">
        <v>502</v>
      </c>
      <c r="C1057" s="7" t="s">
        <v>501</v>
      </c>
      <c r="D1057" s="6">
        <v>105000</v>
      </c>
      <c r="E1057" s="5">
        <v>29</v>
      </c>
      <c r="F1057" s="4" t="str">
        <f ca="1">IFERROR(__xludf.DUMMYFUNCTION("LOWER(REGEXREPLACE(B1057&amp;"" ""&amp;C1057,""[^а-яa-z0-9 ]"","" ""))")," ресло офисное  фисное кресло  ihoo  76 007 используется в административных и рабочих зонах   снащено механизмом регулировки высоты и функцией качания   азмеры    х   х    63 5 х 88 9 х 63 5 см")</f>
        <v xml:space="preserve"> ресло офисное  фисное кресло  ihoo  76 007 используется в административных и рабочих зонах   снащено механизмом регулировки высоты и функцией качания   азмеры    х   х    63 5 х 88 9 х 63 5 см</v>
      </c>
      <c r="G1057" s="4" t="str">
        <f ca="1">IFERROR(__xludf.DUMMYFUNCTION("TEXTJOIN(""|"",TRUE,UNIQUE(FILTER(SPLIT(F1057,"" ""),LEN(SPLIT(F1057,"" ""))&gt;2)))"),"ресло|офисное|фисное|кресло|ihoo|используется|административных|рабочих|зонах|снащено|механизмом|регулировки|высоты|функцией|качания|азмеры")</f>
        <v>ресло|офисное|фисное|кресло|ihoo|используется|административных|рабочих|зонах|снащено|механизмом|регулировки|высоты|функцией|качания|азмеры</v>
      </c>
      <c r="I1057" s="1"/>
      <c r="J1057" s="1"/>
    </row>
    <row r="1058" spans="1:10" ht="12.75" x14ac:dyDescent="0.2">
      <c r="A1058" s="8" t="s">
        <v>500</v>
      </c>
      <c r="B1058" s="7" t="s">
        <v>499</v>
      </c>
      <c r="C1058" s="7" t="s">
        <v>498</v>
      </c>
      <c r="D1058" s="6">
        <v>420000</v>
      </c>
      <c r="E1058" s="5">
        <v>2</v>
      </c>
      <c r="F1058" s="4" t="str">
        <f ca="1">IFERROR(__xludf.DUMMYFUNCTION("LOWER(REGEXREPLACE(B1058&amp;"" ""&amp;C1058,""[^а-яa-z0-9 ]"","" ""))")," теллаж производственный   теллаж           10 5 4  01    х х   1850х1000х500  каркас труба нерж 40х40  полка сплошная ")</f>
        <v xml:space="preserve"> теллаж производственный   теллаж           10 5 4  01    х х   1850х1000х500  каркас труба нерж 40х40  полка сплошная </v>
      </c>
      <c r="G1058" s="4" t="str">
        <f ca="1">IFERROR(__xludf.DUMMYFUNCTION("TEXTJOIN(""|"",TRUE,UNIQUE(FILTER(SPLIT(F1058,"" ""),LEN(SPLIT(F1058,"" ""))&gt;2)))"),"теллаж|производственный|теллаж|1850х1000х500|каркас|труба|нерж|40х40|полка|сплошная")</f>
        <v>теллаж|производственный|теллаж|1850х1000х500|каркас|труба|нерж|40х40|полка|сплошная</v>
      </c>
      <c r="I1058" s="1"/>
      <c r="J1058" s="1"/>
    </row>
    <row r="1059" spans="1:10" ht="12.75" x14ac:dyDescent="0.2">
      <c r="A1059" s="8" t="s">
        <v>497</v>
      </c>
      <c r="B1059" s="7" t="s">
        <v>496</v>
      </c>
      <c r="C1059" s="7" t="s">
        <v>495</v>
      </c>
      <c r="D1059" s="6">
        <v>112300</v>
      </c>
      <c r="E1059" s="5">
        <v>4</v>
      </c>
      <c r="F1059" s="4" t="str">
        <f ca="1">IFERROR(__xludf.DUMMYFUNCTION("LOWER(REGEXREPLACE(B1059&amp;"" ""&amp;C1059,""[^а-яa-z0-9 ]"","" ""))")," оска маркерная меловая поворотная  оска двухсторонняя 1200 2400 см  маркерная  меловая   магнитная  на подставке  передвижная на колесиках")</f>
        <v xml:space="preserve"> оска маркерная меловая поворотная  оска двухсторонняя 1200 2400 см  маркерная  меловая   магнитная  на подставке  передвижная на колесиках</v>
      </c>
      <c r="G1059" s="4" t="str">
        <f ca="1">IFERROR(__xludf.DUMMYFUNCTION("TEXTJOIN(""|"",TRUE,UNIQUE(FILTER(SPLIT(F1059,"" ""),LEN(SPLIT(F1059,"" ""))&gt;2)))"),"оска|маркерная|меловая|поворотная|оска|двухсторонняя|1200|2400|маркерная|меловая|магнитная|подставке|передвижная|колесиках")</f>
        <v>оска|маркерная|меловая|поворотная|оска|двухсторонняя|1200|2400|маркерная|меловая|магнитная|подставке|передвижная|колесиках</v>
      </c>
      <c r="I1059" s="1"/>
      <c r="J1059" s="1"/>
    </row>
    <row r="1060" spans="1:10" ht="51" x14ac:dyDescent="0.2">
      <c r="A1060" s="8" t="s">
        <v>494</v>
      </c>
      <c r="B1060" s="7" t="s">
        <v>493</v>
      </c>
      <c r="C1060" s="7" t="s">
        <v>492</v>
      </c>
      <c r="D1060" s="6">
        <v>28100</v>
      </c>
      <c r="E1060" s="5">
        <v>4</v>
      </c>
      <c r="F1060" s="4" t="str">
        <f ca="1">IFERROR(__xludf.DUMMYFUNCTION("LOWER(REGEXREPLACE(B1060&amp;"" ""&amp;C1060,""[^а-яa-z0-9 ]"","" ""))")," абор комплект для магнитно маркерной доски  агнитный  тиратель для маркерной доски  губка с набором маркеров и комплектом магнитов и  истящая жидкость спрей   омплектация тиратели магнитные для магнитно маркерной доски 107х57 мм    2 штуки    абор  аркер"&amp;"ов 6 шт    ерный 2 шт    иний 2 шт    расный 2 шт     12  агнитов    истящая жидкость спрей   1 шт")</f>
        <v xml:space="preserve"> абор комплект для магнитно маркерной доски  агнитный  тиратель для маркерной доски  губка с набором маркеров и комплектом магнитов и  истящая жидкость спрей   омплектация тиратели магнитные для магнитно маркерной доски 107х57 мм    2 штуки    абор  аркеров 6 шт    ерный 2 шт    иний 2 шт    расный 2 шт     12  агнитов    истящая жидкость спрей   1 шт</v>
      </c>
      <c r="G1060" s="4" t="str">
        <f ca="1">IFERROR(__xludf.DUMMYFUNCTION("TEXTJOIN(""|"",TRUE,UNIQUE(FILTER(SPLIT(F1060,"" ""),LEN(SPLIT(F1060,"" ""))&gt;2)))"),"абор|комплект|для|магнитно|маркерной|доски|агнитный|тиратель|для|маркерной|доски|губка|набором|маркеров|комплектом|магнитов|истящая|жидкость|спрей|омплектация|тиратели|магнитные|для|магнитно|маркерной|доски|107х57|штуки|абор|аркеров|ерный|иний|расный|агни"&amp;"тов|истящая|жидкость|спрей")</f>
        <v>абор|комплект|для|магнитно|маркерной|доски|агнитный|тиратель|для|маркерной|доски|губка|набором|маркеров|комплектом|магнитов|истящая|жидкость|спрей|омплектация|тиратели|магнитные|для|магнитно|маркерной|доски|107х57|штуки|абор|аркеров|ерный|иний|расный|агнитов|истящая|жидкость|спрей</v>
      </c>
      <c r="I1060" s="1"/>
      <c r="J1060" s="1"/>
    </row>
    <row r="1061" spans="1:10" ht="12.75" x14ac:dyDescent="0.2">
      <c r="A1061" s="8" t="s">
        <v>491</v>
      </c>
      <c r="B1061" s="7" t="s">
        <v>490</v>
      </c>
      <c r="C1061" s="7" t="s">
        <v>489</v>
      </c>
      <c r="D1061" s="6">
        <v>277200</v>
      </c>
      <c r="E1061" s="5">
        <v>1</v>
      </c>
      <c r="F1061" s="4" t="str">
        <f ca="1">IFERROR(__xludf.DUMMYFUNCTION("LOWER(REGEXREPLACE(B1061&amp;"" ""&amp;C1061,""[^а-яa-z0-9 ]"","" ""))")," теллаж для горшков  каф для горшков на 20 мест на ножках    20    збука   иний   х х  135х32х113  атериал     ")</f>
        <v xml:space="preserve"> теллаж для горшков  каф для горшков на 20 мест на ножках    20    збука   иний   х х  135х32х113  атериал     </v>
      </c>
      <c r="G1061" s="4" t="str">
        <f ca="1">IFERROR(__xludf.DUMMYFUNCTION("TEXTJOIN(""|"",TRUE,UNIQUE(FILTER(SPLIT(F1061,"" ""),LEN(SPLIT(F1061,"" ""))&gt;2)))"),"теллаж|для|горшков|каф|для|горшков|мест|ножках|збука|иний|135х32х113|атериал")</f>
        <v>теллаж|для|горшков|каф|для|горшков|мест|ножках|збука|иний|135х32х113|атериал</v>
      </c>
      <c r="I1061" s="1"/>
      <c r="J1061" s="1"/>
    </row>
    <row r="1062" spans="1:10" ht="12.75" x14ac:dyDescent="0.2">
      <c r="A1062" s="8" t="s">
        <v>488</v>
      </c>
      <c r="B1062" s="7" t="s">
        <v>487</v>
      </c>
      <c r="C1062" s="7" t="s">
        <v>486</v>
      </c>
      <c r="D1062" s="6">
        <v>1352700</v>
      </c>
      <c r="E1062" s="5">
        <v>1</v>
      </c>
      <c r="F1062" s="4" t="str">
        <f ca="1">IFERROR(__xludf.DUMMYFUNCTION("LOWER(REGEXREPLACE(B1062&amp;"" ""&amp;C1062,""[^а-яa-z0-9 ]"","" ""))")," олл шторы  олл шторы белые однотонные   слуги доставки и монтажа")</f>
        <v xml:space="preserve"> олл шторы  олл шторы белые однотонные   слуги доставки и монтажа</v>
      </c>
      <c r="G1062" s="4" t="str">
        <f ca="1">IFERROR(__xludf.DUMMYFUNCTION("TEXTJOIN(""|"",TRUE,UNIQUE(FILTER(SPLIT(F1062,"" ""),LEN(SPLIT(F1062,"" ""))&gt;2)))"),"олл|шторы|олл|шторы|белые|однотонные|слуги|доставки|монтажа")</f>
        <v>олл|шторы|олл|шторы|белые|однотонные|слуги|доставки|монтажа</v>
      </c>
      <c r="I1062" s="1"/>
      <c r="J1062" s="1"/>
    </row>
    <row r="1063" spans="1:10" ht="12.75" x14ac:dyDescent="0.2">
      <c r="A1063" s="8" t="s">
        <v>485</v>
      </c>
      <c r="B1063" s="8" t="s">
        <v>484</v>
      </c>
      <c r="C1063" s="7" t="s">
        <v>483</v>
      </c>
      <c r="D1063" s="6">
        <v>2024600</v>
      </c>
      <c r="E1063" s="5">
        <v>1</v>
      </c>
      <c r="F1063" s="4" t="str">
        <f ca="1">IFERROR(__xludf.DUMMYFUNCTION("LOWER(REGEXREPLACE(B1063&amp;"" ""&amp;C1063,""[^а-яa-z0-9 ]"","" ""))")," троительство соляной пещеры  1  еновое предложение на строительство соляной пещеры  1   омплектация  люкс")</f>
        <v xml:space="preserve"> троительство соляной пещеры  1  еновое предложение на строительство соляной пещеры  1   омплектация  люкс</v>
      </c>
      <c r="G1063" s="4" t="str">
        <f ca="1">IFERROR(__xludf.DUMMYFUNCTION("TEXTJOIN(""|"",TRUE,UNIQUE(FILTER(SPLIT(F1063,"" ""),LEN(SPLIT(F1063,"" ""))&gt;2)))"),"троительство|соляной|пещеры|еновое|предложение|строительство|соляной|пещеры|омплектация|люкс")</f>
        <v>троительство|соляной|пещеры|еновое|предложение|строительство|соляной|пещеры|омплектация|люкс</v>
      </c>
      <c r="I1063" s="1"/>
      <c r="J1063" s="1"/>
    </row>
    <row r="1064" spans="1:10" ht="12.75" x14ac:dyDescent="0.2">
      <c r="A1064" s="8" t="s">
        <v>482</v>
      </c>
      <c r="B1064" s="8" t="s">
        <v>481</v>
      </c>
      <c r="C1064" s="7" t="s">
        <v>480</v>
      </c>
      <c r="D1064" s="6">
        <v>2077900</v>
      </c>
      <c r="E1064" s="5">
        <v>1</v>
      </c>
      <c r="F1064" s="4" t="str">
        <f ca="1">IFERROR(__xludf.DUMMYFUNCTION("LOWER(REGEXREPLACE(B1064&amp;"" ""&amp;C1064,""[^а-яa-z0-9 ]"","" ""))")," троительство соляной пещеры  2  еновое предложение на строительство соляной пещеры  2   омплектация  люкс")</f>
        <v xml:space="preserve"> троительство соляной пещеры  2  еновое предложение на строительство соляной пещеры  2   омплектация  люкс</v>
      </c>
      <c r="G1064" s="4" t="str">
        <f ca="1">IFERROR(__xludf.DUMMYFUNCTION("TEXTJOIN(""|"",TRUE,UNIQUE(FILTER(SPLIT(F1064,"" ""),LEN(SPLIT(F1064,"" ""))&gt;2)))"),"троительство|соляной|пещеры|еновое|предложение|строительство|соляной|пещеры|омплектация|люкс")</f>
        <v>троительство|соляной|пещеры|еновое|предложение|строительство|соляной|пещеры|омплектация|люкс</v>
      </c>
      <c r="I1064" s="1"/>
      <c r="J1064" s="1"/>
    </row>
    <row r="1065" spans="1:10" ht="51" x14ac:dyDescent="0.2">
      <c r="A1065" s="8" t="s">
        <v>479</v>
      </c>
      <c r="B1065" s="7" t="s">
        <v>478</v>
      </c>
      <c r="C1065" s="7" t="s">
        <v>467</v>
      </c>
      <c r="D1065" s="6">
        <v>14400</v>
      </c>
      <c r="E1065" s="5">
        <v>4</v>
      </c>
      <c r="F1065" s="4" t="str">
        <f ca="1">IFERROR(__xludf.DUMMYFUNCTION("LOWER(REGEXREPLACE(B1065&amp;"" ""&amp;C1065,""[^а-яa-z0-9 ]"","" ""))")," едро 18л  бъем 18 л  атериал     плластик  ип  едро без крышки  орма  рямоугольная")</f>
        <v xml:space="preserve"> едро 18л  бъем 18 л  атериал     плластик  ип  едро без крышки  орма  рямоугольная</v>
      </c>
      <c r="G1065" s="4" t="str">
        <f ca="1">IFERROR(__xludf.DUMMYFUNCTION("TEXTJOIN(""|"",TRUE,UNIQUE(FILTER(SPLIT(F1065,"" ""),LEN(SPLIT(F1065,"" ""))&gt;2)))"),"едро|18л|бъем|атериал|плластик|едро|без|крышки|орма|рямоугольная")</f>
        <v>едро|18л|бъем|атериал|плластик|едро|без|крышки|орма|рямоугольная</v>
      </c>
      <c r="I1065" s="1"/>
      <c r="J1065" s="1"/>
    </row>
    <row r="1066" spans="1:10" ht="51" x14ac:dyDescent="0.2">
      <c r="A1066" s="8" t="s">
        <v>477</v>
      </c>
      <c r="B1066" s="7" t="s">
        <v>476</v>
      </c>
      <c r="C1066" s="7" t="s">
        <v>475</v>
      </c>
      <c r="D1066" s="6">
        <v>90000</v>
      </c>
      <c r="E1066" s="5">
        <v>6</v>
      </c>
      <c r="F1066" s="4" t="str">
        <f ca="1">IFERROR(__xludf.DUMMYFUNCTION("LOWER(REGEXREPLACE(B1066&amp;"" ""&amp;C1066,""[^а-яa-z0-9 ]"","" ""))")," вухвед рная тележка  атериа  ластик  аксимальная нагрузка на всю конструкцию 80 кг  оличество поворотных колес 4 шт  оличество ведер 2 шт")</f>
        <v xml:space="preserve"> вухвед рная тележка  атериа  ластик  аксимальная нагрузка на всю конструкцию 80 кг  оличество поворотных колес 4 шт  оличество ведер 2 шт</v>
      </c>
      <c r="G1066" s="4" t="str">
        <f ca="1">IFERROR(__xludf.DUMMYFUNCTION("TEXTJOIN(""|"",TRUE,UNIQUE(FILTER(SPLIT(F1066,"" ""),LEN(SPLIT(F1066,"" ""))&gt;2)))"),"вухвед|рная|тележка|атериа|ластик|аксимальная|нагрузка|всю|конструкцию|оличество|поворотных|колес|оличество|ведер")</f>
        <v>вухвед|рная|тележка|атериа|ластик|аксимальная|нагрузка|всю|конструкцию|оличество|поворотных|колес|оличество|ведер</v>
      </c>
      <c r="I1066" s="1"/>
      <c r="J1066" s="1"/>
    </row>
    <row r="1067" spans="1:10" ht="51" x14ac:dyDescent="0.2">
      <c r="A1067" s="8" t="s">
        <v>474</v>
      </c>
      <c r="B1067" s="7" t="s">
        <v>473</v>
      </c>
      <c r="C1067" s="7" t="s">
        <v>458</v>
      </c>
      <c r="D1067" s="6">
        <v>18000</v>
      </c>
      <c r="E1067" s="5">
        <v>12</v>
      </c>
      <c r="F1067" s="4" t="str">
        <f ca="1">IFERROR(__xludf.DUMMYFUNCTION("LOWER(REGEXREPLACE(B1067&amp;"" ""&amp;C1067,""[^а-яa-z0-9 ]"","" ""))")," вабра с платформой  лина насадки 40см  ирина насадки 12 см  ысота насадки 1 5 см  лина ручки 130 см")</f>
        <v xml:space="preserve"> вабра с платформой  лина насадки 40см  ирина насадки 12 см  ысота насадки 1 5 см  лина ручки 130 см</v>
      </c>
      <c r="G1067" s="4" t="str">
        <f ca="1">IFERROR(__xludf.DUMMYFUNCTION("TEXTJOIN(""|"",TRUE,UNIQUE(FILTER(SPLIT(F1067,"" ""),LEN(SPLIT(F1067,"" ""))&gt;2)))"),"вабра|платформой|лина|насадки|40см|ирина|насадки|ысота|насадки|лина|ручки|130")</f>
        <v>вабра|платформой|лина|насадки|40см|ирина|насадки|ысота|насадки|лина|ручки|130</v>
      </c>
      <c r="I1067" s="1"/>
      <c r="J1067" s="1"/>
    </row>
    <row r="1068" spans="1:10" ht="25.5" x14ac:dyDescent="0.2">
      <c r="A1068" s="8" t="s">
        <v>472</v>
      </c>
      <c r="B1068" s="7" t="s">
        <v>471</v>
      </c>
      <c r="C1068" s="7" t="s">
        <v>470</v>
      </c>
      <c r="D1068" s="6">
        <v>130200</v>
      </c>
      <c r="E1068" s="5">
        <v>3</v>
      </c>
      <c r="F1068" s="4" t="str">
        <f ca="1">IFERROR(__xludf.DUMMYFUNCTION("LOWER(REGEXREPLACE(B1068&amp;"" ""&amp;C1068,""[^а-яa-z0-9 ]"","" ""))")," каф металлический для одежды и инвентаря  каф           размер 1860 500 500 мм")</f>
        <v xml:space="preserve"> каф металлический для одежды и инвентаря  каф           размер 1860 500 500 мм</v>
      </c>
      <c r="G1068" s="4" t="str">
        <f ca="1">IFERROR(__xludf.DUMMYFUNCTION("TEXTJOIN(""|"",TRUE,UNIQUE(FILTER(SPLIT(F1068,"" ""),LEN(SPLIT(F1068,"" ""))&gt;2)))"),"каф|металлический|для|одежды|инвентаря|каф|размер|1860|500|500")</f>
        <v>каф|металлический|для|одежды|инвентаря|каф|размер|1860|500|500</v>
      </c>
      <c r="I1068" s="1"/>
      <c r="J1068" s="1"/>
    </row>
    <row r="1069" spans="1:10" ht="51" x14ac:dyDescent="0.2">
      <c r="A1069" s="8" t="s">
        <v>469</v>
      </c>
      <c r="B1069" s="7" t="s">
        <v>468</v>
      </c>
      <c r="C1069" s="7" t="s">
        <v>467</v>
      </c>
      <c r="D1069" s="6">
        <v>14400</v>
      </c>
      <c r="E1069" s="5">
        <v>4</v>
      </c>
      <c r="F1069" s="4" t="str">
        <f ca="1">IFERROR(__xludf.DUMMYFUNCTION("LOWER(REGEXREPLACE(B1069&amp;"" ""&amp;C1069,""[^а-яa-z0-9 ]"","" ""))")," едро   бъем 18 л  атериал     плластик  ип  едро без крышки  орма  рямоугольная")</f>
        <v xml:space="preserve"> едро   бъем 18 л  атериал     плластик  ип  едро без крышки  орма  рямоугольная</v>
      </c>
      <c r="G1069" s="4" t="str">
        <f ca="1">IFERROR(__xludf.DUMMYFUNCTION("TEXTJOIN(""|"",TRUE,UNIQUE(FILTER(SPLIT(F1069,"" ""),LEN(SPLIT(F1069,"" ""))&gt;2)))"),"едро|бъем|атериал|плластик|едро|без|крышки|орма|рямоугольная")</f>
        <v>едро|бъем|атериал|плластик|едро|без|крышки|орма|рямоугольная</v>
      </c>
      <c r="I1069" s="1"/>
      <c r="J1069" s="1"/>
    </row>
    <row r="1070" spans="1:10" ht="38.25" x14ac:dyDescent="0.2">
      <c r="A1070" s="8" t="s">
        <v>466</v>
      </c>
      <c r="B1070" s="7" t="s">
        <v>465</v>
      </c>
      <c r="C1070" s="7" t="s">
        <v>464</v>
      </c>
      <c r="D1070" s="6">
        <v>22500</v>
      </c>
      <c r="E1070" s="5">
        <v>20</v>
      </c>
      <c r="F1070" s="4" t="str">
        <f ca="1">IFERROR(__xludf.DUMMYFUNCTION("LOWER(REGEXREPLACE(B1070&amp;"" ""&amp;C1070,""[^а-яa-z0-9 ]"","" ""))")," еркало  ирина  см  55  ысота  см  80  одсветка нет")</f>
        <v xml:space="preserve"> еркало  ирина  см  55  ысота  см  80  одсветка нет</v>
      </c>
      <c r="G1070" s="4" t="str">
        <f ca="1">IFERROR(__xludf.DUMMYFUNCTION("TEXTJOIN(""|"",TRUE,UNIQUE(FILTER(SPLIT(F1070,"" ""),LEN(SPLIT(F1070,"" ""))&gt;2)))"),"еркало|ирина|ысота|одсветка|нет")</f>
        <v>еркало|ирина|ысота|одсветка|нет</v>
      </c>
      <c r="I1070" s="1"/>
      <c r="J1070" s="1"/>
    </row>
    <row r="1071" spans="1:10" ht="12.75" x14ac:dyDescent="0.2">
      <c r="A1071" s="8" t="s">
        <v>463</v>
      </c>
      <c r="B1071" s="7" t="s">
        <v>462</v>
      </c>
      <c r="C1071" s="7" t="s">
        <v>461</v>
      </c>
      <c r="D1071" s="6">
        <v>8800</v>
      </c>
      <c r="E1071" s="5">
        <v>432</v>
      </c>
      <c r="F1071" s="4" t="str">
        <f ca="1">IFERROR(__xludf.DUMMYFUNCTION("LOWER(REGEXREPLACE(B1071&amp;"" ""&amp;C1071,""[^а-яa-z0-9 ]"","" ""))")," рючки  рючки для хранения полотенец  фартуков   атериал крючка    плав металлов")</f>
        <v xml:space="preserve"> рючки  рючки для хранения полотенец  фартуков   атериал крючка    плав металлов</v>
      </c>
      <c r="G1071" s="4" t="str">
        <f ca="1">IFERROR(__xludf.DUMMYFUNCTION("TEXTJOIN(""|"",TRUE,UNIQUE(FILTER(SPLIT(F1071,"" ""),LEN(SPLIT(F1071,"" ""))&gt;2)))"),"рючки|рючки|для|хранения|полотенец|фартуков|атериал|крючка|плав|металлов")</f>
        <v>рючки|рючки|для|хранения|полотенец|фартуков|атериал|крючка|плав|металлов</v>
      </c>
      <c r="I1071" s="1"/>
      <c r="J1071" s="1"/>
    </row>
    <row r="1072" spans="1:10" ht="51" x14ac:dyDescent="0.2">
      <c r="A1072" s="8" t="s">
        <v>460</v>
      </c>
      <c r="B1072" s="7" t="s">
        <v>459</v>
      </c>
      <c r="C1072" s="7" t="s">
        <v>458</v>
      </c>
      <c r="D1072" s="6">
        <v>18000</v>
      </c>
      <c r="E1072" s="5">
        <v>4</v>
      </c>
      <c r="F1072" s="4" t="str">
        <f ca="1">IFERROR(__xludf.DUMMYFUNCTION("LOWER(REGEXREPLACE(B1072&amp;"" ""&amp;C1072,""[^а-яa-z0-9 ]"","" ""))")," вабра  лина насадки 40см  ирина насадки 12 см  ысота насадки 1 5 см  лина ручки 130 см")</f>
        <v xml:space="preserve"> вабра  лина насадки 40см  ирина насадки 12 см  ысота насадки 1 5 см  лина ручки 130 см</v>
      </c>
      <c r="G1072" s="4" t="str">
        <f ca="1">IFERROR(__xludf.DUMMYFUNCTION("TEXTJOIN(""|"",TRUE,UNIQUE(FILTER(SPLIT(F1072,"" ""),LEN(SPLIT(F1072,"" ""))&gt;2)))"),"вабра|лина|насадки|40см|ирина|насадки|ысота|насадки|лина|ручки|130")</f>
        <v>вабра|лина|насадки|40см|ирина|насадки|ысота|насадки|лина|ручки|130</v>
      </c>
      <c r="I1072" s="1"/>
      <c r="J1072" s="1"/>
    </row>
    <row r="1073" spans="1:10" ht="12.75" x14ac:dyDescent="0.2">
      <c r="A1073" s="8" t="s">
        <v>457</v>
      </c>
      <c r="B1073" s="7" t="s">
        <v>456</v>
      </c>
      <c r="C1073" s="7" t="s">
        <v>455</v>
      </c>
      <c r="D1073" s="6">
        <v>136500</v>
      </c>
      <c r="E1073" s="5">
        <v>1</v>
      </c>
      <c r="F1073" s="4" t="str">
        <f ca="1">IFERROR(__xludf.DUMMYFUNCTION("LOWER(REGEXREPLACE(B1073&amp;"" ""&amp;C1073,""[^а-яa-z0-9 ]"","" ""))")," ресло руководителя  ресло    888 кзам     подл пл 818 1 кзам  крест пл d680 м п  кол   ")</f>
        <v xml:space="preserve"> ресло руководителя  ресло    888 кзам     подл пл 818 1 кзам  крест пл d680 м п  кол   </v>
      </c>
      <c r="G1073" s="4" t="str">
        <f ca="1">IFERROR(__xludf.DUMMYFUNCTION("TEXTJOIN(""|"",TRUE,UNIQUE(FILTER(SPLIT(F1073,"" ""),LEN(SPLIT(F1073,"" ""))&gt;2)))"),"ресло|руководителя|ресло|888|кзам|подл|818|кзам|крест|d680|кол")</f>
        <v>ресло|руководителя|ресло|888|кзам|подл|818|кзам|крест|d680|кол</v>
      </c>
      <c r="I1073" s="1"/>
      <c r="J1073" s="1"/>
    </row>
    <row r="1074" spans="1:10" ht="25.5" x14ac:dyDescent="0.2">
      <c r="A1074" s="8" t="s">
        <v>454</v>
      </c>
      <c r="B1074" s="7" t="s">
        <v>453</v>
      </c>
      <c r="C1074" s="9" t="s">
        <v>452</v>
      </c>
      <c r="D1074" s="6">
        <v>4949</v>
      </c>
      <c r="E1074" s="5">
        <v>33</v>
      </c>
      <c r="F1074" s="4" t="str">
        <f ca="1">IFERROR(__xludf.DUMMYFUNCTION("LOWER(REGEXREPLACE(B1074&amp;"" ""&amp;C1074,""[^а-яa-z0-9 ]"","" ""))")," испенсер для бумажных полотенец  испенсер для бумажных полотенец типа  ialli   атериал  пластик    укладка  открывается ключом  небольшое окошко для контроля заполнения")</f>
        <v xml:space="preserve"> испенсер для бумажных полотенец  испенсер для бумажных полотенец типа  ialli   атериал  пластик    укладка  открывается ключом  небольшое окошко для контроля заполнения</v>
      </c>
      <c r="G1074" s="4" t="str">
        <f ca="1">IFERROR(__xludf.DUMMYFUNCTION("TEXTJOIN(""|"",TRUE,UNIQUE(FILTER(SPLIT(F1074,"" ""),LEN(SPLIT(F1074,"" ""))&gt;2)))"),"испенсер|для|бумажных|полотенец|испенсер|для|бумажных|полотенец|типа|ialli|атериал|пластик|укладка|открывается|ключом|небольшое|окошко|для|контроля|заполнения")</f>
        <v>испенсер|для|бумажных|полотенец|испенсер|для|бумажных|полотенец|типа|ialli|атериал|пластик|укладка|открывается|ключом|небольшое|окошко|для|контроля|заполнения</v>
      </c>
      <c r="I1074" s="1"/>
      <c r="J1074" s="1"/>
    </row>
    <row r="1075" spans="1:10" ht="25.5" x14ac:dyDescent="0.2">
      <c r="A1075" s="8" t="s">
        <v>451</v>
      </c>
      <c r="B1075" s="7" t="s">
        <v>450</v>
      </c>
      <c r="C1075" s="9" t="s">
        <v>449</v>
      </c>
      <c r="D1075" s="6">
        <v>8905</v>
      </c>
      <c r="E1075" s="5">
        <v>63</v>
      </c>
      <c r="F1075" s="4" t="str">
        <f ca="1">IFERROR(__xludf.DUMMYFUNCTION("LOWER(REGEXREPLACE(B1075&amp;"" ""&amp;C1075,""[^а-яa-z0-9 ]"","" ""))")," испенсер антивандальный для туалетной бумаги  испенсер для туалетной бумаги в рулонах типа  umbo   атериал  пластик  ручная подача  открывается с помощью ключа")</f>
        <v xml:space="preserve"> испенсер антивандальный для туалетной бумаги  испенсер для туалетной бумаги в рулонах типа  umbo   атериал  пластик  ручная подача  открывается с помощью ключа</v>
      </c>
      <c r="G1075" s="4" t="str">
        <f ca="1">IFERROR(__xludf.DUMMYFUNCTION("TEXTJOIN(""|"",TRUE,UNIQUE(FILTER(SPLIT(F1075,"" ""),LEN(SPLIT(F1075,"" ""))&gt;2)))"),"испенсер|антивандальный|для|туалетной|бумаги|испенсер|для|туалетной|бумаги|рулонах|типа|umbo|атериал|пластик|ручная|подача|открывается|помощью|ключа")</f>
        <v>испенсер|антивандальный|для|туалетной|бумаги|испенсер|для|туалетной|бумаги|рулонах|типа|umbo|атериал|пластик|ручная|подача|открывается|помощью|ключа</v>
      </c>
      <c r="I1075" s="1"/>
      <c r="J1075" s="1"/>
    </row>
    <row r="1076" spans="1:10" ht="38.25" x14ac:dyDescent="0.2">
      <c r="A1076" s="8" t="s">
        <v>448</v>
      </c>
      <c r="B1076" s="7" t="s">
        <v>447</v>
      </c>
      <c r="C1076" s="7" t="s">
        <v>446</v>
      </c>
      <c r="D1076" s="6">
        <v>94500</v>
      </c>
      <c r="E1076" s="5">
        <v>42</v>
      </c>
      <c r="F1076" s="4" t="str">
        <f ca="1">IFERROR(__xludf.DUMMYFUNCTION("LOWER(REGEXREPLACE(B1076&amp;"" ""&amp;C1076,""[^а-яa-z0-9 ]"","" ""))")," етский стол для 3 х лет  етский стол предназначен для организации совместной деятельности   ассчитан на размещение не менее 4 5 посадочных мест   азмеры стола  высота   около 40 см  длина   около 110 118 см  ширина   около 55 60 см   онструкция устойчива"&amp;"я  с безопасно обработанными кромками  подходит для ежедневного использования ")</f>
        <v xml:space="preserve"> етский стол для 3 х лет  етский стол предназначен для организации совместной деятельности   ассчитан на размещение не менее 4 5 посадочных мест   азмеры стола  высота   около 40 см  длина   около 110 118 см  ширина   около 55 60 см   онструкция устойчивая  с безопасно обработанными кромками  подходит для ежедневного использования </v>
      </c>
      <c r="G1076" s="4" t="str">
        <f ca="1">IFERROR(__xludf.DUMMYFUNCTION("TEXTJOIN(""|"",TRUE,UNIQUE(FILTER(SPLIT(F1076,"" ""),LEN(SPLIT(F1076,"" ""))&gt;2)))"),"етский|стол|для|лет|етский|стол|предназначен|для|организации|совместной|деятельности|ассчитан|размещение|менее|посадочных|мест|азмеры|стола|высота|около|длина|около|110|118|ширина|около|онструкция|устойчивая|безопасно|обработанными|кромками|подходит|для|е"&amp;"жедневного|использования")</f>
        <v>етский|стол|для|лет|етский|стол|предназначен|для|организации|совместной|деятельности|ассчитан|размещение|менее|посадочных|мест|азмеры|стола|высота|около|длина|около|110|118|ширина|около|онструкция|устойчивая|безопасно|обработанными|кромками|подходит|для|ежедневного|использования</v>
      </c>
      <c r="I1076" s="1"/>
      <c r="J1076" s="1"/>
    </row>
    <row r="1077" spans="1:10" ht="38.25" x14ac:dyDescent="0.2">
      <c r="A1077" s="8" t="s">
        <v>445</v>
      </c>
      <c r="B1077" s="7" t="s">
        <v>444</v>
      </c>
      <c r="C1077" s="7" t="s">
        <v>443</v>
      </c>
      <c r="D1077" s="6">
        <v>94500</v>
      </c>
      <c r="E1077" s="5">
        <v>31</v>
      </c>
      <c r="F1077" s="4" t="str">
        <f ca="1">IFERROR(__xludf.DUMMYFUNCTION("LOWER(REGEXREPLACE(B1077&amp;"" ""&amp;C1077,""[^а-яa-z0-9 ]"","" ""))")," етский стол для 4 х  5 ти лет  етский стол предназначен для организации совместной деятельности   ассчитан на размещение не менее 4 5 посадочных мест   азмеры стола  высота   около 40 46 см  длина   около 118 см  ширина   около 58 60 см   онструкция усто"&amp;"йчивая  с безопасно обработанными кромками  подходит для ежедневного использования ")</f>
        <v xml:space="preserve"> етский стол для 4 х  5 ти лет  етский стол предназначен для организации совместной деятельности   ассчитан на размещение не менее 4 5 посадочных мест   азмеры стола  высота   около 40 46 см  длина   около 118 см  ширина   около 58 60 см   онструкция устойчивая  с безопасно обработанными кромками  подходит для ежедневного использования </v>
      </c>
      <c r="G1077" s="4" t="str">
        <f ca="1">IFERROR(__xludf.DUMMYFUNCTION("TEXTJOIN(""|"",TRUE,UNIQUE(FILTER(SPLIT(F1077,"" ""),LEN(SPLIT(F1077,"" ""))&gt;2)))"),"етский|стол|для|лет|етский|стол|предназначен|для|организации|совместной|деятельности|ассчитан|размещение|менее|посадочных|мест|азмеры|стола|высота|около|длина|около|118|ширина|около|онструкция|устойчивая|безопасно|обработанными|кромками|подходит|для|ежедн"&amp;"евного|использования")</f>
        <v>етский|стол|для|лет|етский|стол|предназначен|для|организации|совместной|деятельности|ассчитан|размещение|менее|посадочных|мест|азмеры|стола|высота|около|длина|около|118|ширина|около|онструкция|устойчивая|безопасно|обработанными|кромками|подходит|для|ежедневного|использования</v>
      </c>
      <c r="I1077" s="1"/>
      <c r="J1077" s="1"/>
    </row>
    <row r="1078" spans="1:10" ht="12.75" x14ac:dyDescent="0.2">
      <c r="A1078" s="8" t="s">
        <v>442</v>
      </c>
      <c r="B1078" s="8" t="s">
        <v>441</v>
      </c>
      <c r="C1078" s="7" t="s">
        <v>440</v>
      </c>
      <c r="D1078" s="6">
        <v>9000</v>
      </c>
      <c r="E1078" s="5">
        <v>190</v>
      </c>
      <c r="F1078" s="4" t="str">
        <f ca="1">IFERROR(__xludf.DUMMYFUNCTION("LOWER(REGEXREPLACE(B1078&amp;"" ""&amp;C1078,""[^а-яa-z0-9 ]"","" ""))")," ягкая подушка  абор подушек для создания мягкой зоны  размер 30х30см")</f>
        <v xml:space="preserve"> ягкая подушка  абор подушек для создания мягкой зоны  размер 30х30см</v>
      </c>
      <c r="G1078" s="4" t="str">
        <f ca="1">IFERROR(__xludf.DUMMYFUNCTION("TEXTJOIN(""|"",TRUE,UNIQUE(FILTER(SPLIT(F1078,"" ""),LEN(SPLIT(F1078,"" ""))&gt;2)))"),"ягкая|подушка|абор|подушек|для|создания|мягкой|зоны|размер|30х30см")</f>
        <v>ягкая|подушка|абор|подушек|для|создания|мягкой|зоны|размер|30х30см</v>
      </c>
      <c r="I1078" s="1"/>
      <c r="J1078" s="1"/>
    </row>
    <row r="1079" spans="1:10" ht="12.75" x14ac:dyDescent="0.2">
      <c r="A1079" s="8" t="s">
        <v>439</v>
      </c>
      <c r="B1079" s="8" t="s">
        <v>438</v>
      </c>
      <c r="C1079" s="9" t="s">
        <v>437</v>
      </c>
      <c r="D1079" s="6">
        <v>30343</v>
      </c>
      <c r="E1079" s="5">
        <v>78</v>
      </c>
      <c r="F1079" s="4" t="str">
        <f ca="1">IFERROR(__xludf.DUMMYFUNCTION("LOWER(REGEXREPLACE(B1079&amp;"" ""&amp;C1079,""[^а-яa-z0-9 ]"","" ""))")," камья детская узкая  камья деревянная на металлической основе 1500х300х450 мм")</f>
        <v xml:space="preserve"> камья детская узкая  камья деревянная на металлической основе 1500х300х450 мм</v>
      </c>
      <c r="G1079" s="4" t="str">
        <f ca="1">IFERROR(__xludf.DUMMYFUNCTION("TEXTJOIN(""|"",TRUE,UNIQUE(FILTER(SPLIT(F1079,"" ""),LEN(SPLIT(F1079,"" ""))&gt;2)))"),"камья|детская|узкая|камья|деревянная|металлической|основе|1500х300х450")</f>
        <v>камья|детская|узкая|камья|деревянная|металлической|основе|1500х300х450</v>
      </c>
      <c r="I1079" s="1"/>
      <c r="J1079" s="1"/>
    </row>
    <row r="1080" spans="1:10" ht="38.25" x14ac:dyDescent="0.2">
      <c r="A1080" s="8" t="s">
        <v>436</v>
      </c>
      <c r="B1080" s="7" t="s">
        <v>435</v>
      </c>
      <c r="C1080" s="7" t="s">
        <v>434</v>
      </c>
      <c r="D1080" s="6">
        <v>327600</v>
      </c>
      <c r="E1080" s="5">
        <v>1</v>
      </c>
      <c r="F1080" s="4" t="str">
        <f ca="1">IFERROR(__xludf.DUMMYFUNCTION("LOWER(REGEXREPLACE(B1080&amp;"" ""&amp;C1080,""[^а-яa-z0-9 ]"","" ""))")," ресло груша с гранулами  ягкое бескаркасное кресло наполнено полистирольными гранулами и принимает форму тела сидящего   спользуется в зонах отдыха  релаксации и индивидуальной работы   пособствует созданию комфортной  неформальной обстановки и снижению "&amp;"эмоционального напряжения ")</f>
        <v xml:space="preserve"> ресло груша с гранулами  ягкое бескаркасное кресло наполнено полистирольными гранулами и принимает форму тела сидящего   спользуется в зонах отдыха  релаксации и индивидуальной работы   пособствует созданию комфортной  неформальной обстановки и снижению эмоционального напряжения </v>
      </c>
      <c r="G1080" s="4" t="str">
        <f ca="1">IFERROR(__xludf.DUMMYFUNCTION("TEXTJOIN(""|"",TRUE,UNIQUE(FILTER(SPLIT(F1080,"" ""),LEN(SPLIT(F1080,"" ""))&gt;2)))"),"ресло|груша|гранулами|ягкое|бескаркасное|кресло|наполнено|полистирольными|гранулами|принимает|форму|тела|сидящего|спользуется|зонах|отдыха|релаксации|индивидуальной|работы|пособствует|созданию|комфортной|неформальной|обстановки|снижению|эмоционального|нап"&amp;"ряжения")</f>
        <v>ресло|груша|гранулами|ягкое|бескаркасное|кресло|наполнено|полистирольными|гранулами|принимает|форму|тела|сидящего|спользуется|зонах|отдыха|релаксации|индивидуальной|работы|пособствует|созданию|комфортной|неформальной|обстановки|снижению|эмоционального|напряжения</v>
      </c>
      <c r="I1080" s="1"/>
      <c r="J1080" s="1"/>
    </row>
    <row r="1081" spans="1:10" ht="12.75" x14ac:dyDescent="0.2">
      <c r="A1081" s="8" t="s">
        <v>433</v>
      </c>
      <c r="B1081" s="8" t="s">
        <v>432</v>
      </c>
      <c r="C1081" s="7" t="s">
        <v>431</v>
      </c>
      <c r="D1081" s="6">
        <v>157500</v>
      </c>
      <c r="E1081" s="5">
        <v>16</v>
      </c>
      <c r="F1081" s="4" t="str">
        <f ca="1">IFERROR(__xludf.DUMMYFUNCTION("LOWER(REGEXREPLACE(B1081&amp;"" ""&amp;C1081,""[^а-яa-z0-9 ]"","" ""))")," авесной шкаф  каф навесной  двухстворчатый  распашной   атериал              азмеры  800х300х720мм")</f>
        <v xml:space="preserve"> авесной шкаф  каф навесной  двухстворчатый  распашной   атериал              азмеры  800х300х720мм</v>
      </c>
      <c r="G1081" s="4" t="str">
        <f ca="1">IFERROR(__xludf.DUMMYFUNCTION("TEXTJOIN(""|"",TRUE,UNIQUE(FILTER(SPLIT(F1081,"" ""),LEN(SPLIT(F1081,"" ""))&gt;2)))"),"авесной|шкаф|каф|навесной|двухстворчатый|распашной|атериал|азмеры|800х300х720мм")</f>
        <v>авесной|шкаф|каф|навесной|двухстворчатый|распашной|атериал|азмеры|800х300х720мм</v>
      </c>
      <c r="I1081" s="1"/>
      <c r="J1081" s="1"/>
    </row>
    <row r="1082" spans="1:10" ht="12.75" x14ac:dyDescent="0.2">
      <c r="A1082" s="8" t="s">
        <v>430</v>
      </c>
      <c r="B1082" s="7" t="s">
        <v>429</v>
      </c>
      <c r="C1082" s="7" t="s">
        <v>428</v>
      </c>
      <c r="D1082" s="6">
        <v>199500</v>
      </c>
      <c r="E1082" s="5">
        <v>2</v>
      </c>
      <c r="F1082" s="4" t="str">
        <f ca="1">IFERROR(__xludf.DUMMYFUNCTION("LOWER(REGEXREPLACE(B1082&amp;"" ""&amp;C1082,""[^а-яa-z0-9 ]"","" ""))")," иван   иван  uick  ab  lim  ofa  лина  1900 мм  ширина  800 мм  высота  850 мм  ")</f>
        <v xml:space="preserve"> иван   иван  uick  ab  lim  ofa  лина  1900 мм  ширина  800 мм  высота  850 мм  </v>
      </c>
      <c r="G1082" s="4" t="str">
        <f ca="1">IFERROR(__xludf.DUMMYFUNCTION("TEXTJOIN(""|"",TRUE,UNIQUE(FILTER(SPLIT(F1082,"" ""),LEN(SPLIT(F1082,"" ""))&gt;2)))"),"иван|иван|uick|lim|ofa|лина|1900|ширина|800|высота|850")</f>
        <v>иван|иван|uick|lim|ofa|лина|1900|ширина|800|высота|850</v>
      </c>
      <c r="I1082" s="1"/>
      <c r="J1082" s="1"/>
    </row>
    <row r="1083" spans="1:10" ht="38.25" x14ac:dyDescent="0.2">
      <c r="A1083" s="8" t="s">
        <v>427</v>
      </c>
      <c r="B1083" s="8" t="s">
        <v>426</v>
      </c>
      <c r="C1083" s="7" t="s">
        <v>425</v>
      </c>
      <c r="D1083" s="6">
        <v>735000</v>
      </c>
      <c r="E1083" s="5">
        <v>1</v>
      </c>
      <c r="F1083" s="4" t="str">
        <f ca="1">IFERROR(__xludf.DUMMYFUNCTION("LOWER(REGEXREPLACE(B1083&amp;"" ""&amp;C1083,""[^а-яa-z0-9 ]"","" ""))")," иван руководителя  ирина  мм 1480  лубина  мм 820  ысота  мм 670")</f>
        <v xml:space="preserve"> иван руководителя  ирина  мм 1480  лубина  мм 820  ысота  мм 670</v>
      </c>
      <c r="G1083" s="4" t="str">
        <f ca="1">IFERROR(__xludf.DUMMYFUNCTION("TEXTJOIN(""|"",TRUE,UNIQUE(FILTER(SPLIT(F1083,"" ""),LEN(SPLIT(F1083,"" ""))&gt;2)))"),"иван|руководителя|ирина|1480|лубина|820|ысота|670")</f>
        <v>иван|руководителя|ирина|1480|лубина|820|ысота|670</v>
      </c>
      <c r="I1083" s="1"/>
      <c r="J1083" s="1"/>
    </row>
    <row r="1084" spans="1:10" ht="12.75" x14ac:dyDescent="0.2">
      <c r="A1084" s="8" t="s">
        <v>424</v>
      </c>
      <c r="B1084" s="8" t="s">
        <v>423</v>
      </c>
      <c r="C1084" s="7" t="s">
        <v>422</v>
      </c>
      <c r="D1084" s="6">
        <v>42000</v>
      </c>
      <c r="E1084" s="5">
        <v>202</v>
      </c>
      <c r="F1084" s="4" t="str">
        <f ca="1">IFERROR(__xludf.DUMMYFUNCTION("LOWER(REGEXREPLACE(B1084&amp;"" ""&amp;C1084,""[^а-яa-z0-9 ]"","" ""))")," етский стул с спинкой  2 3 лет   етский стул со спинкой для 3 лет  260 200 550 250 мм")</f>
        <v xml:space="preserve"> етский стул с спинкой  2 3 лет   етский стул со спинкой для 3 лет  260 200 550 250 мм</v>
      </c>
      <c r="G1084" s="4" t="str">
        <f ca="1">IFERROR(__xludf.DUMMYFUNCTION("TEXTJOIN(""|"",TRUE,UNIQUE(FILTER(SPLIT(F1084,"" ""),LEN(SPLIT(F1084,"" ""))&gt;2)))"),"етский|стул|спинкой|лет|етский|стул|спинкой|для|лет|260|200|550|250")</f>
        <v>етский|стул|спинкой|лет|етский|стул|спинкой|для|лет|260|200|550|250</v>
      </c>
      <c r="I1084" s="1"/>
      <c r="J1084" s="1"/>
    </row>
    <row r="1085" spans="1:10" ht="12.75" x14ac:dyDescent="0.2">
      <c r="A1085" s="8" t="s">
        <v>421</v>
      </c>
      <c r="B1085" s="8" t="s">
        <v>420</v>
      </c>
      <c r="C1085" s="7" t="s">
        <v>419</v>
      </c>
      <c r="D1085" s="6">
        <v>42000</v>
      </c>
      <c r="E1085" s="5">
        <v>194</v>
      </c>
      <c r="F1085" s="4" t="str">
        <f ca="1">IFERROR(__xludf.DUMMYFUNCTION("LOWER(REGEXREPLACE(B1085&amp;"" ""&amp;C1085,""[^а-яa-z0-9 ]"","" ""))")," етский стул с спинкой  4  лет   етский стул со спинкой для 4   300 220 590 270")</f>
        <v xml:space="preserve"> етский стул с спинкой  4  лет   етский стул со спинкой для 4   300 220 590 270</v>
      </c>
      <c r="G1085" s="4" t="str">
        <f ca="1">IFERROR(__xludf.DUMMYFUNCTION("TEXTJOIN(""|"",TRUE,UNIQUE(FILTER(SPLIT(F1085,"" ""),LEN(SPLIT(F1085,"" ""))&gt;2)))"),"етский|стул|спинкой|лет|етский|стул|спинкой|для|300|220|590|270")</f>
        <v>етский|стул|спинкой|лет|етский|стул|спинкой|для|300|220|590|270</v>
      </c>
      <c r="I1085" s="1"/>
      <c r="J1085" s="1"/>
    </row>
    <row r="1086" spans="1:10" ht="51" x14ac:dyDescent="0.2">
      <c r="A1086" s="8" t="s">
        <v>418</v>
      </c>
      <c r="B1086" s="8" t="s">
        <v>417</v>
      </c>
      <c r="C1086" s="7" t="s">
        <v>416</v>
      </c>
      <c r="D1086" s="6">
        <v>157500</v>
      </c>
      <c r="E1086" s="5">
        <v>3</v>
      </c>
      <c r="F1086" s="4" t="str">
        <f ca="1">IFERROR(__xludf.DUMMYFUNCTION("LOWER(REGEXREPLACE(B1086&amp;"" ""&amp;C1086,""[^а-яa-z0-9 ]"","" ""))")," ардеробная вешалка  ирина 109 см  ысота 179 см  лубина 74 см  атериал  еталл")</f>
        <v xml:space="preserve"> ардеробная вешалка  ирина 109 см  ысота 179 см  лубина 74 см  атериал  еталл</v>
      </c>
      <c r="G1086" s="4" t="str">
        <f ca="1">IFERROR(__xludf.DUMMYFUNCTION("TEXTJOIN(""|"",TRUE,UNIQUE(FILTER(SPLIT(F1086,"" ""),LEN(SPLIT(F1086,"" ""))&gt;2)))"),"ардеробная|вешалка|ирина|109|ысота|179|лубина|атериал|еталл")</f>
        <v>ардеробная|вешалка|ирина|109|ысота|179|лубина|атериал|еталл</v>
      </c>
      <c r="I1086" s="1"/>
      <c r="J1086" s="1"/>
    </row>
    <row r="1087" spans="1:10" ht="25.5" x14ac:dyDescent="0.2">
      <c r="A1087" s="8" t="s">
        <v>415</v>
      </c>
      <c r="B1087" s="7" t="s">
        <v>414</v>
      </c>
      <c r="C1087" s="7" t="s">
        <v>413</v>
      </c>
      <c r="D1087" s="6">
        <v>13600</v>
      </c>
      <c r="E1087" s="5">
        <v>5</v>
      </c>
      <c r="F1087" s="4" t="str">
        <f ca="1">IFERROR(__xludf.DUMMYFUNCTION("LOWER(REGEXREPLACE(B1087&amp;"" ""&amp;C1087,""[^а-яa-z0-9 ]"","" ""))")," ровать  гровая или декоративная кровать с комплектом текстильных элементов   спользуется в сюжетно ролевых играх ")</f>
        <v xml:space="preserve"> ровать  гровая или декоративная кровать с комплектом текстильных элементов   спользуется в сюжетно ролевых играх </v>
      </c>
      <c r="G1087" s="4" t="str">
        <f ca="1">IFERROR(__xludf.DUMMYFUNCTION("TEXTJOIN(""|"",TRUE,UNIQUE(FILTER(SPLIT(F1087,"" ""),LEN(SPLIT(F1087,"" ""))&gt;2)))"),"ровать|гровая|или|декоративная|кровать|комплектом|текстильных|элементов|спользуется|сюжетно|ролевых|играх")</f>
        <v>ровать|гровая|или|декоративная|кровать|комплектом|текстильных|элементов|спользуется|сюжетно|ролевых|играх</v>
      </c>
      <c r="I1087" s="1"/>
      <c r="J1087" s="1"/>
    </row>
    <row r="1088" spans="1:10" ht="12.75" x14ac:dyDescent="0.2">
      <c r="A1088" s="8" t="s">
        <v>412</v>
      </c>
      <c r="B1088" s="8" t="s">
        <v>411</v>
      </c>
      <c r="C1088" s="7" t="s">
        <v>410</v>
      </c>
      <c r="D1088" s="6">
        <v>420000</v>
      </c>
      <c r="E1088" s="5">
        <v>1</v>
      </c>
      <c r="F1088" s="4" t="str">
        <f ca="1">IFERROR(__xludf.DUMMYFUNCTION("LOWER(REGEXREPLACE(B1088&amp;"" ""&amp;C1088,""[^а-яa-z0-9 ]"","" ""))")," тойка ресепшен  тойка ресепшен прямая   азмеры   ирина  1640 мм   лубина  510 мм   ысота  1150 мм")</f>
        <v xml:space="preserve"> тойка ресепшен  тойка ресепшен прямая   азмеры   ирина  1640 мм   лубина  510 мм   ысота  1150 мм</v>
      </c>
      <c r="G1088" s="4" t="str">
        <f ca="1">IFERROR(__xludf.DUMMYFUNCTION("TEXTJOIN(""|"",TRUE,UNIQUE(FILTER(SPLIT(F1088,"" ""),LEN(SPLIT(F1088,"" ""))&gt;2)))"),"тойка|ресепшен|тойка|ресепшен|прямая|азмеры|ирина|1640|лубина|510|ысота|1150")</f>
        <v>тойка|ресепшен|тойка|ресепшен|прямая|азмеры|ирина|1640|лубина|510|ысота|1150</v>
      </c>
      <c r="I1088" s="1"/>
      <c r="J1088" s="1"/>
    </row>
    <row r="1089" spans="1:10" ht="12.75" x14ac:dyDescent="0.2">
      <c r="A1089" s="8" t="s">
        <v>409</v>
      </c>
      <c r="B1089" s="8" t="s">
        <v>408</v>
      </c>
      <c r="C1089" s="7" t="s">
        <v>407</v>
      </c>
      <c r="D1089" s="6">
        <v>6300000</v>
      </c>
      <c r="E1089" s="5">
        <v>1</v>
      </c>
      <c r="F1089" s="4" t="str">
        <f ca="1">IFERROR(__xludf.DUMMYFUNCTION("LOWER(REGEXREPLACE(B1089&amp;"" ""&amp;C1089,""[^а-яa-z0-9 ]"","" ""))")," ценический занавес и карниз  истема горизонтального раздвижного занавеса с электроприводом с пультом дистанционного управления ")</f>
        <v xml:space="preserve"> ценический занавес и карниз  истема горизонтального раздвижного занавеса с электроприводом с пультом дистанционного управления </v>
      </c>
      <c r="G1089" s="4" t="str">
        <f ca="1">IFERROR(__xludf.DUMMYFUNCTION("TEXTJOIN(""|"",TRUE,UNIQUE(FILTER(SPLIT(F1089,"" ""),LEN(SPLIT(F1089,"" ""))&gt;2)))"),"ценический|занавес|карниз|истема|горизонтального|раздвижного|занавеса|электроприводом|пультом|дистанционного|управления")</f>
        <v>ценический|занавес|карниз|истема|горизонтального|раздвижного|занавеса|электроприводом|пультом|дистанционного|управления</v>
      </c>
      <c r="I1089" s="1"/>
      <c r="J1089" s="1"/>
    </row>
    <row r="1090" spans="1:10" ht="12.75" x14ac:dyDescent="0.2">
      <c r="A1090" s="8" t="s">
        <v>406</v>
      </c>
      <c r="B1090" s="8" t="s">
        <v>405</v>
      </c>
      <c r="C1090" s="7" t="s">
        <v>404</v>
      </c>
      <c r="D1090" s="6">
        <v>283500</v>
      </c>
      <c r="E1090" s="5">
        <v>1</v>
      </c>
      <c r="F1090" s="4" t="str">
        <f ca="1">IFERROR(__xludf.DUMMYFUNCTION("LOWER(REGEXREPLACE(B1090&amp;"" ""&amp;C1090,""[^а-яa-z0-9 ]"","" ""))")," иван  мягкий   иван  мягкий   3 х местный  с подлокотниками")</f>
        <v xml:space="preserve"> иван  мягкий   иван  мягкий   3 х местный  с подлокотниками</v>
      </c>
      <c r="G1090" s="4" t="str">
        <f ca="1">IFERROR(__xludf.DUMMYFUNCTION("TEXTJOIN(""|"",TRUE,UNIQUE(FILTER(SPLIT(F1090,"" ""),LEN(SPLIT(F1090,"" ""))&gt;2)))"),"иван|мягкий|иван|мягкий|местный|подлокотниками")</f>
        <v>иван|мягкий|иван|мягкий|местный|подлокотниками</v>
      </c>
      <c r="I1090" s="1"/>
      <c r="J1090" s="1"/>
    </row>
    <row r="1091" spans="1:10" ht="25.5" x14ac:dyDescent="0.2">
      <c r="A1091" s="8" t="s">
        <v>403</v>
      </c>
      <c r="B1091" s="7" t="s">
        <v>402</v>
      </c>
      <c r="C1091" s="7" t="s">
        <v>401</v>
      </c>
      <c r="D1091" s="6">
        <v>2850000</v>
      </c>
      <c r="E1091" s="5">
        <v>1</v>
      </c>
      <c r="F1091" s="4" t="str">
        <f ca="1">IFERROR(__xludf.DUMMYFUNCTION("LOWER(REGEXREPLACE(B1091&amp;"" ""&amp;C1091,""[^а-яa-z0-9 ]"","" ""))")," ардеробная на 70 мест  ардеробный шкаф для верхней одежды  азмеры  ширина 2 2 м  длина 3 3 м  высота 1 8м   асстояние между крючками  330мм")</f>
        <v xml:space="preserve"> ардеробная на 70 мест  ардеробный шкаф для верхней одежды  азмеры  ширина 2 2 м  длина 3 3 м  высота 1 8м   асстояние между крючками  330мм</v>
      </c>
      <c r="G1091" s="4" t="str">
        <f ca="1">IFERROR(__xludf.DUMMYFUNCTION("TEXTJOIN(""|"",TRUE,UNIQUE(FILTER(SPLIT(F1091,"" ""),LEN(SPLIT(F1091,"" ""))&gt;2)))"),"ардеробная|мест|ардеробный|шкаф|для|верхней|одежды|азмеры|ширина|длина|высота|асстояние|между|крючками|330мм")</f>
        <v>ардеробная|мест|ардеробный|шкаф|для|верхней|одежды|азмеры|ширина|длина|высота|асстояние|между|крючками|330мм</v>
      </c>
      <c r="I1091" s="1"/>
      <c r="J1091" s="1"/>
    </row>
    <row r="1092" spans="1:10" ht="12.75" x14ac:dyDescent="0.2">
      <c r="A1092" s="8" t="s">
        <v>400</v>
      </c>
      <c r="B1092" s="7" t="s">
        <v>399</v>
      </c>
      <c r="C1092" s="7" t="s">
        <v>398</v>
      </c>
      <c r="D1092" s="6">
        <v>850000</v>
      </c>
      <c r="E1092" s="5">
        <v>1</v>
      </c>
      <c r="F1092" s="4" t="str">
        <f ca="1">IFERROR(__xludf.DUMMYFUNCTION("LOWER(REGEXREPLACE(B1092&amp;"" ""&amp;C1092,""[^а-яa-z0-9 ]"","" ""))")," осударственная символика  тенд объемный настенный                ")</f>
        <v xml:space="preserve"> осударственная символика  тенд объемный настенный                </v>
      </c>
      <c r="G1092" s="4" t="str">
        <f ca="1">IFERROR(__xludf.DUMMYFUNCTION("TEXTJOIN(""|"",TRUE,UNIQUE(FILTER(SPLIT(F1092,"" ""),LEN(SPLIT(F1092,"" ""))&gt;2)))"),"осударственная|символика|тенд|объемный|настенный")</f>
        <v>осударственная|символика|тенд|объемный|настенный</v>
      </c>
      <c r="I1092" s="1"/>
      <c r="J1092" s="1"/>
    </row>
    <row r="1093" spans="1:10" ht="12.75" x14ac:dyDescent="0.2">
      <c r="A1093" s="10" t="s">
        <v>397</v>
      </c>
      <c r="B1093" s="8" t="s">
        <v>396</v>
      </c>
      <c r="C1093" s="9" t="s">
        <v>395</v>
      </c>
      <c r="D1093" s="6">
        <v>30809</v>
      </c>
      <c r="E1093" s="5">
        <v>320</v>
      </c>
      <c r="F1093" s="4" t="str">
        <f ca="1">IFERROR(__xludf.DUMMYFUNCTION("LOWER(REGEXREPLACE(B1093&amp;"" ""&amp;C1093,""[^а-яa-z0-9 ]"","" ""))")," ровать для сна  группы 3    ровать детская односпальная  размеры 1400х600х450мм       16мм  без острых углов")</f>
        <v xml:space="preserve"> ровать для сна  группы 3    ровать детская односпальная  размеры 1400х600х450мм       16мм  без острых углов</v>
      </c>
      <c r="G1093" s="4" t="str">
        <f ca="1">IFERROR(__xludf.DUMMYFUNCTION("TEXTJOIN(""|"",TRUE,UNIQUE(FILTER(SPLIT(F1093,"" ""),LEN(SPLIT(F1093,"" ""))&gt;2)))"),"ровать|для|сна|группы|ровать|детская|односпальная|размеры|1400х600х450мм|16мм|без|острых|углов")</f>
        <v>ровать|для|сна|группы|ровать|детская|односпальная|размеры|1400х600х450мм|16мм|без|острых|углов</v>
      </c>
      <c r="I1093" s="1"/>
      <c r="J1093" s="1"/>
    </row>
    <row r="1094" spans="1:10" ht="25.5" x14ac:dyDescent="0.2">
      <c r="A1094" s="8" t="s">
        <v>394</v>
      </c>
      <c r="B1094" s="7" t="s">
        <v>393</v>
      </c>
      <c r="C1094" s="7" t="s">
        <v>392</v>
      </c>
      <c r="D1094" s="6">
        <v>189000</v>
      </c>
      <c r="E1094" s="5">
        <v>1</v>
      </c>
      <c r="F1094" s="4" t="str">
        <f ca="1">IFERROR(__xludf.DUMMYFUNCTION("LOWER(REGEXREPLACE(B1094&amp;"" ""&amp;C1094,""[^а-яa-z0-9 ]"","" ""))")," руглый стол  тол для совместного чтения  обсуждений и игровых занятий   пособствует развитию общения между детьми   атериал        или дерево   иаметр   1000 1200 мм ")</f>
        <v xml:space="preserve"> руглый стол  тол для совместного чтения  обсуждений и игровых занятий   пособствует развитию общения между детьми   атериал        или дерево   иаметр   1000 1200 мм </v>
      </c>
      <c r="G1094" s="4" t="str">
        <f ca="1">IFERROR(__xludf.DUMMYFUNCTION("TEXTJOIN(""|"",TRUE,UNIQUE(FILTER(SPLIT(F1094,"" ""),LEN(SPLIT(F1094,"" ""))&gt;2)))"),"руглый|стол|тол|для|совместного|чтения|обсуждений|игровых|занятий|пособствует|развитию|общения|между|детьми|атериал|или|дерево|иаметр|1000|1200")</f>
        <v>руглый|стол|тол|для|совместного|чтения|обсуждений|игровых|занятий|пособствует|развитию|общения|между|детьми|атериал|или|дерево|иаметр|1000|1200</v>
      </c>
      <c r="I1094" s="1"/>
      <c r="J1094" s="1"/>
    </row>
    <row r="1095" spans="1:10" ht="38.25" x14ac:dyDescent="0.2">
      <c r="A1095" s="8" t="s">
        <v>391</v>
      </c>
      <c r="B1095" s="7" t="s">
        <v>390</v>
      </c>
      <c r="C1095" s="7" t="s">
        <v>389</v>
      </c>
      <c r="D1095" s="6">
        <v>105000</v>
      </c>
      <c r="E1095" s="5">
        <v>4</v>
      </c>
      <c r="F1095" s="4" t="str">
        <f ca="1">IFERROR(__xludf.DUMMYFUNCTION("LOWER(REGEXREPLACE(B1095&amp;"" ""&amp;C1095,""[^а-яa-z0-9 ]"","" ""))")," руглый стол напольный  d 1200 мм   руглый стол используется для организации совместной деятельности   иаметр столешницы составляет не менее 1200 мм  высота   около 550 мм   онструкция обеспечивает удобное размещение участников вокруг стола   редназначен "&amp;"для использования в помещениях ")</f>
        <v xml:space="preserve"> руглый стол напольный  d 1200 мм   руглый стол используется для организации совместной деятельности   иаметр столешницы составляет не менее 1200 мм  высота   около 550 мм   онструкция обеспечивает удобное размещение участников вокруг стола   редназначен для использования в помещениях </v>
      </c>
      <c r="G1095" s="4" t="str">
        <f ca="1">IFERROR(__xludf.DUMMYFUNCTION("TEXTJOIN(""|"",TRUE,UNIQUE(FILTER(SPLIT(F1095,"" ""),LEN(SPLIT(F1095,"" ""))&gt;2)))"),"руглый|стол|напольный|1200|руглый|стол|используется|для|организации|совместной|деятельности|иаметр|столешницы|составляет|менее|1200|высота|около|550|онструкция|обеспечивает|удобное|размещение|участников|вокруг|стола|редназначен|для|использования|помещения"&amp;"х")</f>
        <v>руглый|стол|напольный|1200|руглый|стол|используется|для|организации|совместной|деятельности|иаметр|столешницы|составляет|менее|1200|высота|около|550|онструкция|обеспечивает|удобное|размещение|участников|вокруг|стола|редназначен|для|использования|помещениях</v>
      </c>
      <c r="I1095" s="1"/>
      <c r="J1095" s="1"/>
    </row>
    <row r="1096" spans="1:10" ht="25.5" x14ac:dyDescent="0.2">
      <c r="A1096" s="8" t="s">
        <v>388</v>
      </c>
      <c r="B1096" s="7" t="s">
        <v>387</v>
      </c>
      <c r="C1096" s="7" t="s">
        <v>386</v>
      </c>
      <c r="D1096" s="6">
        <v>283500</v>
      </c>
      <c r="E1096" s="5">
        <v>3</v>
      </c>
      <c r="F1096" s="4" t="str">
        <f ca="1">IFERROR(__xludf.DUMMYFUNCTION("LOWER(REGEXREPLACE(B1096&amp;"" ""&amp;C1096,""[^а-яa-z0-9 ]"","" ""))")," ушетка процедурная  ушетка предназначена для осмотров  процедур и медицинских манипуляций в медблоке       азмеры 560х1930х670")</f>
        <v xml:space="preserve"> ушетка процедурная  ушетка предназначена для осмотров  процедур и медицинских манипуляций в медблоке       азмеры 560х1930х670</v>
      </c>
      <c r="G1096" s="4" t="str">
        <f ca="1">IFERROR(__xludf.DUMMYFUNCTION("TEXTJOIN(""|"",TRUE,UNIQUE(FILTER(SPLIT(F1096,"" ""),LEN(SPLIT(F1096,"" ""))&gt;2)))"),"ушетка|процедурная|ушетка|предназначена|для|осмотров|процедур|медицинских|манипуляций|медблоке|азмеры|560х1930х670")</f>
        <v>ушетка|процедурная|ушетка|предназначена|для|осмотров|процедур|медицинских|манипуляций|медблоке|азмеры|560х1930х670</v>
      </c>
      <c r="I1096" s="1"/>
      <c r="J1096" s="1"/>
    </row>
    <row r="1097" spans="1:10" ht="51" x14ac:dyDescent="0.2">
      <c r="A1097" s="8" t="s">
        <v>385</v>
      </c>
      <c r="B1097" s="7" t="s">
        <v>384</v>
      </c>
      <c r="C1097" s="7" t="s">
        <v>383</v>
      </c>
      <c r="D1097" s="6">
        <v>23400</v>
      </c>
      <c r="E1097" s="5">
        <v>325</v>
      </c>
      <c r="F1097" s="4" t="str">
        <f ca="1">IFERROR(__xludf.DUMMYFUNCTION("LOWER(REGEXREPLACE(B1097&amp;"" ""&amp;C1097,""[^а-яa-z0-9 ]"","" ""))")," атрас  азмеры изделия  по параметрам кровати  длина   не менее 140 см  ширина   60 см   ипоаллергенный матрас для детской кровати  предназначенный для организации дневного и ночного сна   беспечивает правильную поддержку тела реб нка  комфорт и безопасно"&amp;"сть   спользуемые материалы устойчивы к деформации  влаге и подходят для регулярной санитарной обработки ")</f>
        <v xml:space="preserve"> атрас  азмеры изделия  по параметрам кровати  длина   не менее 140 см  ширина   60 см   ипоаллергенный матрас для детской кровати  предназначенный для организации дневного и ночного сна   беспечивает правильную поддержку тела реб нка  комфорт и безопасность   спользуемые материалы устойчивы к деформации  влаге и подходят для регулярной санитарной обработки </v>
      </c>
      <c r="G1097" s="4" t="str">
        <f ca="1">IFERROR(__xludf.DUMMYFUNCTION("TEXTJOIN(""|"",TRUE,UNIQUE(FILTER(SPLIT(F1097,"" ""),LEN(SPLIT(F1097,"" ""))&gt;2)))"),"атрас|азмеры|изделия|параметрам|кровати|длина|менее|140|ширина|ипоаллергенный|матрас|для|детской|кровати|предназначенный|для|организации|дневного|ночного|сна|беспечивает|правильную|поддержку|тела|реб|нка|комфорт|безопасность|спользуемые|материалы|устойчив"&amp;"ы|деформации|влаге|подходят|для|регулярной|санитарной|обработки")</f>
        <v>атрас|азмеры|изделия|параметрам|кровати|длина|менее|140|ширина|ипоаллергенный|матрас|для|детской|кровати|предназначенный|для|организации|дневного|ночного|сна|беспечивает|правильную|поддержку|тела|реб|нка|комфорт|безопасность|спользуемые|материалы|устойчивы|деформации|влаге|подходят|для|регулярной|санитарной|обработки</v>
      </c>
      <c r="I1097" s="1"/>
      <c r="J1097" s="1"/>
    </row>
    <row r="1098" spans="1:10" ht="25.5" x14ac:dyDescent="0.2">
      <c r="A1098" s="8" t="s">
        <v>382</v>
      </c>
      <c r="B1098" s="7" t="s">
        <v>381</v>
      </c>
      <c r="C1098" s="7" t="s">
        <v>380</v>
      </c>
      <c r="D1098" s="6">
        <v>23400</v>
      </c>
      <c r="E1098" s="5">
        <v>20</v>
      </c>
      <c r="F1098" s="4" t="str">
        <f ca="1">IFERROR(__xludf.DUMMYFUNCTION("LOWER(REGEXREPLACE(B1098&amp;"" ""&amp;C1098,""[^а-яa-z0-9 ]"","" ""))")," атрас   азмеры изделия  по параметрам кровати  длина   1400 мм  ширина   600 мм   ипоаллергенный матрас для детской кровати ")</f>
        <v xml:space="preserve"> атрас   азмеры изделия  по параметрам кровати  длина   1400 мм  ширина   600 мм   ипоаллергенный матрас для детской кровати </v>
      </c>
      <c r="G1098" s="4" t="str">
        <f ca="1">IFERROR(__xludf.DUMMYFUNCTION("TEXTJOIN(""|"",TRUE,UNIQUE(FILTER(SPLIT(F1098,"" ""),LEN(SPLIT(F1098,"" ""))&gt;2)))"),"атрас|азмеры|изделия|параметрам|кровати|длина|1400|ширина|600|ипоаллергенный|матрас|для|детской|кровати")</f>
        <v>атрас|азмеры|изделия|параметрам|кровати|длина|1400|ширина|600|ипоаллергенный|матрас|для|детской|кровати</v>
      </c>
      <c r="I1098" s="1"/>
      <c r="J1098" s="1"/>
    </row>
    <row r="1099" spans="1:10" ht="25.5" x14ac:dyDescent="0.2">
      <c r="A1099" s="7"/>
      <c r="B1099" s="7" t="s">
        <v>379</v>
      </c>
      <c r="C1099" s="7" t="s">
        <v>378</v>
      </c>
      <c r="D1099" s="6">
        <v>23400</v>
      </c>
      <c r="E1099" s="5">
        <v>5</v>
      </c>
      <c r="F1099" s="4" t="str">
        <f ca="1">IFERROR(__xludf.DUMMYFUNCTION("LOWER(REGEXREPLACE(B1099&amp;"" ""&amp;C1099,""[^а-яa-z0-9 ]"","" ""))")," атрас  группа 2 х лет   азмеры изделия  по параметрам кровати  длина   120 см  ширина   60 см   ипоаллергенный матрас для детской кровати ")</f>
        <v xml:space="preserve"> атрас  группа 2 х лет   азмеры изделия  по параметрам кровати  длина   120 см  ширина   60 см   ипоаллергенный матрас для детской кровати </v>
      </c>
      <c r="G1099" s="4" t="str">
        <f ca="1">IFERROR(__xludf.DUMMYFUNCTION("TEXTJOIN(""|"",TRUE,UNIQUE(FILTER(SPLIT(F1099,"" ""),LEN(SPLIT(F1099,"" ""))&gt;2)))"),"атрас|группа|лет|азмеры|изделия|параметрам|кровати|длина|120|ширина|ипоаллергенный|матрас|для|детской|кровати")</f>
        <v>атрас|группа|лет|азмеры|изделия|параметрам|кровати|длина|120|ширина|ипоаллергенный|матрас|для|детской|кровати</v>
      </c>
      <c r="I1099" s="1"/>
      <c r="J1099" s="1"/>
    </row>
    <row r="1100" spans="1:10" ht="63.75" x14ac:dyDescent="0.2">
      <c r="A1100" s="8" t="s">
        <v>377</v>
      </c>
      <c r="B1100" s="7" t="s">
        <v>376</v>
      </c>
      <c r="C1100" s="7" t="s">
        <v>375</v>
      </c>
      <c r="D1100" s="6">
        <v>191300</v>
      </c>
      <c r="E1100" s="5">
        <v>11</v>
      </c>
      <c r="F1100" s="4" t="str">
        <f ca="1">IFERROR(__xludf.DUMMYFUNCTION("LOWER(REGEXREPLACE(B1100&amp;"" ""&amp;C1100,""[^а-яa-z0-9 ]"","" ""))")," ногофункциональный детский стол   ягкие настенные сиденья с пуфиками   комплект  ногофункциональный стол для чтения  рисования и настольных занятий  подходит для групповой и индивидуальной работы детей   акругл нные углы обеспечивают безопасность   орма "&amp;"  прямоугольная или модульная   атериал        или массив дерева   ягкие сиденья стационарно закреплены к стене и предназначены для организации зоны чтения и отдыха   од сиденьями размещаются мягкие пуфики  которые легко задвигаются под конструкцию  обесп"&amp;"ечивая компактное хранение и удобство использования ")</f>
        <v xml:space="preserve"> ногофункциональный детский стол   ягкие настенные сиденья с пуфиками   комплект  ногофункциональный стол для чтения  рисования и настольных занятий  подходит для групповой и индивидуальной работы детей   акругл нные углы обеспечивают безопасность   орма   прямоугольная или модульная   атериал        или массив дерева   ягкие сиденья стационарно закреплены к стене и предназначены для организации зоны чтения и отдыха   од сиденьями размещаются мягкие пуфики  которые легко задвигаются под конструкцию  обеспечивая компактное хранение и удобство использования </v>
      </c>
      <c r="G1100" s="4" t="str">
        <f ca="1">IFERROR(__xludf.DUMMYFUNCTION("TEXTJOIN(""|"",TRUE,UNIQUE(FILTER(SPLIT(F1100,"" ""),LEN(SPLIT(F1100,"" ""))&gt;2)))"),"ногофункциональный|детский|стол|ягкие|настенные|сиденья|пуфиками|комплект|ногофункциональный|стол|для|чтения|рисования|настольных|занятий|подходит|для|групповой|индивидуальной|работы|детей|акругл|нные|углы|обеспечивают|безопасность|орма|прямоугольная|или|"&amp;"модульная|атериал|или|массив|дерева|ягкие|сиденья|стационарно|закреплены|стене|предназначены|для|организации|зоны|чтения|отдыха|сиденьями|размещаются|мягкие|пуфики|которые|легко|задвигаются|под|конструкцию|обеспечивая|компактное|хранение|удобство|использо"&amp;"вания")</f>
        <v>ногофункциональный|детский|стол|ягкие|настенные|сиденья|пуфиками|комплект|ногофункциональный|стол|для|чтения|рисования|настольных|занятий|подходит|для|групповой|индивидуальной|работы|детей|акругл|нные|углы|обеспечивают|безопасность|орма|прямоугольная|или|модульная|атериал|или|массив|дерева|ягкие|сиденья|стационарно|закреплены|стене|предназначены|для|организации|зоны|чтения|отдыха|сиденьями|размещаются|мягкие|пуфики|которые|легко|задвигаются|под|конструкцию|обеспечивая|компактное|хранение|удобство|использования</v>
      </c>
      <c r="I1100" s="1"/>
      <c r="J1100" s="1"/>
    </row>
    <row r="1101" spans="1:10" ht="25.5" x14ac:dyDescent="0.2">
      <c r="A1101" s="8" t="s">
        <v>374</v>
      </c>
      <c r="B1101" s="7" t="s">
        <v>373</v>
      </c>
      <c r="C1101" s="7" t="s">
        <v>372</v>
      </c>
      <c r="D1101" s="6">
        <v>231000</v>
      </c>
      <c r="E1101" s="5">
        <v>3</v>
      </c>
      <c r="F1101" s="4" t="str">
        <f ca="1">IFERROR(__xludf.DUMMYFUNCTION("LOWER(REGEXREPLACE(B1101&amp;"" ""&amp;C1101,""[^а-яa-z0-9 ]"","" ""))")," одуль стеллажный с открытыми полками для хранения материалов  одуль с открытыми полками для хранения игрушек   абариты изделия   900 340 700 мм   атериал корпуса         с кромкой      ")</f>
        <v xml:space="preserve"> одуль стеллажный с открытыми полками для хранения материалов  одуль с открытыми полками для хранения игрушек   абариты изделия   900 340 700 мм   атериал корпуса         с кромкой      </v>
      </c>
      <c r="G1101" s="4" t="str">
        <f ca="1">IFERROR(__xludf.DUMMYFUNCTION("TEXTJOIN(""|"",TRUE,UNIQUE(FILTER(SPLIT(F1101,"" ""),LEN(SPLIT(F1101,"" ""))&gt;2)))"),"одуль|стеллажный|открытыми|полками|для|хранения|материалов|одуль|открытыми|полками|для|хранения|игрушек|абариты|изделия|900|340|700|атериал|корпуса|кромкой")</f>
        <v>одуль|стеллажный|открытыми|полками|для|хранения|материалов|одуль|открытыми|полками|для|хранения|игрушек|абариты|изделия|900|340|700|атериал|корпуса|кромкой</v>
      </c>
      <c r="I1101" s="1"/>
      <c r="J1101" s="1"/>
    </row>
    <row r="1102" spans="1:10" ht="25.5" x14ac:dyDescent="0.2">
      <c r="A1102" s="8" t="s">
        <v>371</v>
      </c>
      <c r="B1102" s="7" t="s">
        <v>370</v>
      </c>
      <c r="C1102" s="7" t="s">
        <v>369</v>
      </c>
      <c r="D1102" s="6">
        <v>121800</v>
      </c>
      <c r="E1102" s="5">
        <v>7</v>
      </c>
      <c r="F1102" s="4" t="str">
        <f ca="1">IFERROR(__xludf.DUMMYFUNCTION("LOWER(REGEXREPLACE(B1102&amp;"" ""&amp;C1102,""[^а-яa-z0-9 ]"","" ""))")," астенная вешалка для фартуков  снащена тремя крючками для удобного распределения изделий   зготовлена из стали   репится к поверхности без сверления при помощи двусторонней ленты ")</f>
        <v xml:space="preserve"> астенная вешалка для фартуков  снащена тремя крючками для удобного распределения изделий   зготовлена из стали   репится к поверхности без сверления при помощи двусторонней ленты </v>
      </c>
      <c r="G1102" s="4" t="str">
        <f ca="1">IFERROR(__xludf.DUMMYFUNCTION("TEXTJOIN(""|"",TRUE,UNIQUE(FILTER(SPLIT(F1102,"" ""),LEN(SPLIT(F1102,"" ""))&gt;2)))"),"астенная|вешалка|для|фартуков|снащена|тремя|крючками|для|удобного|распределения|изделий|зготовлена|стали|репится|поверхности|без|сверления|при|помощи|двусторонней|ленты")</f>
        <v>астенная|вешалка|для|фартуков|снащена|тремя|крючками|для|удобного|распределения|изделий|зготовлена|стали|репится|поверхности|без|сверления|при|помощи|двусторонней|ленты</v>
      </c>
      <c r="I1102" s="1"/>
      <c r="J1102" s="1"/>
    </row>
    <row r="1103" spans="1:10" ht="25.5" x14ac:dyDescent="0.2">
      <c r="A1103" s="8" t="s">
        <v>368</v>
      </c>
      <c r="B1103" s="7" t="s">
        <v>367</v>
      </c>
      <c r="C1103" s="7" t="s">
        <v>366</v>
      </c>
      <c r="D1103" s="6">
        <v>52500</v>
      </c>
      <c r="E1103" s="5">
        <v>5</v>
      </c>
      <c r="F1103" s="4" t="str">
        <f ca="1">IFERROR(__xludf.DUMMYFUNCTION("LOWER(REGEXREPLACE(B1103&amp;"" ""&amp;C1103,""[^а-яa-z0-9 ]"","" ""))")," астенная полка для хранения дидактических материалов психолога  репится к стене   азмеры 1000х200х630")</f>
        <v xml:space="preserve"> астенная полка для хранения дидактических материалов психолога  репится к стене   азмеры 1000х200х630</v>
      </c>
      <c r="G1103" s="4" t="str">
        <f ca="1">IFERROR(__xludf.DUMMYFUNCTION("TEXTJOIN(""|"",TRUE,UNIQUE(FILTER(SPLIT(F1103,"" ""),LEN(SPLIT(F1103,"" ""))&gt;2)))"),"астенная|полка|для|хранения|дидактических|материалов|психолога|репится|стене|азмеры|1000х200х630")</f>
        <v>астенная|полка|для|хранения|дидактических|материалов|психолога|репится|стене|азмеры|1000х200х630</v>
      </c>
      <c r="I1103" s="1"/>
      <c r="J1103" s="1"/>
    </row>
    <row r="1104" spans="1:10" ht="38.25" x14ac:dyDescent="0.2">
      <c r="A1104" s="8" t="s">
        <v>365</v>
      </c>
      <c r="B1104" s="7" t="s">
        <v>364</v>
      </c>
      <c r="C1104" s="7" t="s">
        <v>363</v>
      </c>
      <c r="D1104" s="6">
        <v>117000</v>
      </c>
      <c r="E1104" s="5">
        <v>1</v>
      </c>
      <c r="F1104" s="4" t="str">
        <f ca="1">IFERROR(__xludf.DUMMYFUNCTION("LOWER(REGEXREPLACE(B1104&amp;"" ""&amp;C1104,""[^а-яa-z0-9 ]"","" ""))")," астенное зеркало в раме  астенное зеркало предназначено для использования в развивающей и коррекционной работе с детьми  а также для формирования навыков самоосознания и эмоционального восприятия   станавливается на стену  имеет прочную раму и безопасную"&amp;" конструкцию  соответствующую требованиям детских учреждений ")</f>
        <v xml:space="preserve"> астенное зеркало в раме  астенное зеркало предназначено для использования в развивающей и коррекционной работе с детьми  а также для формирования навыков самоосознания и эмоционального восприятия   станавливается на стену  имеет прочную раму и безопасную конструкцию  соответствующую требованиям детских учреждений </v>
      </c>
      <c r="G1104" s="4" t="str">
        <f ca="1">IFERROR(__xludf.DUMMYFUNCTION("TEXTJOIN(""|"",TRUE,UNIQUE(FILTER(SPLIT(F1104,"" ""),LEN(SPLIT(F1104,"" ""))&gt;2)))"),"астенное|зеркало|раме|астенное|зеркало|предназначено|для|использования|развивающей|коррекционной|работе|детьми|также|для|формирования|навыков|самоосознания|эмоционального|восприятия|станавливается|стену|имеет|прочную|раму|безопасную|конструкцию|соответств"&amp;"ующую|требованиям|детских|учреждений")</f>
        <v>астенное|зеркало|раме|астенное|зеркало|предназначено|для|использования|развивающей|коррекционной|работе|детьми|также|для|формирования|навыков|самоосознания|эмоционального|восприятия|станавливается|стену|имеет|прочную|раму|безопасную|конструкцию|соответствующую|требованиям|детских|учреждений</v>
      </c>
      <c r="I1104" s="1"/>
      <c r="J1104" s="1"/>
    </row>
    <row r="1105" spans="1:10" ht="38.25" x14ac:dyDescent="0.2">
      <c r="A1105" s="8" t="s">
        <v>362</v>
      </c>
      <c r="B1105" s="7" t="s">
        <v>361</v>
      </c>
      <c r="C1105" s="7" t="s">
        <v>360</v>
      </c>
      <c r="D1105" s="6">
        <v>62500</v>
      </c>
      <c r="E1105" s="5">
        <v>1</v>
      </c>
      <c r="F1105" s="4" t="str">
        <f ca="1">IFERROR(__xludf.DUMMYFUNCTION("LOWER(REGEXREPLACE(B1105&amp;"" ""&amp;C1105,""[^а-яa-z0-9 ]"","" ""))")," астенные держатели для обручей  астенные держатели предназначены для удобного и безопасного хранения спортивного инвентаря   спользуются в спортивных и игровых зонах дошкольного учреждения  обеспечивают порядок  экономию пространства и быстрый доступ к о"&amp;"борудованию ")</f>
        <v xml:space="preserve"> астенные держатели для обручей  астенные держатели предназначены для удобного и безопасного хранения спортивного инвентаря   спользуются в спортивных и игровых зонах дошкольного учреждения  обеспечивают порядок  экономию пространства и быстрый доступ к оборудованию </v>
      </c>
      <c r="G1105" s="4" t="str">
        <f ca="1">IFERROR(__xludf.DUMMYFUNCTION("TEXTJOIN(""|"",TRUE,UNIQUE(FILTER(SPLIT(F1105,"" ""),LEN(SPLIT(F1105,"" ""))&gt;2)))"),"астенные|держатели|для|обручей|астенные|держатели|предназначены|для|удобного|безопасного|хранения|спортивного|инвентаря|спользуются|спортивных|игровых|зонах|дошкольного|учреждения|обеспечивают|порядок|экономию|пространства|быстрый|доступ|оборудованию")</f>
        <v>астенные|держатели|для|обручей|астенные|держатели|предназначены|для|удобного|безопасного|хранения|спортивного|инвентаря|спользуются|спортивных|игровых|зонах|дошкольного|учреждения|обеспечивают|порядок|экономию|пространства|быстрый|доступ|оборудованию</v>
      </c>
      <c r="I1105" s="1"/>
      <c r="J1105" s="1"/>
    </row>
    <row r="1106" spans="1:10" ht="25.5" x14ac:dyDescent="0.2">
      <c r="A1106" s="8" t="s">
        <v>359</v>
      </c>
      <c r="B1106" s="7" t="s">
        <v>358</v>
      </c>
      <c r="C1106" s="7" t="s">
        <v>357</v>
      </c>
      <c r="D1106" s="6">
        <v>110700</v>
      </c>
      <c r="E1106" s="5">
        <v>2</v>
      </c>
      <c r="F1106" s="4" t="str">
        <f ca="1">IFERROR(__xludf.DUMMYFUNCTION("LOWER(REGEXREPLACE(B1106&amp;"" ""&amp;C1106,""[^а-яa-z0-9 ]"","" ""))")," астенный держатель для инвентаря  астенный держатель предназначен для хранения различного игрового и спортивного инвентаря   репится к стене  обеспечивает устойчивость конструкции и безопасность эксплуатации в условиях     ")</f>
        <v xml:space="preserve"> астенный держатель для инвентаря  астенный держатель предназначен для хранения различного игрового и спортивного инвентаря   репится к стене  обеспечивает устойчивость конструкции и безопасность эксплуатации в условиях     </v>
      </c>
      <c r="G1106" s="4" t="str">
        <f ca="1">IFERROR(__xludf.DUMMYFUNCTION("TEXTJOIN(""|"",TRUE,UNIQUE(FILTER(SPLIT(F1106,"" ""),LEN(SPLIT(F1106,"" ""))&gt;2)))"),"астенный|держатель|для|инвентаря|астенный|держатель|предназначен|для|хранения|различного|игрового|спортивного|инвентаря|репится|стене|обеспечивает|устойчивость|конструкции|безопасность|эксплуатации|условиях")</f>
        <v>астенный|держатель|для|инвентаря|астенный|держатель|предназначен|для|хранения|различного|игрового|спортивного|инвентаря|репится|стене|обеспечивает|устойчивость|конструкции|безопасность|эксплуатации|условиях</v>
      </c>
      <c r="I1106" s="1"/>
      <c r="J1106" s="1"/>
    </row>
    <row r="1107" spans="1:10" ht="25.5" x14ac:dyDescent="0.2">
      <c r="A1107" s="8" t="s">
        <v>356</v>
      </c>
      <c r="B1107" s="7" t="s">
        <v>355</v>
      </c>
      <c r="C1107" s="7" t="s">
        <v>354</v>
      </c>
      <c r="D1107" s="6">
        <v>14400</v>
      </c>
      <c r="E1107" s="5">
        <v>31</v>
      </c>
      <c r="F1107" s="4" t="str">
        <f ca="1">IFERROR(__xludf.DUMMYFUNCTION("LOWER(REGEXREPLACE(B1107&amp;"" ""&amp;C1107,""[^а-яa-z0-9 ]"","" ""))")," атяжной потолок с подсветкой  отолочная конструкция с встроенной светодиодной подсветкой   беспечивает равномерное освещение и декоративный эффект в помещении ")</f>
        <v xml:space="preserve"> атяжной потолок с подсветкой  отолочная конструкция с встроенной светодиодной подсветкой   беспечивает равномерное освещение и декоративный эффект в помещении </v>
      </c>
      <c r="G1107" s="4" t="str">
        <f ca="1">IFERROR(__xludf.DUMMYFUNCTION("TEXTJOIN(""|"",TRUE,UNIQUE(FILTER(SPLIT(F1107,"" ""),LEN(SPLIT(F1107,"" ""))&gt;2)))"),"атяжной|потолок|подсветкой|отолочная|конструкция|встроенной|светодиодной|подсветкой|беспечивает|равномерное|освещение|декоративный|эффект|помещении")</f>
        <v>атяжной|потолок|подсветкой|отолочная|конструкция|встроенной|светодиодной|подсветкой|беспечивает|равномерное|освещение|декоративный|эффект|помещении</v>
      </c>
      <c r="I1107" s="1"/>
      <c r="J1107" s="1"/>
    </row>
    <row r="1108" spans="1:10" ht="12.75" x14ac:dyDescent="0.2">
      <c r="A1108" s="8" t="s">
        <v>353</v>
      </c>
      <c r="B1108" s="7" t="s">
        <v>352</v>
      </c>
      <c r="C1108" s="7" t="s">
        <v>351</v>
      </c>
      <c r="D1108" s="6">
        <v>94500</v>
      </c>
      <c r="E1108" s="5">
        <v>1</v>
      </c>
      <c r="F1108" s="4" t="str">
        <f ca="1">IFERROR(__xludf.DUMMYFUNCTION("LOWER(REGEXREPLACE(B1108&amp;"" ""&amp;C1108,""[^а-яa-z0-9 ]"","" ""))")," ткрытая полка  теллаж 8 секций  азмеры 720x390x1820 мм")</f>
        <v xml:space="preserve"> ткрытая полка  теллаж 8 секций  азмеры 720x390x1820 мм</v>
      </c>
      <c r="G1108" s="4" t="str">
        <f ca="1">IFERROR(__xludf.DUMMYFUNCTION("TEXTJOIN(""|"",TRUE,UNIQUE(FILTER(SPLIT(F1108,"" ""),LEN(SPLIT(F1108,"" ""))&gt;2)))"),"ткрытая|полка|теллаж|секций|азмеры|720x390x1820")</f>
        <v>ткрытая|полка|теллаж|секций|азмеры|720x390x1820</v>
      </c>
      <c r="I1108" s="1"/>
      <c r="J1108" s="1"/>
    </row>
    <row r="1109" spans="1:10" ht="12.75" x14ac:dyDescent="0.2">
      <c r="A1109" s="8" t="s">
        <v>350</v>
      </c>
      <c r="B1109" s="7" t="s">
        <v>349</v>
      </c>
      <c r="C1109" s="7" t="s">
        <v>348</v>
      </c>
      <c r="D1109" s="6">
        <v>178500</v>
      </c>
      <c r="E1109" s="5">
        <v>11</v>
      </c>
      <c r="F1109" s="4" t="str">
        <f ca="1">IFERROR(__xludf.DUMMYFUNCTION("LOWER(REGEXREPLACE(B1109&amp;"" ""&amp;C1109,""[^а-яa-z0-9 ]"","" ""))")," ткрытые стеллажи с контейнерами  ткрытые стеллажи с контейнерами   азмеры 1800х430х620мм")</f>
        <v xml:space="preserve"> ткрытые стеллажи с контейнерами  ткрытые стеллажи с контейнерами   азмеры 1800х430х620мм</v>
      </c>
      <c r="G1109" s="4" t="str">
        <f ca="1">IFERROR(__xludf.DUMMYFUNCTION("TEXTJOIN(""|"",TRUE,UNIQUE(FILTER(SPLIT(F1109,"" ""),LEN(SPLIT(F1109,"" ""))&gt;2)))"),"ткрытые|стеллажи|контейнерами|ткрытые|стеллажи|контейнерами|азмеры|1800х430х620мм")</f>
        <v>ткрытые|стеллажи|контейнерами|ткрытые|стеллажи|контейнерами|азмеры|1800х430х620мм</v>
      </c>
      <c r="I1109" s="1"/>
      <c r="J1109" s="1"/>
    </row>
    <row r="1110" spans="1:10" ht="12.75" x14ac:dyDescent="0.2">
      <c r="A1110" s="8" t="s">
        <v>347</v>
      </c>
      <c r="B1110" s="7" t="s">
        <v>346</v>
      </c>
      <c r="C1110" s="9" t="s">
        <v>345</v>
      </c>
      <c r="D1110" s="6">
        <v>92317</v>
      </c>
      <c r="E1110" s="5">
        <v>134</v>
      </c>
      <c r="F1110" s="4" t="str">
        <f ca="1">IFERROR(__xludf.DUMMYFUNCTION("LOWER(REGEXREPLACE(B1110&amp;"" ""&amp;C1110,""[^а-яa-z0-9 ]"","" ""))")," ткрытый стеллаж   каф стеллаж открытый 2000х300х1000мм   орпус  полки из      16мм  20 ячеек  задняя стенка из     5мм")</f>
        <v xml:space="preserve"> ткрытый стеллаж   каф стеллаж открытый 2000х300х1000мм   орпус  полки из      16мм  20 ячеек  задняя стенка из     5мм</v>
      </c>
      <c r="G1110" s="4" t="str">
        <f ca="1">IFERROR(__xludf.DUMMYFUNCTION("TEXTJOIN(""|"",TRUE,UNIQUE(FILTER(SPLIT(F1110,"" ""),LEN(SPLIT(F1110,"" ""))&gt;2)))"),"ткрытый|стеллаж|каф|стеллаж|открытый|2000х300х1000мм|орпус|полки|16мм|ячеек|задняя|стенка|5мм")</f>
        <v>ткрытый|стеллаж|каф|стеллаж|открытый|2000х300х1000мм|орпус|полки|16мм|ячеек|задняя|стенка|5мм</v>
      </c>
      <c r="I1110" s="1"/>
      <c r="J1110" s="1"/>
    </row>
    <row r="1111" spans="1:10" ht="76.5" x14ac:dyDescent="0.2">
      <c r="A1111" s="8" t="s">
        <v>344</v>
      </c>
      <c r="B1111" s="7" t="s">
        <v>343</v>
      </c>
      <c r="C1111" s="7" t="s">
        <v>342</v>
      </c>
      <c r="D1111" s="6">
        <v>94500</v>
      </c>
      <c r="E1111" s="5">
        <v>5</v>
      </c>
      <c r="F1111" s="4" t="str">
        <f ca="1">IFERROR(__xludf.DUMMYFUNCTION("LOWER(REGEXREPLACE(B1111&amp;"" ""&amp;C1111,""[^а-яa-z0-9 ]"","" ""))")," етский стол  етский стол на 4   5посадочных места  предназначенный для групповой работы детей   онструкция выполнена из качественного дерева      или металла с ламинированной столешницей  что обеспечивает долговечность  устойчивость и л гкость ухода   аз"&amp;"меры изделия  высота   480 мм  длина   1180 мм  ширина   580 мм   тол устойчивый  с безопасными округлыми кромками  рассчитан на ежедневное использование в детских учреждениях ")</f>
        <v xml:space="preserve"> етский стол  етский стол на 4   5посадочных места  предназначенный для групповой работы детей   онструкция выполнена из качественного дерева      или металла с ламинированной столешницей  что обеспечивает долговечность  устойчивость и л гкость ухода   азмеры изделия  высота   480 мм  длина   1180 мм  ширина   580 мм   тол устойчивый  с безопасными округлыми кромками  рассчитан на ежедневное использование в детских учреждениях </v>
      </c>
      <c r="G1111" s="4" t="str">
        <f ca="1">IFERROR(__xludf.DUMMYFUNCTION("TEXTJOIN(""|"",TRUE,UNIQUE(FILTER(SPLIT(F1111,"" ""),LEN(SPLIT(F1111,"" ""))&gt;2)))"),"етский|стол|етский|стол|5посадочных|места|предназначенный|для|групповой|работы|детей|онструкция|выполнена|качественного|дерева|или|металла|ламинированной|столешницей|что|обеспечивает|долговечность|устойчивость|гкость|ухода|азмеры|изделия|высота|480|длина|"&amp;"1180|ширина|580|тол|устойчивый|безопасными|округлыми|кромками|рассчитан|ежедневное|использование|детских|учреждениях")</f>
        <v>етский|стол|етский|стол|5посадочных|места|предназначенный|для|групповой|работы|детей|онструкция|выполнена|качественного|дерева|или|металла|ламинированной|столешницей|что|обеспечивает|долговечность|устойчивость|гкость|ухода|азмеры|изделия|высота|480|длина|1180|ширина|580|тол|устойчивый|безопасными|округлыми|кромками|рассчитан|ежедневное|использование|детских|учреждениях</v>
      </c>
      <c r="I1111" s="1"/>
      <c r="J1111" s="1"/>
    </row>
    <row r="1112" spans="1:10" ht="38.25" x14ac:dyDescent="0.2">
      <c r="A1112" s="8" t="s">
        <v>341</v>
      </c>
      <c r="B1112" s="7" t="s">
        <v>340</v>
      </c>
      <c r="C1112" s="7" t="s">
        <v>339</v>
      </c>
      <c r="D1112" s="6">
        <v>315000</v>
      </c>
      <c r="E1112" s="5">
        <v>0</v>
      </c>
      <c r="F1112" s="4" t="str">
        <f ca="1">IFERROR(__xludf.DUMMYFUNCTION("LOWER(REGEXREPLACE(B1112&amp;"" ""&amp;C1112,""[^а-яa-z0-9 ]"","" ""))")," одставка для детских инструментов  одставка предназначена для хранения и размещения детских музыкальных инструментов  бубны  маракасы  треугольники  ксилофоны и др     спользуется в музыкальном зале дошкольного учреждения для поддержания порядка  удобног"&amp;"о доступа и безопасного хранения инвентаря ")</f>
        <v xml:space="preserve"> одставка для детских инструментов  одставка предназначена для хранения и размещения детских музыкальных инструментов  бубны  маракасы  треугольники  ксилофоны и др     спользуется в музыкальном зале дошкольного учреждения для поддержания порядка  удобного доступа и безопасного хранения инвентаря </v>
      </c>
      <c r="G1112" s="4" t="str">
        <f ca="1">IFERROR(__xludf.DUMMYFUNCTION("TEXTJOIN(""|"",TRUE,UNIQUE(FILTER(SPLIT(F1112,"" ""),LEN(SPLIT(F1112,"" ""))&gt;2)))"),"одставка|для|детских|инструментов|одставка|предназначена|для|хранения|размещения|детских|музыкальных|инструментов|бубны|маракасы|треугольники|ксилофоны|спользуется|музыкальном|зале|дошкольного|учреждения|для|поддержания|порядка|удобного|доступа|безопасног"&amp;"о|хранения|инвентаря")</f>
        <v>одставка|для|детских|инструментов|одставка|предназначена|для|хранения|размещения|детских|музыкальных|инструментов|бубны|маракасы|треугольники|ксилофоны|спользуется|музыкальном|зале|дошкольного|учреждения|для|поддержания|порядка|удобного|доступа|безопасного|хранения|инвентаря</v>
      </c>
      <c r="I1112" s="1"/>
      <c r="J1112" s="1"/>
    </row>
    <row r="1113" spans="1:10" ht="38.25" x14ac:dyDescent="0.2">
      <c r="A1113" s="8" t="s">
        <v>338</v>
      </c>
      <c r="B1113" s="7" t="s">
        <v>337</v>
      </c>
      <c r="C1113" s="7" t="s">
        <v>336</v>
      </c>
      <c r="D1113" s="6">
        <v>17600</v>
      </c>
      <c r="E1113" s="5">
        <v>0</v>
      </c>
      <c r="F1113" s="4" t="str">
        <f ca="1">IFERROR(__xludf.DUMMYFUNCTION("LOWER(REGEXREPLACE(B1113&amp;"" ""&amp;C1113,""[^а-яa-z0-9 ]"","" ""))")," одставка для домбры   настенный держатель  одставка или настенный держатель предназначены для безопасного хранения домбры в музыкальном зале       беспечивают сохранность инструмента и рациональную организацию пространства   онструкция устойчивая  с защи"&amp;"тными элементами в местах соприкосновения с инструментом ")</f>
        <v xml:space="preserve"> одставка для домбры   настенный держатель  одставка или настенный держатель предназначены для безопасного хранения домбры в музыкальном зале       беспечивают сохранность инструмента и рациональную организацию пространства   онструкция устойчивая  с защитными элементами в местах соприкосновения с инструментом </v>
      </c>
      <c r="G1113" s="4" t="str">
        <f ca="1">IFERROR(__xludf.DUMMYFUNCTION("TEXTJOIN(""|"",TRUE,UNIQUE(FILTER(SPLIT(F1113,"" ""),LEN(SPLIT(F1113,"" ""))&gt;2)))"),"одставка|для|домбры|настенный|держатель|одставка|или|настенный|держатель|предназначены|для|безопасного|хранения|домбры|музыкальном|зале|беспечивают|сохранность|инструмента|рациональную|организацию|пространства|онструкция|устойчивая|защитными|элементами|ме"&amp;"стах|соприкосновения|инструментом")</f>
        <v>одставка|для|домбры|настенный|держатель|одставка|или|настенный|держатель|предназначены|для|безопасного|хранения|домбры|музыкальном|зале|беспечивают|сохранность|инструмента|рациональную|организацию|пространства|онструкция|устойчивая|защитными|элементами|местах|соприкосновения|инструментом</v>
      </c>
      <c r="I1113" s="1"/>
      <c r="J1113" s="1"/>
    </row>
    <row r="1114" spans="1:10" ht="25.5" x14ac:dyDescent="0.2">
      <c r="A1114" s="8" t="s">
        <v>335</v>
      </c>
      <c r="B1114" s="7" t="s">
        <v>334</v>
      </c>
      <c r="C1114" s="7" t="s">
        <v>333</v>
      </c>
      <c r="D1114" s="6">
        <v>136500</v>
      </c>
      <c r="E1114" s="5">
        <v>5</v>
      </c>
      <c r="F1114" s="4" t="str">
        <f ca="1">IFERROR(__xludf.DUMMYFUNCTION("LOWER(REGEXREPLACE(B1114&amp;"" ""&amp;C1114,""[^а-яa-z0-9 ]"","" ""))")," одставка для зеркала индивидуальная  одставка используется для установки или подвешивания зеркала   беспечивает устойчивость и возможность изменения расположения ")</f>
        <v xml:space="preserve"> одставка для зеркала индивидуальная  одставка используется для установки или подвешивания зеркала   беспечивает устойчивость и возможность изменения расположения </v>
      </c>
      <c r="G1114" s="4" t="str">
        <f ca="1">IFERROR(__xludf.DUMMYFUNCTION("TEXTJOIN(""|"",TRUE,UNIQUE(FILTER(SPLIT(F1114,"" ""),LEN(SPLIT(F1114,"" ""))&gt;2)))"),"одставка|для|зеркала|индивидуальная|одставка|используется|для|установки|или|подвешивания|зеркала|беспечивает|устойчивость|возможность|изменения|расположения")</f>
        <v>одставка|для|зеркала|индивидуальная|одставка|используется|для|установки|или|подвешивания|зеркала|беспечивает|устойчивость|возможность|изменения|расположения</v>
      </c>
      <c r="I1114" s="1"/>
      <c r="J1114" s="1"/>
    </row>
    <row r="1115" spans="1:10" ht="38.25" x14ac:dyDescent="0.2">
      <c r="A1115" s="8" t="s">
        <v>332</v>
      </c>
      <c r="B1115" s="7" t="s">
        <v>331</v>
      </c>
      <c r="C1115" s="7" t="s">
        <v>330</v>
      </c>
      <c r="D1115" s="6">
        <v>31500</v>
      </c>
      <c r="E1115" s="5">
        <v>20</v>
      </c>
      <c r="F1115" s="4" t="str">
        <f ca="1">IFERROR(__xludf.DUMMYFUNCTION("LOWER(REGEXREPLACE(B1115&amp;"" ""&amp;C1115,""[^а-яa-z0-9 ]"","" ""))")," одставка для цветов  одставка для цветов предназначена для размещения комнатных растений в помещениях дошкольного учреждения   спользуется для оформления интерьера и создания благоприятной  экологически ориентированной среды ")</f>
        <v xml:space="preserve"> одставка для цветов  одставка для цветов предназначена для размещения комнатных растений в помещениях дошкольного учреждения   спользуется для оформления интерьера и создания благоприятной  экологически ориентированной среды </v>
      </c>
      <c r="G1115" s="4" t="str">
        <f ca="1">IFERROR(__xludf.DUMMYFUNCTION("TEXTJOIN(""|"",TRUE,UNIQUE(FILTER(SPLIT(F1115,"" ""),LEN(SPLIT(F1115,"" ""))&gt;2)))"),"одставка|для|цветов|одставка|для|цветов|предназначена|для|размещения|комнатных|растений|помещениях|дошкольного|учреждения|спользуется|для|оформления|интерьера|создания|благоприятной|экологически|ориентированной|среды")</f>
        <v>одставка|для|цветов|одставка|для|цветов|предназначена|для|размещения|комнатных|растений|помещениях|дошкольного|учреждения|спользуется|для|оформления|интерьера|создания|благоприятной|экологически|ориентированной|среды</v>
      </c>
      <c r="I1115" s="1"/>
      <c r="J1115" s="1"/>
    </row>
    <row r="1116" spans="1:10" ht="38.25" x14ac:dyDescent="0.2">
      <c r="A1116" s="8" t="s">
        <v>329</v>
      </c>
      <c r="B1116" s="7" t="s">
        <v>328</v>
      </c>
      <c r="C1116" s="7" t="s">
        <v>327</v>
      </c>
      <c r="D1116" s="6">
        <v>25200</v>
      </c>
      <c r="E1116" s="5">
        <v>3</v>
      </c>
      <c r="F1116" s="4" t="str">
        <f ca="1">IFERROR(__xludf.DUMMYFUNCTION("LOWER(REGEXREPLACE(B1116&amp;"" ""&amp;C1116,""[^а-яa-z0-9 ]"","" ""))")," одставка для цветов напольная   на подоконник  еревянная подставка для цветов предназначена для размещения растений на полу или подоконнике   спользуется в дошкольном учреждении для эстетического оформления помещений и рационального размещения растений  "&amp;" онструкция устойчивая и безопасная для использования в помещениях     ")</f>
        <v xml:space="preserve"> одставка для цветов напольная   на подоконник  еревянная подставка для цветов предназначена для размещения растений на полу или подоконнике   спользуется в дошкольном учреждении для эстетического оформления помещений и рационального размещения растений   онструкция устойчивая и безопасная для использования в помещениях     </v>
      </c>
      <c r="G1116" s="4" t="str">
        <f ca="1">IFERROR(__xludf.DUMMYFUNCTION("TEXTJOIN(""|"",TRUE,UNIQUE(FILTER(SPLIT(F1116,"" ""),LEN(SPLIT(F1116,"" ""))&gt;2)))"),"одставка|для|цветов|напольная|подоконник|еревянная|подставка|для|цветов|предназначена|для|размещения|растений|полу|или|подоконнике|спользуется|дошкольном|учреждении|для|эстетического|оформления|помещений|рационального|размещения|растений|онструкция|устойч"&amp;"ивая|безопасная|для|использования|помещениях")</f>
        <v>одставка|для|цветов|напольная|подоконник|еревянная|подставка|для|цветов|предназначена|для|размещения|растений|полу|или|подоконнике|спользуется|дошкольном|учреждении|для|эстетического|оформления|помещений|рационального|размещения|растений|онструкция|устойчивая|безопасная|для|использования|помещениях</v>
      </c>
      <c r="I1116" s="1"/>
      <c r="J1116" s="1"/>
    </row>
    <row r="1117" spans="1:10" ht="12.75" x14ac:dyDescent="0.2">
      <c r="A1117" s="8" t="s">
        <v>326</v>
      </c>
      <c r="B1117" s="7" t="s">
        <v>325</v>
      </c>
      <c r="C1117" s="7" t="s">
        <v>324</v>
      </c>
      <c r="D1117" s="6">
        <v>219200</v>
      </c>
      <c r="E1117" s="5">
        <v>2</v>
      </c>
      <c r="F1117" s="4" t="str">
        <f ca="1">IFERROR(__xludf.DUMMYFUNCTION("LOWER(REGEXREPLACE(B1117&amp;"" ""&amp;C1117,""[^а-яa-z0-9 ]"","" ""))")," одставка vpn7 4  азмеры  800x574x550 мм")</f>
        <v xml:space="preserve"> одставка vpn7 4  азмеры  800x574x550 мм</v>
      </c>
      <c r="G1117" s="4" t="str">
        <f ca="1">IFERROR(__xludf.DUMMYFUNCTION("TEXTJOIN(""|"",TRUE,UNIQUE(FILTER(SPLIT(F1117,"" ""),LEN(SPLIT(F1117,"" ""))&gt;2)))"),"одставка|vpn7|азмеры|800x574x550")</f>
        <v>одставка|vpn7|азмеры|800x574x550</v>
      </c>
      <c r="I1117" s="1"/>
      <c r="J1117" s="1"/>
    </row>
    <row r="1118" spans="1:10" ht="12.75" x14ac:dyDescent="0.2">
      <c r="A1118" s="8" t="s">
        <v>323</v>
      </c>
      <c r="B1118" s="7" t="s">
        <v>322</v>
      </c>
      <c r="C1118" s="7" t="s">
        <v>321</v>
      </c>
      <c r="D1118" s="6">
        <v>290300</v>
      </c>
      <c r="E1118" s="5">
        <v>2</v>
      </c>
      <c r="F1118" s="4" t="str">
        <f ca="1">IFERROR(__xludf.DUMMYFUNCTION("LOWER(REGEXREPLACE(B1118&amp;"" ""&amp;C1118,""[^а-яa-z0-9 ]"","" ""))")," одставка vpn7 5  азмеры  1200x574x550 мм")</f>
        <v xml:space="preserve"> одставка vpn7 5  азмеры  1200x574x550 мм</v>
      </c>
      <c r="G1118" s="4" t="str">
        <f ca="1">IFERROR(__xludf.DUMMYFUNCTION("TEXTJOIN(""|"",TRUE,UNIQUE(FILTER(SPLIT(F1118,"" ""),LEN(SPLIT(F1118,"" ""))&gt;2)))"),"одставка|vpn7|азмеры|1200x574x550")</f>
        <v>одставка|vpn7|азмеры|1200x574x550</v>
      </c>
      <c r="I1118" s="1"/>
      <c r="J1118" s="1"/>
    </row>
    <row r="1119" spans="1:10" ht="12.75" x14ac:dyDescent="0.2">
      <c r="A1119" s="8" t="s">
        <v>320</v>
      </c>
      <c r="B1119" s="7" t="s">
        <v>319</v>
      </c>
      <c r="C1119" s="7" t="s">
        <v>318</v>
      </c>
      <c r="D1119" s="6">
        <v>156800</v>
      </c>
      <c r="E1119" s="5">
        <v>3</v>
      </c>
      <c r="F1119" s="4" t="str">
        <f ca="1">IFERROR(__xludf.DUMMYFUNCTION("LOWER(REGEXREPLACE(B1119&amp;"" ""&amp;C1119,""[^а-яa-z0-9 ]"","" ""))")," одтоварник ce st50120  ержавеющая сталь 430    перфорированной полкой   араметры  1200x500x300 mm")</f>
        <v xml:space="preserve"> одтоварник ce st50120  ержавеющая сталь 430    перфорированной полкой   араметры  1200x500x300 mm</v>
      </c>
      <c r="G1119" s="4" t="str">
        <f ca="1">IFERROR(__xludf.DUMMYFUNCTION("TEXTJOIN(""|"",TRUE,UNIQUE(FILTER(SPLIT(F1119,"" ""),LEN(SPLIT(F1119,"" ""))&gt;2)))"),"одтоварник|st50120|ержавеющая|сталь|430|перфорированной|полкой|араметры|1200x500x300")</f>
        <v>одтоварник|st50120|ержавеющая|сталь|430|перфорированной|полкой|араметры|1200x500x300</v>
      </c>
      <c r="I1119" s="1"/>
      <c r="J1119" s="1"/>
    </row>
    <row r="1120" spans="1:10" ht="12.75" x14ac:dyDescent="0.2">
      <c r="A1120" s="8" t="s">
        <v>317</v>
      </c>
      <c r="B1120" s="7" t="s">
        <v>316</v>
      </c>
      <c r="C1120" s="7" t="s">
        <v>315</v>
      </c>
      <c r="D1120" s="6">
        <v>388200</v>
      </c>
      <c r="E1120" s="5">
        <v>1</v>
      </c>
      <c r="F1120" s="4" t="str">
        <f ca="1">IFERROR(__xludf.DUMMYFUNCTION("LOWER(REGEXREPLACE(B1120&amp;"" ""&amp;C1120,""[^а-яa-z0-9 ]"","" ""))")," олка для вытяжки ce dofr320x40  ержавеющая сталь 430   араметры  3200x400x500 мм")</f>
        <v xml:space="preserve"> олка для вытяжки ce dofr320x40  ержавеющая сталь 430   араметры  3200x400x500 мм</v>
      </c>
      <c r="G1120" s="4" t="str">
        <f ca="1">IFERROR(__xludf.DUMMYFUNCTION("TEXTJOIN(""|"",TRUE,UNIQUE(FILTER(SPLIT(F1120,"" ""),LEN(SPLIT(F1120,"" ""))&gt;2)))"),"олка|для|вытяжки|dofr320x40|ержавеющая|сталь|430|араметры|3200x400x500")</f>
        <v>олка|для|вытяжки|dofr320x40|ержавеющая|сталь|430|араметры|3200x400x500</v>
      </c>
      <c r="I1120" s="1"/>
      <c r="J1120" s="1"/>
    </row>
    <row r="1121" spans="1:10" ht="25.5" x14ac:dyDescent="0.2">
      <c r="A1121" s="8" t="s">
        <v>314</v>
      </c>
      <c r="B1121" s="7" t="s">
        <v>313</v>
      </c>
      <c r="C1121" s="7" t="s">
        <v>312</v>
      </c>
      <c r="D1121" s="6">
        <v>252000</v>
      </c>
      <c r="E1121" s="5">
        <v>2</v>
      </c>
      <c r="F1121" s="4" t="str">
        <f ca="1">IFERROR(__xludf.DUMMYFUNCTION("LOWER(REGEXREPLACE(B1121&amp;"" ""&amp;C1121,""[^а-яa-z0-9 ]"","" ""))")," олка для книг  олка предназначена для хранения детской и методической литературы   азмеры   ирина 540 мм  лубина360 мм  ысота 460 мм")</f>
        <v xml:space="preserve"> олка для книг  олка предназначена для хранения детской и методической литературы   азмеры   ирина 540 мм  лубина360 мм  ысота 460 мм</v>
      </c>
      <c r="G1121" s="4" t="str">
        <f ca="1">IFERROR(__xludf.DUMMYFUNCTION("TEXTJOIN(""|"",TRUE,UNIQUE(FILTER(SPLIT(F1121,"" ""),LEN(SPLIT(F1121,"" ""))&gt;2)))"),"олка|для|книг|олка|предназначена|для|хранения|детской|методической|литературы|азмеры|ирина|540|лубина360|ысота|460")</f>
        <v>олка|для|книг|олка|предназначена|для|хранения|детской|методической|литературы|азмеры|ирина|540|лубина360|ысота|460</v>
      </c>
      <c r="I1121" s="1"/>
      <c r="J1121" s="1"/>
    </row>
    <row r="1122" spans="1:10" ht="12.75" x14ac:dyDescent="0.2">
      <c r="A1122" s="8" t="s">
        <v>311</v>
      </c>
      <c r="B1122" s="7" t="s">
        <v>310</v>
      </c>
      <c r="C1122" s="7" t="s">
        <v>309</v>
      </c>
      <c r="D1122" s="6">
        <v>126000</v>
      </c>
      <c r="E1122" s="5">
        <v>1</v>
      </c>
      <c r="F1122" s="4" t="str">
        <f ca="1">IFERROR(__xludf.DUMMYFUNCTION("LOWER(REGEXREPLACE(B1122&amp;"" ""&amp;C1122,""[^а-яa-z0-9 ]"","" ""))")," олка книжная настенная  астенная книжная полка   азмеры   ирина 530 мм   лубина120 мм   ысота 800 мм")</f>
        <v xml:space="preserve"> олка книжная настенная  астенная книжная полка   азмеры   ирина 530 мм   лубина120 мм   ысота 800 мм</v>
      </c>
      <c r="G1122" s="4" t="str">
        <f ca="1">IFERROR(__xludf.DUMMYFUNCTION("TEXTJOIN(""|"",TRUE,UNIQUE(FILTER(SPLIT(F1122,"" ""),LEN(SPLIT(F1122,"" ""))&gt;2)))"),"олка|книжная|настенная|астенная|книжная|полка|азмеры|ирина|530|лубина120|ысота|800")</f>
        <v>олка|книжная|настенная|астенная|книжная|полка|азмеры|ирина|530|лубина120|ысота|800</v>
      </c>
      <c r="I1122" s="1"/>
      <c r="J1122" s="1"/>
    </row>
    <row r="1123" spans="1:10" ht="12.75" x14ac:dyDescent="0.2">
      <c r="A1123" s="8" t="s">
        <v>308</v>
      </c>
      <c r="B1123" s="7" t="s">
        <v>307</v>
      </c>
      <c r="C1123" s="7" t="s">
        <v>306</v>
      </c>
      <c r="D1123" s="6">
        <v>72300</v>
      </c>
      <c r="E1123" s="5">
        <v>1</v>
      </c>
      <c r="F1123" s="4" t="str">
        <f ca="1">IFERROR(__xludf.DUMMYFUNCTION("LOWER(REGEXREPLACE(B1123&amp;"" ""&amp;C1123,""[^а-яa-z0-9 ]"","" ""))")," олка настенная ce dr140x30  ержавеющая сталь 430   динарная   араметры  1400x300x40 мм")</f>
        <v xml:space="preserve"> олка настенная ce dr140x30  ержавеющая сталь 430   динарная   араметры  1400x300x40 мм</v>
      </c>
      <c r="G1123" s="4" t="str">
        <f ca="1">IFERROR(__xludf.DUMMYFUNCTION("TEXTJOIN(""|"",TRUE,UNIQUE(FILTER(SPLIT(F1123,"" ""),LEN(SPLIT(F1123,"" ""))&gt;2)))"),"олка|настенная|dr140x30|ержавеющая|сталь|430|динарная|араметры|1400x300x40")</f>
        <v>олка|настенная|dr140x30|ержавеющая|сталь|430|динарная|араметры|1400x300x40</v>
      </c>
      <c r="I1123" s="1"/>
      <c r="J1123" s="1"/>
    </row>
    <row r="1124" spans="1:10" ht="12.75" x14ac:dyDescent="0.2">
      <c r="A1124" s="8" t="s">
        <v>305</v>
      </c>
      <c r="B1124" s="7" t="s">
        <v>304</v>
      </c>
      <c r="C1124" s="7" t="s">
        <v>303</v>
      </c>
      <c r="D1124" s="6">
        <v>74700</v>
      </c>
      <c r="E1124" s="5">
        <v>3</v>
      </c>
      <c r="F1124" s="4" t="str">
        <f ca="1">IFERROR(__xludf.DUMMYFUNCTION("LOWER(REGEXREPLACE(B1124&amp;"" ""&amp;C1124,""[^а-яa-z0-9 ]"","" ""))")," олка настенная ce dr150x30  ержавеющая сталь 430   азмеры 1500х300х40 мм")</f>
        <v xml:space="preserve"> олка настенная ce dr150x30  ержавеющая сталь 430   азмеры 1500х300х40 мм</v>
      </c>
      <c r="G1124" s="4" t="str">
        <f ca="1">IFERROR(__xludf.DUMMYFUNCTION("TEXTJOIN(""|"",TRUE,UNIQUE(FILTER(SPLIT(F1124,"" ""),LEN(SPLIT(F1124,"" ""))&gt;2)))"),"олка|настенная|dr150x30|ержавеющая|сталь|430|азмеры|1500х300х40")</f>
        <v>олка|настенная|dr150x30|ержавеющая|сталь|430|азмеры|1500х300х40</v>
      </c>
      <c r="I1124" s="1"/>
      <c r="J1124" s="1"/>
    </row>
    <row r="1125" spans="1:10" ht="25.5" x14ac:dyDescent="0.2">
      <c r="A1125" s="8" t="s">
        <v>302</v>
      </c>
      <c r="B1125" s="7" t="s">
        <v>301</v>
      </c>
      <c r="C1125" s="7" t="s">
        <v>300</v>
      </c>
      <c r="D1125" s="6">
        <v>83300</v>
      </c>
      <c r="E1125" s="5">
        <v>3</v>
      </c>
      <c r="F1125" s="4" t="str">
        <f ca="1">IFERROR(__xludf.DUMMYFUNCTION("LOWER(REGEXREPLACE(B1125&amp;"" ""&amp;C1125,""[^а-яa-z0-9 ]"","" ""))")," олка настенная ce dr180x30  ержавеющая сталь 430   динарная   араметры  1800x300x40 мм ")</f>
        <v xml:space="preserve"> олка настенная ce dr180x30  ержавеющая сталь 430   динарная   араметры  1800x300x40 мм </v>
      </c>
      <c r="G1125" s="4" t="str">
        <f ca="1">IFERROR(__xludf.DUMMYFUNCTION("TEXTJOIN(""|"",TRUE,UNIQUE(FILTER(SPLIT(F1125,"" ""),LEN(SPLIT(F1125,"" ""))&gt;2)))"),"олка|настенная|dr180x30|ержавеющая|сталь|430|динарная|араметры|1800x300x40")</f>
        <v>олка|настенная|dr180x30|ержавеющая|сталь|430|динарная|араметры|1800x300x40</v>
      </c>
      <c r="I1125" s="1"/>
      <c r="J1125" s="1"/>
    </row>
    <row r="1126" spans="1:10" ht="102" x14ac:dyDescent="0.2">
      <c r="A1126" s="8" t="s">
        <v>299</v>
      </c>
      <c r="B1126" s="7" t="s">
        <v>298</v>
      </c>
      <c r="C1126" s="7" t="s">
        <v>297</v>
      </c>
      <c r="D1126" s="6">
        <v>73500</v>
      </c>
      <c r="E1126" s="5">
        <v>5</v>
      </c>
      <c r="F1126" s="4" t="str">
        <f ca="1">IFERROR(__xludf.DUMMYFUNCTION("LOWER(REGEXREPLACE(B1126&amp;"" ""&amp;C1126,""[^а-яa-z0-9 ]"","" ""))")," уф мешок напольный для зоны отдыха и чтения  уф мешок предназначен для организации комфортной зоны отдыха  чтения и спокойных занятий в группе или кабинете специалистов   азмер изделия обеспечивает посадку реб нка и поддержку корпуса  диаметр ширина   не"&amp;" менее 60 см  высота в посадке   не менее 35 см   аполнитель   гранулы или аналогичный материал  позволяющий пуфу принимать форму тела и снижать статическое напряжение при сидении   нешний чехол выполнен из износостойкой ткани или экокожи  устойчивой к ис"&amp;"тиранию и допускающей влажную обработку   онструкция предусматривает закрытый шов молнию  исключающую доступ детей к наполнителю   спользуется как элемент предметно пространственной среды для создания спокойной атмосферы и удобной посадки во время индивид"&amp;"уальной работы и релаксации ")</f>
        <v xml:space="preserve"> уф мешок напольный для зоны отдыха и чтения  уф мешок предназначен для организации комфортной зоны отдыха  чтения и спокойных занятий в группе или кабинете специалистов   азмер изделия обеспечивает посадку реб нка и поддержку корпуса  диаметр ширина   не менее 60 см  высота в посадке   не менее 35 см   аполнитель   гранулы или аналогичный материал  позволяющий пуфу принимать форму тела и снижать статическое напряжение при сидении   нешний чехол выполнен из износостойкой ткани или экокожи  устойчивой к истиранию и допускающей влажную обработку   онструкция предусматривает закрытый шов молнию  исключающую доступ детей к наполнителю   спользуется как элемент предметно пространственной среды для создания спокойной атмосферы и удобной посадки во время индивидуальной работы и релаксации </v>
      </c>
      <c r="G1126" s="4" t="str">
        <f ca="1">IFERROR(__xludf.DUMMYFUNCTION("TEXTJOIN(""|"",TRUE,UNIQUE(FILTER(SPLIT(F1126,"" ""),LEN(SPLIT(F1126,"" ""))&gt;2)))"),"мешок|напольный|для|зоны|отдыха|чтения|мешок|предназначен|для|организации|комфортной|зоны|отдыха|чтения|спокойных|занятий|группе|или|кабинете|специалистов|азмер|изделия|обеспечивает|посадку|реб|нка|поддержку|корпуса|диаметр|ширина|менее|высота|посадке|мен"&amp;"ее|аполнитель|гранулы|или|аналогичный|материал|позволяющий|пуфу|принимать|форму|тела|снижать|статическое|напряжение|при|сидении|нешний|чехол|выполнен|износостойкой|ткани|или|экокожи|устойчивой|истиранию|допускающей|влажную|обработку|онструкция|предусматри"&amp;"вает|закрытый|шов|молнию|исключающую|доступ|детей|наполнителю|спользуется|как|элемент|предметно|пространственной|среды|для|создания|спокойной|атмосферы|удобной|посадки|время|индивидуальной|работы|релаксации")</f>
        <v>мешок|напольный|для|зоны|отдыха|чтения|мешок|предназначен|для|организации|комфортной|зоны|отдыха|чтения|спокойных|занятий|группе|или|кабинете|специалистов|азмер|изделия|обеспечивает|посадку|реб|нка|поддержку|корпуса|диаметр|ширина|менее|высота|посадке|менее|аполнитель|гранулы|или|аналогичный|материал|позволяющий|пуфу|принимать|форму|тела|снижать|статическое|напряжение|при|сидении|нешний|чехол|выполнен|износостойкой|ткани|или|экокожи|устойчивой|истиранию|допускающей|влажную|обработку|онструкция|предусматривает|закрытый|шов|молнию|исключающую|доступ|детей|наполнителю|спользуется|как|элемент|предметно|пространственной|среды|для|создания|спокойной|атмосферы|удобной|посадки|время|индивидуальной|работы|релаксации</v>
      </c>
      <c r="I1126" s="1"/>
      <c r="J1126" s="1"/>
    </row>
    <row r="1127" spans="1:10" ht="38.25" x14ac:dyDescent="0.2">
      <c r="A1127" s="8" t="s">
        <v>296</v>
      </c>
      <c r="B1127" s="7" t="s">
        <v>295</v>
      </c>
      <c r="C1127" s="7" t="s">
        <v>294</v>
      </c>
      <c r="D1127" s="6">
        <v>84000</v>
      </c>
      <c r="E1127" s="5">
        <v>2</v>
      </c>
      <c r="F1127" s="4" t="str">
        <f ca="1">IFERROR(__xludf.DUMMYFUNCTION("LOWER(REGEXREPLACE(B1127&amp;"" ""&amp;C1127,""[^а-яa-z0-9 ]"","" ""))")," уфик кресло с гранулами разных размеров  уфик кресло типа  груша  предназначено для зон отдыха  релаксации и индивидуальной работы с детьми   аксимальная нагрузка   100 кг   аполнитель   гранулы пенополистирола  0 5 3 мм    атериал внешнего чехла   ткань"&amp;"  ксфорд  чехол съ мный   вет   ж лтый ")</f>
        <v xml:space="preserve"> уфик кресло с гранулами разных размеров  уфик кресло типа  груша  предназначено для зон отдыха  релаксации и индивидуальной работы с детьми   аксимальная нагрузка   100 кг   аполнитель   гранулы пенополистирола  0 5 3 мм    атериал внешнего чехла   ткань  ксфорд  чехол съ мный   вет   ж лтый </v>
      </c>
      <c r="G1127" s="4" t="str">
        <f ca="1">IFERROR(__xludf.DUMMYFUNCTION("TEXTJOIN(""|"",TRUE,UNIQUE(FILTER(SPLIT(F1127,"" ""),LEN(SPLIT(F1127,"" ""))&gt;2)))"),"уфик|кресло|гранулами|разных|размеров|уфик|кресло|типа|груша|предназначено|для|зон|отдыха|релаксации|индивидуальной|работы|детьми|аксимальная|нагрузка|100|аполнитель|гранулы|пенополистирола|атериал|внешнего|чехла|ткань|ксфорд|чехол|мный|вет|лтый")</f>
        <v>уфик|кресло|гранулами|разных|размеров|уфик|кресло|типа|груша|предназначено|для|зон|отдыха|релаксации|индивидуальной|работы|детьми|аксимальная|нагрузка|100|аполнитель|гранулы|пенополистирола|атериал|внешнего|чехла|ткань|ксфорд|чехол|мный|вет|лтый</v>
      </c>
      <c r="I1127" s="1"/>
      <c r="J1127" s="1"/>
    </row>
    <row r="1128" spans="1:10" ht="25.5" x14ac:dyDescent="0.2">
      <c r="A1128" s="8" t="s">
        <v>293</v>
      </c>
      <c r="B1128" s="7" t="s">
        <v>292</v>
      </c>
      <c r="C1128" s="7" t="s">
        <v>291</v>
      </c>
      <c r="D1128" s="6">
        <v>224100</v>
      </c>
      <c r="E1128" s="5">
        <v>1</v>
      </c>
      <c r="F1128" s="4" t="str">
        <f ca="1">IFERROR(__xludf.DUMMYFUNCTION("LOWER(REGEXREPLACE(B1128&amp;"" ""&amp;C1128,""[^а-яa-z0-9 ]"","" ""))")," ервисная полка двухуровневая ce sr2180x40  ержавеющая сталь 430  2 х уровневая  азмеры  1800x400x700 мм")</f>
        <v xml:space="preserve"> ервисная полка двухуровневая ce sr2180x40  ержавеющая сталь 430  2 х уровневая  азмеры  1800x400x700 мм</v>
      </c>
      <c r="G1128" s="4" t="str">
        <f ca="1">IFERROR(__xludf.DUMMYFUNCTION("TEXTJOIN(""|"",TRUE,UNIQUE(FILTER(SPLIT(F1128,"" ""),LEN(SPLIT(F1128,"" ""))&gt;2)))"),"ервисная|полка|двухуровневая|sr2180x40|ержавеющая|сталь|430|уровневая|азмеры|1800x400x700")</f>
        <v>ервисная|полка|двухуровневая|sr2180x40|ержавеющая|сталь|430|уровневая|азмеры|1800x400x700</v>
      </c>
      <c r="I1128" s="1"/>
      <c r="J1128" s="1"/>
    </row>
    <row r="1129" spans="1:10" ht="12.75" x14ac:dyDescent="0.2">
      <c r="A1129" s="8" t="s">
        <v>290</v>
      </c>
      <c r="B1129" s="7" t="s">
        <v>289</v>
      </c>
      <c r="C1129" s="7" t="s">
        <v>288</v>
      </c>
      <c r="D1129" s="6">
        <v>168000</v>
      </c>
      <c r="E1129" s="5">
        <v>4</v>
      </c>
      <c r="F1129" s="4" t="str">
        <f ca="1">IFERROR(__xludf.DUMMYFUNCTION("LOWER(REGEXREPLACE(B1129&amp;"" ""&amp;C1129,""[^а-яa-z0-9 ]"","" ""))")," теллаж  открытый   теллаж   азмеры 900 340 700 мм")</f>
        <v xml:space="preserve"> теллаж  открытый   теллаж   азмеры 900 340 700 мм</v>
      </c>
      <c r="G1129" s="4" t="str">
        <f ca="1">IFERROR(__xludf.DUMMYFUNCTION("TEXTJOIN(""|"",TRUE,UNIQUE(FILTER(SPLIT(F1129,"" ""),LEN(SPLIT(F1129,"" ""))&gt;2)))"),"теллаж|открытый|теллаж|азмеры|900|340|700")</f>
        <v>теллаж|открытый|теллаж|азмеры|900|340|700</v>
      </c>
      <c r="I1129" s="1"/>
      <c r="J1129" s="1"/>
    </row>
    <row r="1130" spans="1:10" ht="38.25" x14ac:dyDescent="0.2">
      <c r="A1130" s="8" t="s">
        <v>287</v>
      </c>
      <c r="B1130" s="7" t="s">
        <v>286</v>
      </c>
      <c r="C1130" s="7" t="s">
        <v>285</v>
      </c>
      <c r="D1130" s="6">
        <v>483000</v>
      </c>
      <c r="E1130" s="5">
        <v>2</v>
      </c>
      <c r="F1130" s="4" t="str">
        <f ca="1">IFERROR(__xludf.DUMMYFUNCTION("LOWER(REGEXREPLACE(B1130&amp;"" ""&amp;C1130,""[^а-яa-z0-9 ]"","" ""))")," теллаж детский игровой с выкатными ящиками  акрытый стеллаж   сть 4 секции с закрывающимися дверцами и 2 выдвижных ящика   азмер  730х434х1148 мм    х х   ")</f>
        <v xml:space="preserve"> теллаж детский игровой с выкатными ящиками  акрытый стеллаж   сть 4 секции с закрывающимися дверцами и 2 выдвижных ящика   азмер  730х434х1148 мм    х х   </v>
      </c>
      <c r="G1130" s="4" t="str">
        <f ca="1">IFERROR(__xludf.DUMMYFUNCTION("TEXTJOIN(""|"",TRUE,UNIQUE(FILTER(SPLIT(F1130,"" ""),LEN(SPLIT(F1130,"" ""))&gt;2)))"),"теллаж|детский|игровой|выкатными|ящиками|акрытый|стеллаж|сть|секции|закрывающимися|дверцами|выдвижных|ящика|азмер|730х434х1148")</f>
        <v>теллаж|детский|игровой|выкатными|ящиками|акрытый|стеллаж|сть|секции|закрывающимися|дверцами|выдвижных|ящика|азмер|730х434х1148</v>
      </c>
      <c r="I1130" s="1"/>
      <c r="J1130" s="1"/>
    </row>
    <row r="1131" spans="1:10" ht="12.75" x14ac:dyDescent="0.2">
      <c r="A1131" s="8" t="s">
        <v>284</v>
      </c>
      <c r="B1131" s="7" t="s">
        <v>283</v>
      </c>
      <c r="C1131" s="7" t="s">
        <v>282</v>
      </c>
      <c r="D1131" s="6">
        <v>163800</v>
      </c>
      <c r="E1131" s="5">
        <v>1</v>
      </c>
      <c r="F1131" s="4" t="str">
        <f ca="1">IFERROR(__xludf.DUMMYFUNCTION("LOWER(REGEXREPLACE(B1131&amp;"" ""&amp;C1131,""[^а-яa-z0-9 ]"","" ""))")," теллаж для дидактических материалов  азмеры   ирина 1000 мм  глубина 300 мм  высота 1280 мм")</f>
        <v xml:space="preserve"> теллаж для дидактических материалов  азмеры   ирина 1000 мм  глубина 300 мм  высота 1280 мм</v>
      </c>
      <c r="G1131" s="4" t="str">
        <f ca="1">IFERROR(__xludf.DUMMYFUNCTION("TEXTJOIN(""|"",TRUE,UNIQUE(FILTER(SPLIT(F1131,"" ""),LEN(SPLIT(F1131,"" ""))&gt;2)))"),"теллаж|для|дидактических|материалов|азмеры|ирина|1000|глубина|300|высота|1280")</f>
        <v>теллаж|для|дидактических|материалов|азмеры|ирина|1000|глубина|300|высота|1280</v>
      </c>
      <c r="I1131" s="1"/>
      <c r="J1131" s="1"/>
    </row>
    <row r="1132" spans="1:10" ht="25.5" x14ac:dyDescent="0.2">
      <c r="A1132" s="8" t="s">
        <v>281</v>
      </c>
      <c r="B1132" s="7" t="s">
        <v>280</v>
      </c>
      <c r="C1132" s="7" t="s">
        <v>279</v>
      </c>
      <c r="D1132" s="6">
        <v>73500</v>
      </c>
      <c r="E1132" s="5">
        <v>8</v>
      </c>
      <c r="F1132" s="4" t="str">
        <f ca="1">IFERROR(__xludf.DUMMYFUNCTION("LOWER(REGEXREPLACE(B1132&amp;"" ""&amp;C1132,""[^а-яa-z0-9 ]"","" ""))")," теллаж металлический  еталлический стеллаж предназначен для хранения инвентаря и материалов   тличается прочностью  устойчивостью и долговечностью   азмеры 2500х1000х600")</f>
        <v xml:space="preserve"> теллаж металлический  еталлический стеллаж предназначен для хранения инвентаря и материалов   тличается прочностью  устойчивостью и долговечностью   азмеры 2500х1000х600</v>
      </c>
      <c r="G1132" s="4" t="str">
        <f ca="1">IFERROR(__xludf.DUMMYFUNCTION("TEXTJOIN(""|"",TRUE,UNIQUE(FILTER(SPLIT(F1132,"" ""),LEN(SPLIT(F1132,"" ""))&gt;2)))"),"теллаж|металлический|еталлический|стеллаж|предназначен|для|хранения|инвентаря|материалов|тличается|прочностью|устойчивостью|долговечностью|азмеры|2500х1000х600")</f>
        <v>теллаж|металлический|еталлический|стеллаж|предназначен|для|хранения|инвентаря|материалов|тличается|прочностью|устойчивостью|долговечностью|азмеры|2500х1000х600</v>
      </c>
      <c r="I1132" s="1"/>
      <c r="J1132" s="1"/>
    </row>
    <row r="1133" spans="1:10" ht="12.75" x14ac:dyDescent="0.2">
      <c r="A1133" s="8" t="s">
        <v>278</v>
      </c>
      <c r="B1133" s="7" t="s">
        <v>277</v>
      </c>
      <c r="C1133" s="7" t="s">
        <v>276</v>
      </c>
      <c r="D1133" s="6">
        <v>328200</v>
      </c>
      <c r="E1133" s="5">
        <v>1</v>
      </c>
      <c r="F1133" s="4" t="str">
        <f ca="1">IFERROR(__xludf.DUMMYFUNCTION("LOWER(REGEXREPLACE(B1133&amp;"" ""&amp;C1133,""[^а-яa-z0-9 ]"","" ""))")," теллаж ce ir120x40x180  ержавеющая сталь 430    4 сплошными полками   азмеры  1200x400x1800 мм")</f>
        <v xml:space="preserve"> теллаж ce ir120x40x180  ержавеющая сталь 430    4 сплошными полками   азмеры  1200x400x1800 мм</v>
      </c>
      <c r="G1133" s="4" t="str">
        <f ca="1">IFERROR(__xludf.DUMMYFUNCTION("TEXTJOIN(""|"",TRUE,UNIQUE(FILTER(SPLIT(F1133,"" ""),LEN(SPLIT(F1133,"" ""))&gt;2)))"),"теллаж|ir120x40x180|ержавеющая|сталь|430|сплошными|полками|азмеры|1200x400x1800")</f>
        <v>теллаж|ir120x40x180|ержавеющая|сталь|430|сплошными|полками|азмеры|1200x400x1800</v>
      </c>
      <c r="I1133" s="1"/>
      <c r="J1133" s="1"/>
    </row>
    <row r="1134" spans="1:10" ht="12.75" x14ac:dyDescent="0.2">
      <c r="A1134" s="8" t="s">
        <v>275</v>
      </c>
      <c r="B1134" s="7" t="s">
        <v>274</v>
      </c>
      <c r="C1134" s="7" t="s">
        <v>273</v>
      </c>
      <c r="D1134" s="6">
        <v>354000</v>
      </c>
      <c r="E1134" s="5">
        <v>1</v>
      </c>
      <c r="F1134" s="4" t="str">
        <f ca="1">IFERROR(__xludf.DUMMYFUNCTION("LOWER(REGEXREPLACE(B1134&amp;"" ""&amp;C1134,""[^а-яa-z0-9 ]"","" ""))")," теллаж ce ir120x50x180  ержавеющая сталь 430    4 сплошными полками   азмеры  1200x500x1800 мм")</f>
        <v xml:space="preserve"> теллаж ce ir120x50x180  ержавеющая сталь 430    4 сплошными полками   азмеры  1200x500x1800 мм</v>
      </c>
      <c r="G1134" s="4" t="str">
        <f ca="1">IFERROR(__xludf.DUMMYFUNCTION("TEXTJOIN(""|"",TRUE,UNIQUE(FILTER(SPLIT(F1134,"" ""),LEN(SPLIT(F1134,"" ""))&gt;2)))"),"теллаж|ir120x50x180|ержавеющая|сталь|430|сплошными|полками|азмеры|1200x500x1800")</f>
        <v>теллаж|ir120x50x180|ержавеющая|сталь|430|сплошными|полками|азмеры|1200x500x1800</v>
      </c>
      <c r="I1134" s="1"/>
      <c r="J1134" s="1"/>
    </row>
    <row r="1135" spans="1:10" ht="12.75" x14ac:dyDescent="0.2">
      <c r="A1135" s="8" t="s">
        <v>272</v>
      </c>
      <c r="B1135" s="7" t="s">
        <v>271</v>
      </c>
      <c r="C1135" s="7" t="s">
        <v>270</v>
      </c>
      <c r="D1135" s="6">
        <v>344200</v>
      </c>
      <c r="E1135" s="5">
        <v>1</v>
      </c>
      <c r="F1135" s="4" t="str">
        <f ca="1">IFERROR(__xludf.DUMMYFUNCTION("LOWER(REGEXREPLACE(B1135&amp;"" ""&amp;C1135,""[^а-яa-z0-9 ]"","" ""))")," теллаж ce ir130x40x180  ержавеющая сталь 430    4 сплошными полками   азмеры  1300x400x1800 мм")</f>
        <v xml:space="preserve"> теллаж ce ir130x40x180  ержавеющая сталь 430    4 сплошными полками   азмеры  1300x400x1800 мм</v>
      </c>
      <c r="G1135" s="4" t="str">
        <f ca="1">IFERROR(__xludf.DUMMYFUNCTION("TEXTJOIN(""|"",TRUE,UNIQUE(FILTER(SPLIT(F1135,"" ""),LEN(SPLIT(F1135,"" ""))&gt;2)))"),"теллаж|ir130x40x180|ержавеющая|сталь|430|сплошными|полками|азмеры|1300x400x1800")</f>
        <v>теллаж|ir130x40x180|ержавеющая|сталь|430|сплошными|полками|азмеры|1300x400x1800</v>
      </c>
      <c r="I1135" s="1"/>
      <c r="J1135" s="1"/>
    </row>
    <row r="1136" spans="1:10" ht="12.75" x14ac:dyDescent="0.2">
      <c r="A1136" s="8" t="s">
        <v>269</v>
      </c>
      <c r="B1136" s="7" t="s">
        <v>268</v>
      </c>
      <c r="C1136" s="7" t="s">
        <v>267</v>
      </c>
      <c r="D1136" s="6">
        <v>380900</v>
      </c>
      <c r="E1136" s="5">
        <v>11</v>
      </c>
      <c r="F1136" s="4" t="str">
        <f ca="1">IFERROR(__xludf.DUMMYFUNCTION("LOWER(REGEXREPLACE(B1136&amp;"" ""&amp;C1136,""[^а-яa-z0-9 ]"","" ""))")," теллаж ce ir140x50x180  ержавеющая сталь 430    4 сплошными полками   азмеры  1400x500x1800 мм")</f>
        <v xml:space="preserve"> теллаж ce ir140x50x180  ержавеющая сталь 430    4 сплошными полками   азмеры  1400x500x1800 мм</v>
      </c>
      <c r="G1136" s="4" t="str">
        <f ca="1">IFERROR(__xludf.DUMMYFUNCTION("TEXTJOIN(""|"",TRUE,UNIQUE(FILTER(SPLIT(F1136,"" ""),LEN(SPLIT(F1136,"" ""))&gt;2)))"),"теллаж|ir140x50x180|ержавеющая|сталь|430|сплошными|полками|азмеры|1400x500x1800")</f>
        <v>теллаж|ir140x50x180|ержавеющая|сталь|430|сплошными|полками|азмеры|1400x500x1800</v>
      </c>
      <c r="I1136" s="1"/>
      <c r="J1136" s="1"/>
    </row>
    <row r="1137" spans="1:10" ht="12.75" x14ac:dyDescent="0.2">
      <c r="A1137" s="8" t="s">
        <v>266</v>
      </c>
      <c r="B1137" s="7" t="s">
        <v>265</v>
      </c>
      <c r="C1137" s="7" t="s">
        <v>264</v>
      </c>
      <c r="D1137" s="6">
        <v>416400</v>
      </c>
      <c r="E1137" s="5">
        <v>2</v>
      </c>
      <c r="F1137" s="4" t="str">
        <f ca="1">IFERROR(__xludf.DUMMYFUNCTION("LOWER(REGEXREPLACE(B1137&amp;"" ""&amp;C1137,""[^а-яa-z0-9 ]"","" ""))")," теллаж ce ir170x50x180  ержавеющая сталь 430    4 сплошными полками   азмеры  1700x500x1800 мм")</f>
        <v xml:space="preserve"> теллаж ce ir170x50x180  ержавеющая сталь 430    4 сплошными полками   азмеры  1700x500x1800 мм</v>
      </c>
      <c r="G1137" s="4" t="str">
        <f ca="1">IFERROR(__xludf.DUMMYFUNCTION("TEXTJOIN(""|"",TRUE,UNIQUE(FILTER(SPLIT(F1137,"" ""),LEN(SPLIT(F1137,"" ""))&gt;2)))"),"теллаж|ir170x50x180|ержавеющая|сталь|430|сплошными|полками|азмеры|1700x500x1800")</f>
        <v>теллаж|ir170x50x180|ержавеющая|сталь|430|сплошными|полками|азмеры|1700x500x1800</v>
      </c>
      <c r="I1137" s="1"/>
      <c r="J1137" s="1"/>
    </row>
    <row r="1138" spans="1:10" ht="12.75" x14ac:dyDescent="0.2">
      <c r="A1138" s="8" t="s">
        <v>263</v>
      </c>
      <c r="B1138" s="7" t="s">
        <v>262</v>
      </c>
      <c r="C1138" s="7" t="s">
        <v>261</v>
      </c>
      <c r="D1138" s="6">
        <v>428700</v>
      </c>
      <c r="E1138" s="5">
        <v>4</v>
      </c>
      <c r="F1138" s="4" t="str">
        <f ca="1">IFERROR(__xludf.DUMMYFUNCTION("LOWER(REGEXREPLACE(B1138&amp;"" ""&amp;C1138,""[^а-яa-z0-9 ]"","" ""))")," теллаж ce ir180x50x180  ержавеющая сталь 430    4 сплошными полками   азмеры  1800x500x1800 мм")</f>
        <v xml:space="preserve"> теллаж ce ir180x50x180  ержавеющая сталь 430    4 сплошными полками   азмеры  1800x500x1800 мм</v>
      </c>
      <c r="G1138" s="4" t="str">
        <f ca="1">IFERROR(__xludf.DUMMYFUNCTION("TEXTJOIN(""|"",TRUE,UNIQUE(FILTER(SPLIT(F1138,"" ""),LEN(SPLIT(F1138,"" ""))&gt;2)))"),"теллаж|ir180x50x180|ержавеющая|сталь|430|сплошными|полками|азмеры|1800x500x1800")</f>
        <v>теллаж|ir180x50x180|ержавеющая|сталь|430|сплошными|полками|азмеры|1800x500x1800</v>
      </c>
      <c r="I1138" s="1"/>
      <c r="J1138" s="1"/>
    </row>
    <row r="1139" spans="1:10" ht="25.5" x14ac:dyDescent="0.2">
      <c r="A1139" s="8" t="s">
        <v>260</v>
      </c>
      <c r="B1139" s="7" t="s">
        <v>259</v>
      </c>
      <c r="C1139" s="7" t="s">
        <v>258</v>
      </c>
      <c r="D1139" s="6">
        <v>115500</v>
      </c>
      <c r="E1139" s="5">
        <v>5</v>
      </c>
      <c r="F1139" s="4" t="str">
        <f ca="1">IFERROR(__xludf.DUMMYFUNCTION("LOWER(REGEXREPLACE(B1139&amp;"" ""&amp;C1139,""[^а-яa-z0-9 ]"","" ""))")," теллаж полка   лка   теллаж в декоративной форме  лки предназначен для хранения книг  игрушек и наглядных материалов   зготовлен из       крепится с помощью подвесной конструкции   азмеры 1350х116х950")</f>
        <v xml:space="preserve"> теллаж полка   лка   теллаж в декоративной форме  лки предназначен для хранения книг  игрушек и наглядных материалов   зготовлен из       крепится с помощью подвесной конструкции   азмеры 1350х116х950</v>
      </c>
      <c r="G1139" s="4" t="str">
        <f ca="1">IFERROR(__xludf.DUMMYFUNCTION("TEXTJOIN(""|"",TRUE,UNIQUE(FILTER(SPLIT(F1139,"" ""),LEN(SPLIT(F1139,"" ""))&gt;2)))"),"теллаж|полка|лка|теллаж|декоративной|форме|лки|предназначен|для|хранения|книг|игрушек|наглядных|материалов|зготовлен|крепится|помощью|подвесной|конструкции|азмеры|1350х116х950")</f>
        <v>теллаж|полка|лка|теллаж|декоративной|форме|лки|предназначен|для|хранения|книг|игрушек|наглядных|материалов|зготовлен|крепится|помощью|подвесной|конструкции|азмеры|1350х116х950</v>
      </c>
      <c r="I1139" s="1"/>
      <c r="J1139" s="1"/>
    </row>
    <row r="1140" spans="1:10" ht="25.5" x14ac:dyDescent="0.2">
      <c r="A1140" s="8" t="s">
        <v>257</v>
      </c>
      <c r="B1140" s="7" t="s">
        <v>256</v>
      </c>
      <c r="C1140" s="7" t="s">
        <v>255</v>
      </c>
      <c r="D1140" s="6">
        <v>21000</v>
      </c>
      <c r="E1140" s="5">
        <v>1</v>
      </c>
      <c r="F1140" s="4" t="str">
        <f ca="1">IFERROR(__xludf.DUMMYFUNCTION("LOWER(REGEXREPLACE(B1140&amp;"" ""&amp;C1140,""[^а-яa-z0-9 ]"","" ""))")," тенд для поделок  тенд предназначен для демонстрации детских поделок и творческих работ   азмер 1550 740 мм  используется в групповых помещениях и коридорах     ")</f>
        <v xml:space="preserve"> тенд для поделок  тенд предназначен для демонстрации детских поделок и творческих работ   азмер 1550 740 мм  используется в групповых помещениях и коридорах     </v>
      </c>
      <c r="G1140" s="4" t="str">
        <f ca="1">IFERROR(__xludf.DUMMYFUNCTION("TEXTJOIN(""|"",TRUE,UNIQUE(FILTER(SPLIT(F1140,"" ""),LEN(SPLIT(F1140,"" ""))&gt;2)))"),"тенд|для|поделок|тенд|предназначен|для|демонстрации|детских|поделок|творческих|работ|азмер|1550|740|используется|групповых|помещениях|коридорах")</f>
        <v>тенд|для|поделок|тенд|предназначен|для|демонстрации|детских|поделок|творческих|работ|азмер|1550|740|используется|групповых|помещениях|коридорах</v>
      </c>
      <c r="I1140" s="1"/>
      <c r="J1140" s="1"/>
    </row>
    <row r="1141" spans="1:10" ht="25.5" x14ac:dyDescent="0.2">
      <c r="A1141" s="8" t="s">
        <v>254</v>
      </c>
      <c r="B1141" s="7" t="s">
        <v>253</v>
      </c>
      <c r="C1141" s="7" t="s">
        <v>252</v>
      </c>
      <c r="D1141" s="6">
        <v>49100</v>
      </c>
      <c r="E1141" s="5">
        <v>10</v>
      </c>
      <c r="F1141" s="4" t="str">
        <f ca="1">IFERROR(__xludf.DUMMYFUNCTION("LOWER(REGEXREPLACE(B1141&amp;"" ""&amp;C1141,""[^а-яa-z0-9 ]"","" ""))")," тойка для цветов  одставка для размещения комнатных растений   редназначена для организации зел ных зон в помещении  устойчивая и безопасная в использовании ")</f>
        <v xml:space="preserve"> тойка для цветов  одставка для размещения комнатных растений   редназначена для организации зел ных зон в помещении  устойчивая и безопасная в использовании </v>
      </c>
      <c r="G1141" s="4" t="str">
        <f ca="1">IFERROR(__xludf.DUMMYFUNCTION("TEXTJOIN(""|"",TRUE,UNIQUE(FILTER(SPLIT(F1141,"" ""),LEN(SPLIT(F1141,"" ""))&gt;2)))"),"тойка|для|цветов|одставка|для|размещения|комнатных|растений|редназначена|для|организации|зел|ных|зон|помещении|устойчивая|безопасная|использовании")</f>
        <v>тойка|для|цветов|одставка|для|размещения|комнатных|растений|редназначена|для|организации|зел|ных|зон|помещении|устойчивая|безопасная|использовании</v>
      </c>
      <c r="I1141" s="1"/>
      <c r="J1141" s="1"/>
    </row>
    <row r="1142" spans="1:10" ht="38.25" x14ac:dyDescent="0.2">
      <c r="A1142" s="8" t="s">
        <v>251</v>
      </c>
      <c r="B1142" s="7" t="s">
        <v>250</v>
      </c>
      <c r="C1142" s="7" t="s">
        <v>249</v>
      </c>
      <c r="D1142" s="6">
        <v>283500</v>
      </c>
      <c r="E1142" s="5">
        <v>3</v>
      </c>
      <c r="F1142" s="4" t="str">
        <f ca="1">IFERROR(__xludf.DUMMYFUNCTION("LOWER(REGEXREPLACE(B1142&amp;"" ""&amp;C1142,""[^а-яa-z0-9 ]"","" ""))")," тол  ростой стол без полок  предназначен для раскладывания и размещения предметов  материалов и принадлежностей в образовательной среде  1200x750x750   х х   ")</f>
        <v xml:space="preserve"> тол  ростой стол без полок  предназначен для раскладывания и размещения предметов  материалов и принадлежностей в образовательной среде  1200x750x750   х х   </v>
      </c>
      <c r="G1142" s="4" t="str">
        <f ca="1">IFERROR(__xludf.DUMMYFUNCTION("TEXTJOIN(""|"",TRUE,UNIQUE(FILTER(SPLIT(F1142,"" ""),LEN(SPLIT(F1142,"" ""))&gt;2)))"),"тол|ростой|стол|без|полок|предназначен|для|раскладывания|размещения|предметов|материалов|принадлежностей|образовательной|среде|1200x750x750")</f>
        <v>тол|ростой|стол|без|полок|предназначен|для|раскладывания|размещения|предметов|материалов|принадлежностей|образовательной|среде|1200x750x750</v>
      </c>
      <c r="I1142" s="1"/>
      <c r="J1142" s="1"/>
    </row>
    <row r="1143" spans="1:10" ht="12.75" x14ac:dyDescent="0.2">
      <c r="A1143" s="8" t="s">
        <v>248</v>
      </c>
      <c r="B1143" s="7" t="s">
        <v>247</v>
      </c>
      <c r="C1143" s="7" t="s">
        <v>246</v>
      </c>
      <c r="D1143" s="6">
        <v>262100</v>
      </c>
      <c r="E1143" s="5">
        <v>2</v>
      </c>
      <c r="F1143" s="4" t="str">
        <f ca="1">IFERROR(__xludf.DUMMYFUNCTION("LOWER(REGEXREPLACE(B1143&amp;"" ""&amp;C1143,""[^а-яa-z0-9 ]"","" ""))")," тол 1 полка ce tc1100x70  ержавеющая сталь 430    одной полкой и  бортиком   араметры  1000x700x850 мм")</f>
        <v xml:space="preserve"> тол 1 полка ce tc1100x70  ержавеющая сталь 430    одной полкой и  бортиком   араметры  1000x700x850 мм</v>
      </c>
      <c r="G1143" s="4" t="str">
        <f ca="1">IFERROR(__xludf.DUMMYFUNCTION("TEXTJOIN(""|"",TRUE,UNIQUE(FILTER(SPLIT(F1143,"" ""),LEN(SPLIT(F1143,"" ""))&gt;2)))"),"тол|полка|tc1100x70|ержавеющая|сталь|430|одной|полкой|бортиком|араметры|1000x700x850")</f>
        <v>тол|полка|tc1100x70|ержавеющая|сталь|430|одной|полкой|бортиком|араметры|1000x700x850</v>
      </c>
      <c r="I1143" s="1"/>
      <c r="J1143" s="1"/>
    </row>
    <row r="1144" spans="1:10" ht="12.75" x14ac:dyDescent="0.2">
      <c r="A1144" s="8" t="s">
        <v>245</v>
      </c>
      <c r="B1144" s="7" t="s">
        <v>244</v>
      </c>
      <c r="C1144" s="7" t="s">
        <v>243</v>
      </c>
      <c r="D1144" s="6">
        <v>269400</v>
      </c>
      <c r="E1144" s="5">
        <v>1</v>
      </c>
      <c r="F1144" s="4" t="str">
        <f ca="1">IFERROR(__xludf.DUMMYFUNCTION("LOWER(REGEXREPLACE(B1144&amp;"" ""&amp;C1144,""[^а-яa-z0-9 ]"","" ""))")," тол 1 полка ce tc1110x70  ержавеющая сталь 430    одной полкой и бортиком   араметры  1100x700x850 мм")</f>
        <v xml:space="preserve"> тол 1 полка ce tc1110x70  ержавеющая сталь 430    одной полкой и бортиком   араметры  1100x700x850 мм</v>
      </c>
      <c r="G1144" s="4" t="str">
        <f ca="1">IFERROR(__xludf.DUMMYFUNCTION("TEXTJOIN(""|"",TRUE,UNIQUE(FILTER(SPLIT(F1144,"" ""),LEN(SPLIT(F1144,"" ""))&gt;2)))"),"тол|полка|tc1110x70|ержавеющая|сталь|430|одной|полкой|бортиком|араметры|1100x700x850")</f>
        <v>тол|полка|tc1110x70|ержавеющая|сталь|430|одной|полкой|бортиком|араметры|1100x700x850</v>
      </c>
      <c r="I1144" s="1"/>
      <c r="J1144" s="1"/>
    </row>
    <row r="1145" spans="1:10" ht="38.25" x14ac:dyDescent="0.2">
      <c r="A1145" s="8" t="s">
        <v>242</v>
      </c>
      <c r="B1145" s="7" t="s">
        <v>241</v>
      </c>
      <c r="C1145" s="7" t="s">
        <v>240</v>
      </c>
      <c r="D1145" s="6">
        <v>378000</v>
      </c>
      <c r="E1145" s="5">
        <v>1</v>
      </c>
      <c r="F1145" s="4" t="str">
        <f ca="1">IFERROR(__xludf.DUMMYFUNCTION("LOWER(REGEXREPLACE(B1145&amp;"" ""&amp;C1145,""[^а-яa-z0-9 ]"","" ""))")," иван прямой нераскладной  рямой диван используется для сидения и кратковременного отдыха   онструкция нераскладная  с обивкой из экокожи или винилискожи   ысота изделия составляет не менее 50 см  глубина   около 40 см   одходит для размещения в помещения"&amp;"х ")</f>
        <v xml:space="preserve"> иван прямой нераскладной  рямой диван используется для сидения и кратковременного отдыха   онструкция нераскладная  с обивкой из экокожи или винилискожи   ысота изделия составляет не менее 50 см  глубина   около 40 см   одходит для размещения в помещениях </v>
      </c>
      <c r="G1145" s="4" t="str">
        <f ca="1">IFERROR(__xludf.DUMMYFUNCTION("TEXTJOIN(""|"",TRUE,UNIQUE(FILTER(SPLIT(F1145,"" ""),LEN(SPLIT(F1145,"" ""))&gt;2)))"),"иван|прямой|нераскладной|рямой|диван|используется|для|сидения|кратковременного|отдыха|онструкция|нераскладная|обивкой|экокожи|или|винилискожи|ысота|изделия|составляет|менее|глубина|около|одходит|для|размещения|помещениях")</f>
        <v>иван|прямой|нераскладной|рямой|диван|используется|для|сидения|кратковременного|отдыха|онструкция|нераскладная|обивкой|экокожи|или|винилискожи|ысота|изделия|составляет|менее|глубина|около|одходит|для|размещения|помещениях</v>
      </c>
      <c r="I1145" s="1"/>
      <c r="J1145" s="1"/>
    </row>
    <row r="1146" spans="1:10" ht="12.75" x14ac:dyDescent="0.2">
      <c r="A1146" s="8" t="s">
        <v>239</v>
      </c>
      <c r="B1146" s="7" t="s">
        <v>238</v>
      </c>
      <c r="C1146" s="7" t="s">
        <v>237</v>
      </c>
      <c r="D1146" s="6">
        <v>276800</v>
      </c>
      <c r="E1146" s="5">
        <v>1</v>
      </c>
      <c r="F1146" s="4" t="str">
        <f ca="1">IFERROR(__xludf.DUMMYFUNCTION("LOWER(REGEXREPLACE(B1146&amp;"" ""&amp;C1146,""[^а-яa-z0-9 ]"","" ""))")," тол 1 полка ce tc1120x70  ержавеющая сталь      430    одной полкой и бортиком   араметры  1200x700x850 мм")</f>
        <v xml:space="preserve"> тол 1 полка ce tc1120x70  ержавеющая сталь      430    одной полкой и бортиком   араметры  1200x700x850 мм</v>
      </c>
      <c r="G1146" s="4" t="str">
        <f ca="1">IFERROR(__xludf.DUMMYFUNCTION("TEXTJOIN(""|"",TRUE,UNIQUE(FILTER(SPLIT(F1146,"" ""),LEN(SPLIT(F1146,"" ""))&gt;2)))"),"тол|полка|tc1120x70|ержавеющая|сталь|430|одной|полкой|бортиком|араметры|1200x700x850")</f>
        <v>тол|полка|tc1120x70|ержавеющая|сталь|430|одной|полкой|бортиком|араметры|1200x700x850</v>
      </c>
      <c r="I1146" s="1"/>
      <c r="J1146" s="1"/>
    </row>
    <row r="1147" spans="1:10" ht="12.75" x14ac:dyDescent="0.2">
      <c r="A1147" s="8" t="s">
        <v>236</v>
      </c>
      <c r="B1147" s="7" t="s">
        <v>235</v>
      </c>
      <c r="C1147" s="7" t="s">
        <v>234</v>
      </c>
      <c r="D1147" s="6">
        <v>289000</v>
      </c>
      <c r="E1147" s="5">
        <v>1</v>
      </c>
      <c r="F1147" s="4" t="str">
        <f ca="1">IFERROR(__xludf.DUMMYFUNCTION("LOWER(REGEXREPLACE(B1147&amp;"" ""&amp;C1147,""[^а-яa-z0-9 ]"","" ""))")," тол 1 полка ce tc1130x70  ержавеющая сталь 430    одной полкой и бортиком   араметры  1300x700x850 мм")</f>
        <v xml:space="preserve"> тол 1 полка ce tc1130x70  ержавеющая сталь 430    одной полкой и бортиком   араметры  1300x700x850 мм</v>
      </c>
      <c r="G1147" s="4" t="str">
        <f ca="1">IFERROR(__xludf.DUMMYFUNCTION("TEXTJOIN(""|"",TRUE,UNIQUE(FILTER(SPLIT(F1147,"" ""),LEN(SPLIT(F1147,"" ""))&gt;2)))"),"тол|полка|tc1130x70|ержавеющая|сталь|430|одной|полкой|бортиком|араметры|1300x700x850")</f>
        <v>тол|полка|tc1130x70|ержавеющая|сталь|430|одной|полкой|бортиком|араметры|1300x700x850</v>
      </c>
      <c r="I1147" s="1"/>
      <c r="J1147" s="1"/>
    </row>
    <row r="1148" spans="1:10" ht="12.75" x14ac:dyDescent="0.2">
      <c r="A1148" s="8" t="s">
        <v>233</v>
      </c>
      <c r="B1148" s="7" t="s">
        <v>232</v>
      </c>
      <c r="C1148" s="7" t="s">
        <v>231</v>
      </c>
      <c r="D1148" s="6">
        <v>297600</v>
      </c>
      <c r="E1148" s="5">
        <v>1</v>
      </c>
      <c r="F1148" s="4" t="str">
        <f ca="1">IFERROR(__xludf.DUMMYFUNCTION("LOWER(REGEXREPLACE(B1148&amp;"" ""&amp;C1148,""[^а-яa-z0-9 ]"","" ""))")," тол 1 полка ce tc1140x70  ержавеющая сталь      430    одной полкой и бортиком   араметры  1400x700x850 мм")</f>
        <v xml:space="preserve"> тол 1 полка ce tc1140x70  ержавеющая сталь      430    одной полкой и бортиком   араметры  1400x700x850 мм</v>
      </c>
      <c r="G1148" s="4" t="str">
        <f ca="1">IFERROR(__xludf.DUMMYFUNCTION("TEXTJOIN(""|"",TRUE,UNIQUE(FILTER(SPLIT(F1148,"" ""),LEN(SPLIT(F1148,"" ""))&gt;2)))"),"тол|полка|tc1140x70|ержавеющая|сталь|430|одной|полкой|бортиком|араметры|1400x700x850")</f>
        <v>тол|полка|tc1140x70|ержавеющая|сталь|430|одной|полкой|бортиком|араметры|1400x700x850</v>
      </c>
      <c r="I1148" s="1"/>
      <c r="J1148" s="1"/>
    </row>
    <row r="1149" spans="1:10" ht="12.75" x14ac:dyDescent="0.2">
      <c r="A1149" s="8" t="s">
        <v>230</v>
      </c>
      <c r="B1149" s="7" t="s">
        <v>229</v>
      </c>
      <c r="C1149" s="7" t="s">
        <v>228</v>
      </c>
      <c r="D1149" s="6">
        <v>307400</v>
      </c>
      <c r="E1149" s="5">
        <v>1</v>
      </c>
      <c r="F1149" s="4" t="str">
        <f ca="1">IFERROR(__xludf.DUMMYFUNCTION("LOWER(REGEXREPLACE(B1149&amp;"" ""&amp;C1149,""[^а-яa-z0-9 ]"","" ""))")," тол 1 полка ce tc1150x70  ержавеющая сталь      430    одной полкой и бортиком   араметры  1500x700x850 мм")</f>
        <v xml:space="preserve"> тол 1 полка ce tc1150x70  ержавеющая сталь      430    одной полкой и бортиком   араметры  1500x700x850 мм</v>
      </c>
      <c r="G1149" s="4" t="str">
        <f ca="1">IFERROR(__xludf.DUMMYFUNCTION("TEXTJOIN(""|"",TRUE,UNIQUE(FILTER(SPLIT(F1149,"" ""),LEN(SPLIT(F1149,"" ""))&gt;2)))"),"тол|полка|tc1150x70|ержавеющая|сталь|430|одной|полкой|бортиком|араметры|1500x700x850")</f>
        <v>тол|полка|tc1150x70|ержавеющая|сталь|430|одной|полкой|бортиком|араметры|1500x700x850</v>
      </c>
      <c r="I1149" s="1"/>
      <c r="J1149" s="1"/>
    </row>
    <row r="1150" spans="1:10" ht="12.75" x14ac:dyDescent="0.2">
      <c r="A1150" s="8" t="s">
        <v>227</v>
      </c>
      <c r="B1150" s="7" t="s">
        <v>226</v>
      </c>
      <c r="C1150" s="7" t="s">
        <v>225</v>
      </c>
      <c r="D1150" s="6">
        <v>338000</v>
      </c>
      <c r="E1150" s="5">
        <v>1</v>
      </c>
      <c r="F1150" s="4" t="str">
        <f ca="1">IFERROR(__xludf.DUMMYFUNCTION("LOWER(REGEXREPLACE(B1150&amp;"" ""&amp;C1150,""[^а-яa-z0-9 ]"","" ""))")," тол 1 полка ce tc1180x70  ержавеющая сталь      430    одной полкой и бортиком   араметры  1800x700x850 мм")</f>
        <v xml:space="preserve"> тол 1 полка ce tc1180x70  ержавеющая сталь      430    одной полкой и бортиком   араметры  1800x700x850 мм</v>
      </c>
      <c r="G1150" s="4" t="str">
        <f ca="1">IFERROR(__xludf.DUMMYFUNCTION("TEXTJOIN(""|"",TRUE,UNIQUE(FILTER(SPLIT(F1150,"" ""),LEN(SPLIT(F1150,"" ""))&gt;2)))"),"тол|полка|tc1180x70|ержавеющая|сталь|430|одной|полкой|бортиком|араметры|1800x700x850")</f>
        <v>тол|полка|tc1180x70|ержавеющая|сталь|430|одной|полкой|бортиком|араметры|1800x700x850</v>
      </c>
      <c r="I1150" s="1"/>
      <c r="J1150" s="1"/>
    </row>
    <row r="1151" spans="1:10" ht="12.75" x14ac:dyDescent="0.2">
      <c r="A1151" s="8" t="s">
        <v>224</v>
      </c>
      <c r="B1151" s="7" t="s">
        <v>223</v>
      </c>
      <c r="C1151" s="7" t="s">
        <v>222</v>
      </c>
      <c r="D1151" s="6">
        <v>641800</v>
      </c>
      <c r="E1151" s="5">
        <v>1</v>
      </c>
      <c r="F1151" s="4" t="str">
        <f ca="1">IFERROR(__xludf.DUMMYFUNCTION("LOWER(REGEXREPLACE(B1151&amp;"" ""&amp;C1151,""[^а-яa-z0-9 ]"","" ""))")," тол верх пэ ce tcp180x70  ержавеющая сталь 430   олщина полиэтилена  4 см   ез полки  с бортиком   араметры  1800x700x850 мм")</f>
        <v xml:space="preserve"> тол верх пэ ce tcp180x70  ержавеющая сталь 430   олщина полиэтилена  4 см   ез полки  с бортиком   араметры  1800x700x850 мм</v>
      </c>
      <c r="G1151" s="4" t="str">
        <f ca="1">IFERROR(__xludf.DUMMYFUNCTION("TEXTJOIN(""|"",TRUE,UNIQUE(FILTER(SPLIT(F1151,"" ""),LEN(SPLIT(F1151,"" ""))&gt;2)))"),"тол|верх|tcp180x70|ержавеющая|сталь|430|олщина|полиэтилена|полки|бортиком|араметры|1800x700x850")</f>
        <v>тол|верх|tcp180x70|ержавеющая|сталь|430|олщина|полиэтилена|полки|бортиком|араметры|1800x700x850</v>
      </c>
      <c r="I1151" s="1"/>
      <c r="J1151" s="1"/>
    </row>
    <row r="1152" spans="1:10" ht="38.25" x14ac:dyDescent="0.2">
      <c r="A1152" s="8" t="s">
        <v>221</v>
      </c>
      <c r="B1152" s="7" t="s">
        <v>220</v>
      </c>
      <c r="C1152" s="7" t="s">
        <v>219</v>
      </c>
      <c r="D1152" s="6">
        <v>31500</v>
      </c>
      <c r="E1152" s="5">
        <v>13</v>
      </c>
      <c r="F1152" s="4" t="str">
        <f ca="1">IFERROR(__xludf.DUMMYFUNCTION("LOWER(REGEXREPLACE(B1152&amp;"" ""&amp;C1152,""[^а-яa-z0-9 ]"","" ""))")," тол детский  етский стол предназначен для занятий  игр и при ма пищи в группах дошкольного учреждения   онструкция устойчивая  с закругл нными углами  размеры и высота соответствуют ростовой группе детей   атериал        или массив дерева  поверхность ле"&amp;"гко очищается ")</f>
        <v xml:space="preserve"> тол детский  етский стол предназначен для занятий  игр и при ма пищи в группах дошкольного учреждения   онструкция устойчивая  с закругл нными углами  размеры и высота соответствуют ростовой группе детей   атериал        или массив дерева  поверхность легко очищается </v>
      </c>
      <c r="G1152" s="4" t="str">
        <f ca="1">IFERROR(__xludf.DUMMYFUNCTION("TEXTJOIN(""|"",TRUE,UNIQUE(FILTER(SPLIT(F1152,"" ""),LEN(SPLIT(F1152,"" ""))&gt;2)))"),"тол|детский|етский|стол|предназначен|для|занятий|игр|при|пищи|группах|дошкольного|учреждения|онструкция|устойчивая|закругл|нными|углами|размеры|высота|соответствуют|ростовой|группе|детей|атериал|или|массив|дерева|поверхность|легко|очищается")</f>
        <v>тол|детский|етский|стол|предназначен|для|занятий|игр|при|пищи|группах|дошкольного|учреждения|онструкция|устойчивая|закругл|нными|углами|размеры|высота|соответствуют|ростовой|группе|детей|атериал|или|массив|дерева|поверхность|легко|очищается</v>
      </c>
      <c r="I1152" s="1"/>
      <c r="J1152" s="1"/>
    </row>
    <row r="1153" spans="1:10" ht="12.75" x14ac:dyDescent="0.2">
      <c r="A1153" s="8" t="s">
        <v>218</v>
      </c>
      <c r="B1153" s="7" t="s">
        <v>217</v>
      </c>
      <c r="C1153" s="7" t="s">
        <v>216</v>
      </c>
      <c r="D1153" s="6">
        <v>303700</v>
      </c>
      <c r="E1153" s="5">
        <v>1</v>
      </c>
      <c r="F1153" s="4" t="str">
        <f ca="1">IFERROR(__xludf.DUMMYFUNCTION("LOWER(REGEXREPLACE(B1153&amp;"" ""&amp;C1153,""[^а-яa-z0-9 ]"","" ""))")," тол для грязной посуды ce tbs100x75  ержавеющая сталь      430    воронкой для отходов  без полки   араметры  1000x700x850 мм")</f>
        <v xml:space="preserve"> тол для грязной посуды ce tbs100x75  ержавеющая сталь      430    воронкой для отходов  без полки   араметры  1000x700x850 мм</v>
      </c>
      <c r="G1153" s="4" t="str">
        <f ca="1">IFERROR(__xludf.DUMMYFUNCTION("TEXTJOIN(""|"",TRUE,UNIQUE(FILTER(SPLIT(F1153,"" ""),LEN(SPLIT(F1153,"" ""))&gt;2)))"),"тол|для|грязной|посуды|tbs100x75|ержавеющая|сталь|430|воронкой|для|отходов|без|полки|араметры|1000x700x850")</f>
        <v>тол|для|грязной|посуды|tbs100x75|ержавеющая|сталь|430|воронкой|для|отходов|без|полки|араметры|1000x700x850</v>
      </c>
      <c r="I1153" s="1"/>
      <c r="J1153" s="1"/>
    </row>
    <row r="1154" spans="1:10" ht="25.5" x14ac:dyDescent="0.2">
      <c r="A1154" s="8" t="s">
        <v>215</v>
      </c>
      <c r="B1154" s="7" t="s">
        <v>214</v>
      </c>
      <c r="C1154" s="7" t="s">
        <v>213</v>
      </c>
      <c r="D1154" s="6">
        <v>283500</v>
      </c>
      <c r="E1154" s="5">
        <v>10</v>
      </c>
      <c r="F1154" s="4" t="str">
        <f ca="1">IFERROR(__xludf.DUMMYFUNCTION("LOWER(REGEXREPLACE(B1154&amp;"" ""&amp;C1154,""[^а-яa-z0-9 ]"","" ""))")," тол для кабинета  азмеры  1500 600 750 мм  умба предназначена для хранения бумаги  документации и методических материалов   снащена выдвижными ящиками")</f>
        <v xml:space="preserve"> тол для кабинета  азмеры  1500 600 750 мм  умба предназначена для хранения бумаги  документации и методических материалов   снащена выдвижными ящиками</v>
      </c>
      <c r="G1154" s="4" t="str">
        <f ca="1">IFERROR(__xludf.DUMMYFUNCTION("TEXTJOIN(""|"",TRUE,UNIQUE(FILTER(SPLIT(F1154,"" ""),LEN(SPLIT(F1154,"" ""))&gt;2)))"),"тол|для|кабинета|азмеры|1500|600|750|умба|предназначена|для|хранения|бумаги|документации|методических|материалов|снащена|выдвижными|ящиками")</f>
        <v>тол|для|кабинета|азмеры|1500|600|750|умба|предназначена|для|хранения|бумаги|документации|методических|материалов|снащена|выдвижными|ящиками</v>
      </c>
      <c r="I1154" s="1"/>
      <c r="J1154" s="1"/>
    </row>
    <row r="1155" spans="1:10" ht="38.25" x14ac:dyDescent="0.2">
      <c r="A1155" s="8" t="s">
        <v>212</v>
      </c>
      <c r="B1155" s="7" t="s">
        <v>211</v>
      </c>
      <c r="C1155" s="7" t="s">
        <v>210</v>
      </c>
      <c r="D1155" s="6">
        <v>586700</v>
      </c>
      <c r="E1155" s="5">
        <v>1</v>
      </c>
      <c r="F1155" s="4" t="str">
        <f ca="1">IFERROR(__xludf.DUMMYFUNCTION("LOWER(REGEXREPLACE(B1155&amp;"" ""&amp;C1155,""[^а-яa-z0-9 ]"","" ""))")," тол для мытья овощей с отверстием для отходов ce tys120x80sd  ержавеющая сталь  с полкой  с бортами с трех сторон  полностью сварной  профильная труба ножек   40х40 мм  столешница усилена ребром жесткости из нержавеющей стали  толщина стали   1 мм  с отс"&amp;"ерстием для отходов  габариты  1200х80х850 мм")</f>
        <v xml:space="preserve"> тол для мытья овощей с отверстием для отходов ce tys120x80sd  ержавеющая сталь  с полкой  с бортами с трех сторон  полностью сварной  профильная труба ножек   40х40 мм  столешница усилена ребром жесткости из нержавеющей стали  толщина стали   1 мм  с отсерстием для отходов  габариты  1200х80х850 мм</v>
      </c>
      <c r="G1155" s="4" t="str">
        <f ca="1">IFERROR(__xludf.DUMMYFUNCTION("TEXTJOIN(""|"",TRUE,UNIQUE(FILTER(SPLIT(F1155,"" ""),LEN(SPLIT(F1155,"" ""))&gt;2)))"),"тол|для|мытья|овощей|отверстием|для|отходов|tys120x80sd|ержавеющая|сталь|полкой|бортами|трех|сторон|полностью|сварной|профильная|труба|ножек|40х40|столешница|усилена|ребром|жесткости|нержавеющей|стали|толщина|стали|отсерстием|для|отходов|габариты|1200х80х"&amp;"850")</f>
        <v>тол|для|мытья|овощей|отверстием|для|отходов|tys120x80sd|ержавеющая|сталь|полкой|бортами|трех|сторон|полностью|сварной|профильная|труба|ножек|40х40|столешница|усилена|ребром|жесткости|нержавеющей|стали|толщина|стали|отсерстием|для|отходов|габариты|1200х80х850</v>
      </c>
      <c r="I1155" s="1"/>
      <c r="J1155" s="1"/>
    </row>
    <row r="1156" spans="1:10" ht="38.25" x14ac:dyDescent="0.2">
      <c r="A1156" s="8" t="s">
        <v>209</v>
      </c>
      <c r="B1156" s="7" t="s">
        <v>208</v>
      </c>
      <c r="C1156" s="7" t="s">
        <v>207</v>
      </c>
      <c r="D1156" s="6">
        <v>105000</v>
      </c>
      <c r="E1156" s="5">
        <v>1</v>
      </c>
      <c r="F1156" s="4" t="str">
        <f ca="1">IFERROR(__xludf.DUMMYFUNCTION("LOWER(REGEXREPLACE(B1156&amp;"" ""&amp;C1156,""[^а-яa-z0-9 ]"","" ""))")," еркало акриловое настенное  криловое зеркало используется для безопасного визуального отражения в помещениях   атериал отличается малым весом и устойчивостью к повреждениям   редназначено для размещения в про мах и между оконными зонами ")</f>
        <v xml:space="preserve"> еркало акриловое настенное  криловое зеркало используется для безопасного визуального отражения в помещениях   атериал отличается малым весом и устойчивостью к повреждениям   редназначено для размещения в про мах и между оконными зонами </v>
      </c>
      <c r="G1156" s="4" t="str">
        <f ca="1">IFERROR(__xludf.DUMMYFUNCTION("TEXTJOIN(""|"",TRUE,UNIQUE(FILTER(SPLIT(F1156,"" ""),LEN(SPLIT(F1156,"" ""))&gt;2)))"),"еркало|акриловое|настенное|криловое|зеркало|используется|для|безопасного|визуального|отражения|помещениях|атериал|отличается|малым|весом|устойчивостью|повреждениям|редназначено|для|размещения|про|мах|между|оконными|зонами")</f>
        <v>еркало|акриловое|настенное|криловое|зеркало|используется|для|безопасного|визуального|отражения|помещениях|атериал|отличается|малым|весом|устойчивостью|повреждениям|редназначено|для|размещения|про|мах|между|оконными|зонами</v>
      </c>
      <c r="I1156" s="1"/>
      <c r="J1156" s="1"/>
    </row>
    <row r="1157" spans="1:10" ht="38.25" x14ac:dyDescent="0.2">
      <c r="A1157" s="8" t="s">
        <v>206</v>
      </c>
      <c r="B1157" s="7" t="s">
        <v>205</v>
      </c>
      <c r="C1157" s="7" t="s">
        <v>204</v>
      </c>
      <c r="D1157" s="6">
        <v>434800</v>
      </c>
      <c r="E1157" s="5">
        <v>2</v>
      </c>
      <c r="F1157" s="4" t="str">
        <f ca="1">IFERROR(__xludf.DUMMYFUNCTION("LOWER(REGEXREPLACE(B1157&amp;"" ""&amp;C1157,""[^а-яa-z0-9 ]"","" ""))")," тол для мытья овощей ce tsy120x70  ержавеющая сталь      430   аковина для мытья и сушки   араметры  1200x700x850 мм")</f>
        <v xml:space="preserve"> тол для мытья овощей ce tsy120x70  ержавеющая сталь      430   аковина для мытья и сушки   араметры  1200x700x850 мм</v>
      </c>
      <c r="G1157" s="4" t="str">
        <f ca="1">IFERROR(__xludf.DUMMYFUNCTION("TEXTJOIN(""|"",TRUE,UNIQUE(FILTER(SPLIT(F1157,"" ""),LEN(SPLIT(F1157,"" ""))&gt;2)))"),"тол|для|мытья|овощей|tsy120x70|ержавеющая|сталь|430|аковина|для|мытья|сушки|араметры|1200x700x850")</f>
        <v>тол|для|мытья|овощей|tsy120x70|ержавеющая|сталь|430|аковина|для|мытья|сушки|араметры|1200x700x850</v>
      </c>
      <c r="I1157" s="1"/>
      <c r="J1157" s="1"/>
    </row>
    <row r="1158" spans="1:10" ht="25.5" x14ac:dyDescent="0.2">
      <c r="A1158" s="8" t="s">
        <v>203</v>
      </c>
      <c r="B1158" s="7" t="s">
        <v>202</v>
      </c>
      <c r="C1158" s="7" t="s">
        <v>201</v>
      </c>
      <c r="D1158" s="6">
        <v>514400</v>
      </c>
      <c r="E1158" s="5">
        <v>1</v>
      </c>
      <c r="F1158" s="4" t="str">
        <f ca="1">IFERROR(__xludf.DUMMYFUNCTION("LOWER(REGEXREPLACE(B1158&amp;"" ""&amp;C1158,""[^а-яa-z0-9 ]"","" ""))")," тол для обработки рыбы ce tbh120x70  ержавеющая сталь      430   аковина для мытья и сушки  c полиэтиленовой доской для резки   араметры  1200x700x850 мм")</f>
        <v xml:space="preserve"> тол для обработки рыбы ce tbh120x70  ержавеющая сталь      430   аковина для мытья и сушки  c полиэтиленовой доской для резки   араметры  1200x700x850 мм</v>
      </c>
      <c r="G1158" s="4" t="str">
        <f ca="1">IFERROR(__xludf.DUMMYFUNCTION("TEXTJOIN(""|"",TRUE,UNIQUE(FILTER(SPLIT(F1158,"" ""),LEN(SPLIT(F1158,"" ""))&gt;2)))"),"тол|для|обработки|рыбы|tbh120x70|ержавеющая|сталь|430|аковина|для|мытья|сушки|полиэтиленовой|доской|для|резки|араметры|1200x700x850")</f>
        <v>тол|для|обработки|рыбы|tbh120x70|ержавеющая|сталь|430|аковина|для|мытья|сушки|полиэтиленовой|доской|для|резки|араметры|1200x700x850</v>
      </c>
      <c r="I1158" s="1"/>
      <c r="J1158" s="1"/>
    </row>
    <row r="1159" spans="1:10" ht="38.25" x14ac:dyDescent="0.2">
      <c r="A1159" s="8" t="s">
        <v>200</v>
      </c>
      <c r="B1159" s="7" t="s">
        <v>199</v>
      </c>
      <c r="C1159" s="7" t="s">
        <v>198</v>
      </c>
      <c r="D1159" s="6">
        <v>252000</v>
      </c>
      <c r="E1159" s="5">
        <v>1</v>
      </c>
      <c r="F1159" s="4" t="str">
        <f ca="1">IFERROR(__xludf.DUMMYFUNCTION("LOWER(REGEXREPLACE(B1159&amp;"" ""&amp;C1159,""[^а-яa-z0-9 ]"","" ""))")," тол для экспериментирования с песком и водой  тол предназначен для сенсорных и исследовательских занятий   азмеры  850 500 460 мм   снащ н двумя цветными пластиковыми  мкостями для воды и сыпучих материалов  нижней открытой полкой для инвентаря   становл"&amp;"ен на кол сных опорах диаметром 50 мм   атериал        16 мм   се углы скруглены ")</f>
        <v xml:space="preserve"> тол для экспериментирования с песком и водой  тол предназначен для сенсорных и исследовательских занятий   азмеры  850 500 460 мм   снащ н двумя цветными пластиковыми  мкостями для воды и сыпучих материалов  нижней открытой полкой для инвентаря   становлен на кол сных опорах диаметром 50 мм   атериал        16 мм   се углы скруглены </v>
      </c>
      <c r="G1159" s="4" t="str">
        <f ca="1">IFERROR(__xludf.DUMMYFUNCTION("TEXTJOIN(""|"",TRUE,UNIQUE(FILTER(SPLIT(F1159,"" ""),LEN(SPLIT(F1159,"" ""))&gt;2)))"),"тол|для|экспериментирования|песком|водой|тол|предназначен|для|сенсорных|исследовательских|занятий|азмеры|850|500|460|снащ|двумя|цветными|пластиковыми|мкостями|для|воды|сыпучих|материалов|нижней|открытой|полкой|для|инвентаря|становлен|кол|сных|опорах|диаме"&amp;"тром|атериал|углы|скруглены")</f>
        <v>тол|для|экспериментирования|песком|водой|тол|предназначен|для|сенсорных|исследовательских|занятий|азмеры|850|500|460|снащ|двумя|цветными|пластиковыми|мкостями|для|воды|сыпучих|материалов|нижней|открытой|полкой|для|инвентаря|становлен|кол|сных|опорах|диаметром|атериал|углы|скруглены</v>
      </c>
      <c r="I1159" s="1"/>
      <c r="J1159" s="1"/>
    </row>
    <row r="1160" spans="1:10" ht="12.75" x14ac:dyDescent="0.2">
      <c r="A1160" s="8" t="s">
        <v>197</v>
      </c>
      <c r="B1160" s="7" t="s">
        <v>196</v>
      </c>
      <c r="C1160" s="7" t="s">
        <v>195</v>
      </c>
      <c r="D1160" s="6">
        <v>113300</v>
      </c>
      <c r="E1160" s="5">
        <v>3</v>
      </c>
      <c r="F1160" s="4" t="str">
        <f ca="1">IFERROR(__xludf.DUMMYFUNCTION("LOWER(REGEXREPLACE(B1160&amp;"" ""&amp;C1160,""[^а-яa-z0-9 ]"","" ""))")," тол инструментальный  тол используется для размещения медицинских инструментов и расходных материалов   600х400х860 мм ")</f>
        <v xml:space="preserve"> тол инструментальный  тол используется для размещения медицинских инструментов и расходных материалов   600х400х860 мм </v>
      </c>
      <c r="G1160" s="4" t="str">
        <f ca="1">IFERROR(__xludf.DUMMYFUNCTION("TEXTJOIN(""|"",TRUE,UNIQUE(FILTER(SPLIT(F1160,"" ""),LEN(SPLIT(F1160,"" ""))&gt;2)))"),"тол|инструментальный|тол|используется|для|размещения|медицинских|инструментов|расходных|материалов|600х400х860")</f>
        <v>тол|инструментальный|тол|используется|для|размещения|медицинских|инструментов|расходных|материалов|600х400х860</v>
      </c>
      <c r="I1160" s="1"/>
      <c r="J1160" s="1"/>
    </row>
    <row r="1161" spans="1:10" ht="12.75" x14ac:dyDescent="0.2">
      <c r="A1161" s="8" t="s">
        <v>194</v>
      </c>
      <c r="B1161" s="7" t="s">
        <v>193</v>
      </c>
      <c r="C1161" s="7" t="s">
        <v>192</v>
      </c>
      <c r="D1161" s="6">
        <v>402900</v>
      </c>
      <c r="E1161" s="5">
        <v>1</v>
      </c>
      <c r="F1161" s="4" t="str">
        <f ca="1">IFERROR(__xludf.DUMMYFUNCTION("LOWER(REGEXREPLACE(B1161&amp;"" ""&amp;C1161,""[^а-яa-z0-9 ]"","" ""))")," тол на роликах ce tch120x60  ержавеющая сталь      430    полкой и 4 колесами   араметры  1200x600x850 ммй")</f>
        <v xml:space="preserve"> тол на роликах ce tch120x60  ержавеющая сталь      430    полкой и 4 колесами   араметры  1200x600x850 ммй</v>
      </c>
      <c r="G1161" s="4" t="str">
        <f ca="1">IFERROR(__xludf.DUMMYFUNCTION("TEXTJOIN(""|"",TRUE,UNIQUE(FILTER(SPLIT(F1161,"" ""),LEN(SPLIT(F1161,"" ""))&gt;2)))"),"тол|роликах|tch120x60|ержавеющая|сталь|430|полкой|колесами|араметры|1200x600x850|ммй")</f>
        <v>тол|роликах|tch120x60|ержавеющая|сталь|430|полкой|колесами|араметры|1200x600x850|ммй</v>
      </c>
      <c r="I1161" s="1"/>
      <c r="J1161" s="1"/>
    </row>
    <row r="1162" spans="1:10" ht="12.75" x14ac:dyDescent="0.2">
      <c r="A1162" s="8" t="s">
        <v>191</v>
      </c>
      <c r="B1162" s="7" t="s">
        <v>190</v>
      </c>
      <c r="C1162" s="7" t="s">
        <v>189</v>
      </c>
      <c r="D1162" s="6">
        <v>503400</v>
      </c>
      <c r="E1162" s="5">
        <v>1</v>
      </c>
      <c r="F1162" s="4" t="str">
        <f ca="1">IFERROR(__xludf.DUMMYFUNCTION("LOWER(REGEXREPLACE(B1162&amp;"" ""&amp;C1162,""[^а-яa-z0-9 ]"","" ""))")," тол на роликах ce tch180x70  ержавеющая сталь      430    полкой и 4 колесами   араметры  1800x700x850 мм")</f>
        <v xml:space="preserve"> тол на роликах ce tch180x70  ержавеющая сталь      430    полкой и 4 колесами   араметры  1800x700x850 мм</v>
      </c>
      <c r="G1162" s="4" t="str">
        <f ca="1">IFERROR(__xludf.DUMMYFUNCTION("TEXTJOIN(""|"",TRUE,UNIQUE(FILTER(SPLIT(F1162,"" ""),LEN(SPLIT(F1162,"" ""))&gt;2)))"),"тол|роликах|tch180x70|ержавеющая|сталь|430|полкой|колесами|араметры|1800x700x850")</f>
        <v>тол|роликах|tch180x70|ержавеющая|сталь|430|полкой|колесами|араметры|1800x700x850</v>
      </c>
      <c r="I1162" s="1"/>
      <c r="J1162" s="1"/>
    </row>
    <row r="1163" spans="1:10" ht="25.5" x14ac:dyDescent="0.2">
      <c r="A1163" s="8" t="s">
        <v>188</v>
      </c>
      <c r="B1163" s="7" t="s">
        <v>187</v>
      </c>
      <c r="C1163" s="7" t="s">
        <v>186</v>
      </c>
      <c r="D1163" s="6">
        <v>252000</v>
      </c>
      <c r="E1163" s="5">
        <v>1</v>
      </c>
      <c r="F1163" s="4" t="str">
        <f ca="1">IFERROR(__xludf.DUMMYFUNCTION("LOWER(REGEXREPLACE(B1163&amp;"" ""&amp;C1163,""[^а-яa-z0-9 ]"","" ""))")," тол обеденный  тол обеденный предназначен для при ма пищи персонала   онструкция устойчивая  поверхность моющаяся и устойчивая к воздействию влаги и моющих средств   азмеры 750х1000х600")</f>
        <v xml:space="preserve"> тол обеденный  тол обеденный предназначен для при ма пищи персонала   онструкция устойчивая  поверхность моющаяся и устойчивая к воздействию влаги и моющих средств   азмеры 750х1000х600</v>
      </c>
      <c r="G1163" s="4" t="str">
        <f ca="1">IFERROR(__xludf.DUMMYFUNCTION("TEXTJOIN(""|"",TRUE,UNIQUE(FILTER(SPLIT(F1163,"" ""),LEN(SPLIT(F1163,"" ""))&gt;2)))"),"тол|обеденный|тол|обеденный|предназначен|для|при|пищи|персонала|онструкция|устойчивая|поверхность|моющаяся|устойчивая|воздействию|влаги|моющих|средств|азмеры|750х1000х600")</f>
        <v>тол|обеденный|тол|обеденный|предназначен|для|при|пищи|персонала|онструкция|устойчивая|поверхность|моющаяся|устойчивая|воздействию|влаги|моющих|средств|азмеры|750х1000х600</v>
      </c>
      <c r="I1163" s="1"/>
      <c r="J1163" s="1"/>
    </row>
    <row r="1164" spans="1:10" ht="12.75" x14ac:dyDescent="0.2">
      <c r="A1164" s="8" t="s">
        <v>185</v>
      </c>
      <c r="B1164" s="7" t="s">
        <v>184</v>
      </c>
      <c r="C1164" s="7" t="s">
        <v>183</v>
      </c>
      <c r="D1164" s="6">
        <v>471500</v>
      </c>
      <c r="E1164" s="5">
        <v>1</v>
      </c>
      <c r="F1164" s="4" t="str">
        <f ca="1">IFERROR(__xludf.DUMMYFUNCTION("LOWER(REGEXREPLACE(B1164&amp;"" ""&amp;C1164,""[^а-яa-z0-9 ]"","" ""))")," тол подачи посудомойки ce tbg100x75  ержавеющая сталь      430    одной  раковиной без полки   ойка  50x40x25 см   араметры  1000x750x850 мм")</f>
        <v xml:space="preserve"> тол подачи посудомойки ce tbg100x75  ержавеющая сталь      430    одной  раковиной без полки   ойка  50x40x25 см   араметры  1000x750x850 мм</v>
      </c>
      <c r="G1164" s="4" t="str">
        <f ca="1">IFERROR(__xludf.DUMMYFUNCTION("TEXTJOIN(""|"",TRUE,UNIQUE(FILTER(SPLIT(F1164,"" ""),LEN(SPLIT(F1164,"" ""))&gt;2)))"),"тол|подачи|посудомойки|tbg100x75|ержавеющая|сталь|430|одной|раковиной|без|полки|ойка|50x40x25|араметры|1000x750x850")</f>
        <v>тол|подачи|посудомойки|tbg100x75|ержавеющая|сталь|430|одной|раковиной|без|полки|ойка|50x40x25|араметры|1000x750x850</v>
      </c>
      <c r="I1164" s="1"/>
      <c r="J1164" s="1"/>
    </row>
    <row r="1165" spans="1:10" ht="12.75" x14ac:dyDescent="0.2">
      <c r="A1165" s="8" t="s">
        <v>182</v>
      </c>
      <c r="B1165" s="7" t="s">
        <v>181</v>
      </c>
      <c r="C1165" s="7" t="s">
        <v>180</v>
      </c>
      <c r="D1165" s="6">
        <v>12817</v>
      </c>
      <c r="E1165" s="5">
        <v>21</v>
      </c>
      <c r="F1165" s="4" t="str">
        <f ca="1">IFERROR(__xludf.DUMMYFUNCTION("LOWER(REGEXREPLACE(B1165&amp;"" ""&amp;C1165,""[^а-яa-z0-9 ]"","" ""))")," кустическая система  icrolab   106  10 т  2 5 т 2 5 т   выход 2     вход 3 5  ini ack")</f>
        <v xml:space="preserve"> кустическая система  icrolab   106  10 т  2 5 т 2 5 т   выход 2     вход 3 5  ini ack</v>
      </c>
      <c r="G1165" s="4" t="str">
        <f ca="1">IFERROR(__xludf.DUMMYFUNCTION("TEXTJOIN(""|"",TRUE,UNIQUE(FILTER(SPLIT(F1165,"" ""),LEN(SPLIT(F1165,"" ""))&gt;2)))"),"кустическая|система|icrolab|106|выход|вход|ini|ack")</f>
        <v>кустическая|система|icrolab|106|выход|вход|ini|ack</v>
      </c>
      <c r="I1165" s="1"/>
      <c r="J1165" s="1"/>
    </row>
    <row r="1166" spans="1:10" ht="12.75" x14ac:dyDescent="0.2">
      <c r="A1166" s="8" t="s">
        <v>179</v>
      </c>
      <c r="B1166" s="7" t="s">
        <v>178</v>
      </c>
      <c r="C1166" s="7" t="s">
        <v>177</v>
      </c>
      <c r="D1166" s="6">
        <v>11900</v>
      </c>
      <c r="E1166" s="5">
        <v>35</v>
      </c>
      <c r="F1166" s="4" t="str">
        <f ca="1">IFERROR(__xludf.DUMMYFUNCTION("LOWER(REGEXREPLACE(B1166&amp;"" ""&amp;C1166,""[^а-яa-z0-9 ]"","" ""))")," арнитура  арнитура  4 ech    35")</f>
        <v xml:space="preserve"> арнитура  арнитура  4 ech    35</v>
      </c>
      <c r="G1166" s="4" t="str">
        <f ca="1">IFERROR(__xludf.DUMMYFUNCTION("TEXTJOIN(""|"",TRUE,UNIQUE(FILTER(SPLIT(F1166,"" ""),LEN(SPLIT(F1166,"" ""))&gt;2)))"),"арнитура|арнитура|ech")</f>
        <v>арнитура|арнитура|ech</v>
      </c>
      <c r="I1166" s="1"/>
      <c r="J1166" s="1"/>
    </row>
    <row r="1167" spans="1:10" ht="25.5" x14ac:dyDescent="0.2">
      <c r="A1167" s="8" t="s">
        <v>176</v>
      </c>
      <c r="B1167" s="7" t="s">
        <v>175</v>
      </c>
      <c r="C1167" s="7" t="s">
        <v>174</v>
      </c>
      <c r="D1167" s="6">
        <v>615700</v>
      </c>
      <c r="E1167" s="5">
        <v>1</v>
      </c>
      <c r="F1167" s="4" t="str">
        <f ca="1">IFERROR(__xludf.DUMMYFUNCTION("LOWER(REGEXREPLACE(B1167&amp;"" ""&amp;C1167,""[^а-яa-z0-9 ]"","" ""))")," ладильный стол складной omega  лектрообогрев с термостатическим управлением   тандартные функции включают в себя  вакуумный двигатель и поддержку       aby   апряжение  230 1 50  ц   вигатель 73  т   абариты  40x140xh92 см")</f>
        <v xml:space="preserve"> ладильный стол складной omega  лектрообогрев с термостатическим управлением   тандартные функции включают в себя  вакуумный двигатель и поддержку       aby   апряжение  230 1 50  ц   вигатель 73  т   абариты  40x140xh92 см</v>
      </c>
      <c r="G1167" s="4" t="str">
        <f ca="1">IFERROR(__xludf.DUMMYFUNCTION("TEXTJOIN(""|"",TRUE,UNIQUE(FILTER(SPLIT(F1167,"" ""),LEN(SPLIT(F1167,"" ""))&gt;2)))"),"ладильный|стол|складной|omega|лектрообогрев|термостатическим|управлением|тандартные|функции|включают|себя|вакуумный|двигатель|поддержку|aby|апряжение|230|вигатель|абариты|40x140xh92")</f>
        <v>ладильный|стол|складной|omega|лектрообогрев|термостатическим|управлением|тандартные|функции|включают|себя|вакуумный|двигатель|поддержку|aby|апряжение|230|вигатель|абариты|40x140xh92</v>
      </c>
      <c r="I1167" s="1"/>
      <c r="J1167" s="1"/>
    </row>
    <row r="1168" spans="1:10" ht="114.75" x14ac:dyDescent="0.2">
      <c r="A1168" s="8" t="s">
        <v>173</v>
      </c>
      <c r="B1168" s="8" t="s">
        <v>172</v>
      </c>
      <c r="C1168" s="7" t="s">
        <v>171</v>
      </c>
      <c r="D1168" s="6">
        <v>1800000</v>
      </c>
      <c r="E1168" s="5">
        <v>7</v>
      </c>
      <c r="F1168" s="4" t="str">
        <f ca="1">IFERROR(__xludf.DUMMYFUNCTION("LOWER(REGEXREPLACE(B1168&amp;"" ""&amp;C1168,""[^а-яa-z0-9 ]"","" ""))")," нтерактивная панель 75 дюймов  нтерактивная панель         c диагональю 75 дюймов  8 ядерный  с разрешением экрана 4   3840 x 2160   встроенная внутренняя память 64     оперативная память 8         ndroid 13 0 с      сертификацией   оддержка  oogle  lay "&amp;"  с    по 3  урокам  ozaik   рограммное обеспечение для демонстрации опытов по естественным наукам для преподавателя  ozaik с 3 годовым доступом   онтентное содержание программного обеспечения   рограммное обеспечение предназначено для проведения демонстр"&amp;"ационных опытов по предметам химии  биологии  физики   меет интерфейс и весь обучающий контент на русском  казахском и английском языках  также имеет возможность работать и управляться сенсорным экраном интерактивной панели   рограммное обеспечение распоз"&amp;"нает жесты для вращения 3  объектов  увеличения 3  объектов   ")</f>
        <v xml:space="preserve"> нтерактивная панель 75 дюймов  нтерактивная панель         c диагональю 75 дюймов  8 ядерный  с разрешением экрана 4   3840 x 2160   встроенная внутренняя память 64     оперативная память 8         ndroid 13 0 с      сертификацией   оддержка  oogle  lay   с    по 3  урокам  ozaik   рограммное обеспечение для демонстрации опытов по естественным наукам для преподавателя  ozaik с 3 годовым доступом   онтентное содержание программного обеспечения   рограммное обеспечение предназначено для проведения демонстрационных опытов по предметам химии  биологии  физики   меет интерфейс и весь обучающий контент на русском  казахском и английском языках  также имеет возможность работать и управляться сенсорным экраном интерактивной панели   рограммное обеспечение распознает жесты для вращения 3  объектов  увеличения 3  объектов   </v>
      </c>
      <c r="G1168" s="4" t="str">
        <f ca="1">IFERROR(__xludf.DUMMYFUNCTION("TEXTJOIN(""|"",TRUE,UNIQUE(FILTER(SPLIT(F1168,"" ""),LEN(SPLIT(F1168,"" ""))&gt;2)))"),"нтерактивная|панель|дюймов|нтерактивная|панель|диагональю|дюймов|ядерный|разрешением|экрана|3840|2160|встроенная|внутренняя|память|оперативная|память|ndroid|сертификацией|оддержка|oogle|lay|урокам|ozaik|рограммное|обеспечение|для|демонстрации|опытов|естес"&amp;"твенным|наукам|для|преподавателя|ozaik|годовым|доступом|онтентное|содержание|программного|обеспечения|рограммное|обеспечение|предназначено|для|проведения|демонстрационных|опытов|предметам|химии|биологии|физики|меет|интерфейс|весь|обучающий|контент|русском"&amp;"|казахском|английском|языках|также|имеет|возможность|работать|управляться|сенсорным|экраном|интерактивной|панели|рограммное|обеспечение|распознает|жесты|для|вращения|объектов|увеличения|объектов")</f>
        <v>нтерактивная|панель|дюймов|нтерактивная|панель|диагональю|дюймов|ядерный|разрешением|экрана|3840|2160|встроенная|внутренняя|память|оперативная|память|ndroid|сертификацией|оддержка|oogle|lay|урокам|ozaik|рограммное|обеспечение|для|демонстрации|опытов|естественным|наукам|для|преподавателя|ozaik|годовым|доступом|онтентное|содержание|программного|обеспечения|рограммное|обеспечение|предназначено|для|проведения|демонстрационных|опытов|предметам|химии|биологии|физики|меет|интерфейс|весь|обучающий|контент|русском|казахском|английском|языках|также|имеет|возможность|работать|управляться|сенсорным|экраном|интерактивной|панели|рограммное|обеспечение|распознает|жесты|для|вращения|объектов|увеличения|объектов</v>
      </c>
      <c r="I1168" s="1"/>
      <c r="J1168" s="1"/>
    </row>
    <row r="1169" spans="1:10" ht="12.75" x14ac:dyDescent="0.2">
      <c r="A1169" s="8" t="s">
        <v>170</v>
      </c>
      <c r="B1169" s="7" t="s">
        <v>169</v>
      </c>
      <c r="C1169" s="7" t="s">
        <v>168</v>
      </c>
      <c r="D1169" s="6">
        <v>1735100</v>
      </c>
      <c r="E1169" s="5">
        <v>1</v>
      </c>
      <c r="F1169" s="4" t="str">
        <f ca="1">IFERROR(__xludf.DUMMYFUNCTION("LOWER(REGEXREPLACE(B1169&amp;"" ""&amp;C1169,""[^а-яa-z0-9 ]"","" ""))")," артофелечистка pat 650t  местимость  5 10 кг   ластиковый редуктор  380     ощность  0 55 к т   азмеры  48x76x102 см")</f>
        <v xml:space="preserve"> артофелечистка pat 650t  местимость  5 10 кг   ластиковый редуктор  380     ощность  0 55 к т   азмеры  48x76x102 см</v>
      </c>
      <c r="G1169" s="4" t="str">
        <f ca="1">IFERROR(__xludf.DUMMYFUNCTION("TEXTJOIN(""|"",TRUE,UNIQUE(FILTER(SPLIT(F1169,"" ""),LEN(SPLIT(F1169,"" ""))&gt;2)))"),"артофелечистка|pat|650t|местимость|ластиковый|редуктор|380|ощность|азмеры|48x76x102")</f>
        <v>артофелечистка|pat|650t|местимость|ластиковый|редуктор|380|ощность|азмеры|48x76x102</v>
      </c>
      <c r="I1169" s="1"/>
      <c r="J1169" s="1"/>
    </row>
    <row r="1170" spans="1:10" ht="12.75" x14ac:dyDescent="0.2">
      <c r="A1170" s="8" t="s">
        <v>167</v>
      </c>
      <c r="B1170" s="7" t="s">
        <v>166</v>
      </c>
      <c r="C1170" s="7" t="s">
        <v>165</v>
      </c>
      <c r="D1170" s="6">
        <v>3988700</v>
      </c>
      <c r="E1170" s="5">
        <v>1</v>
      </c>
      <c r="F1170" s="4" t="str">
        <f ca="1">IFERROR(__xludf.DUMMYFUNCTION("LOWER(REGEXREPLACE(B1170&amp;"" ""&amp;C1170,""[^а-яa-z0-9 ]"","" ""))")," отел варочный электрический vpe7 23  бъем  80 л  0 55 м3 15 к т 400     азмеры  700 800 850 мм")</f>
        <v xml:space="preserve"> отел варочный электрический vpe7 23  бъем  80 л  0 55 м3 15 к т 400     азмеры  700 800 850 мм</v>
      </c>
      <c r="G1170" s="4" t="str">
        <f ca="1">IFERROR(__xludf.DUMMYFUNCTION("TEXTJOIN(""|"",TRUE,UNIQUE(FILTER(SPLIT(F1170,"" ""),LEN(SPLIT(F1170,"" ""))&gt;2)))"),"отел|варочный|электрический|vpe7|бъем|400|азмеры|700|800|850")</f>
        <v>отел|варочный|электрический|vpe7|бъем|400|азмеры|700|800|850</v>
      </c>
      <c r="I1170" s="1"/>
      <c r="J1170" s="1"/>
    </row>
    <row r="1171" spans="1:10" ht="12.75" x14ac:dyDescent="0.2">
      <c r="A1171" s="8" t="s">
        <v>164</v>
      </c>
      <c r="B1171" s="7" t="s">
        <v>163</v>
      </c>
      <c r="C1171" s="7" t="s">
        <v>162</v>
      </c>
      <c r="D1171" s="6">
        <v>51000</v>
      </c>
      <c r="E1171" s="5">
        <v>13</v>
      </c>
      <c r="F1171" s="4" t="str">
        <f ca="1">IFERROR(__xludf.DUMMYFUNCTION("LOWER(REGEXREPLACE(B1171&amp;"" ""&amp;C1171,""[^а-яa-z0-9 ]"","" ""))")," улер  улер для воды      qua 1")</f>
        <v xml:space="preserve"> улер  улер для воды      qua 1</v>
      </c>
      <c r="G1171" s="4" t="str">
        <f ca="1">IFERROR(__xludf.DUMMYFUNCTION("TEXTJOIN(""|"",TRUE,UNIQUE(FILTER(SPLIT(F1171,"" ""),LEN(SPLIT(F1171,"" ""))&gt;2)))"),"улер|улер|для|воды|qua")</f>
        <v>улер|улер|для|воды|qua</v>
      </c>
      <c r="I1171" s="1"/>
      <c r="J1171" s="1"/>
    </row>
    <row r="1172" spans="1:10" ht="38.25" x14ac:dyDescent="0.2">
      <c r="A1172" s="8" t="s">
        <v>161</v>
      </c>
      <c r="B1172" s="7" t="s">
        <v>160</v>
      </c>
      <c r="C1172" s="7" t="s">
        <v>159</v>
      </c>
      <c r="D1172" s="6">
        <v>62900</v>
      </c>
      <c r="E1172" s="5">
        <v>1</v>
      </c>
      <c r="F1172" s="4" t="str">
        <f ca="1">IFERROR(__xludf.DUMMYFUNCTION("LOWER(REGEXREPLACE(B1172&amp;"" ""&amp;C1172,""[^а-яa-z0-9 ]"","" ""))")," аминатор  аминатор      usion 1100   фисное оборудование для ламинирования печатных материалов формата  4   спользуется для защиты методических пособий  карточек и наглядных материалов от износа и загрязнений   одходит для применения в образовательной ср"&amp;"еде ")</f>
        <v xml:space="preserve"> аминатор  аминатор      usion 1100   фисное оборудование для ламинирования печатных материалов формата  4   спользуется для защиты методических пособий  карточек и наглядных материалов от износа и загрязнений   одходит для применения в образовательной среде </v>
      </c>
      <c r="G1172" s="4" t="str">
        <f ca="1">IFERROR(__xludf.DUMMYFUNCTION("TEXTJOIN(""|"",TRUE,UNIQUE(FILTER(SPLIT(F1172,"" ""),LEN(SPLIT(F1172,"" ""))&gt;2)))"),"аминатор|аминатор|usion|1100|фисное|оборудование|для|ламинирования|печатных|материалов|формата|спользуется|для|защиты|методических|пособий|карточек|наглядных|материалов|износа|загрязнений|одходит|для|применения|образовательной|среде")</f>
        <v>аминатор|аминатор|usion|1100|фисное|оборудование|для|ламинирования|печатных|материалов|формата|спользуется|для|защиты|методических|пособий|карточек|наглядных|материалов|износа|загрязнений|одходит|для|применения|образовательной|среде</v>
      </c>
      <c r="I1172" s="1"/>
      <c r="J1172" s="1"/>
    </row>
    <row r="1173" spans="1:10" ht="12.75" x14ac:dyDescent="0.2">
      <c r="A1173" s="8" t="s">
        <v>158</v>
      </c>
      <c r="B1173" s="8" t="s">
        <v>157</v>
      </c>
      <c r="C1173" s="7" t="s">
        <v>156</v>
      </c>
      <c r="D1173" s="6">
        <v>176800</v>
      </c>
      <c r="E1173" s="5">
        <v>1</v>
      </c>
      <c r="F1173" s="4" t="str">
        <f ca="1">IFERROR(__xludf.DUMMYFUNCTION("LOWER(REGEXREPLACE(B1173&amp;"" ""&amp;C1173,""[^а-яa-z0-9 ]"","" ""))")," обильная стойка  обильная стойка для интерактивной панели на кол сах   иагональ экрана 75 дюймов  ")</f>
        <v xml:space="preserve"> обильная стойка  обильная стойка для интерактивной панели на кол сах   иагональ экрана 75 дюймов  </v>
      </c>
      <c r="G1173" s="4" t="str">
        <f ca="1">IFERROR(__xludf.DUMMYFUNCTION("TEXTJOIN(""|"",TRUE,UNIQUE(FILTER(SPLIT(F1173,"" ""),LEN(SPLIT(F1173,"" ""))&gt;2)))"),"обильная|стойка|обильная|стойка|для|интерактивной|панели|кол|сах|иагональ|экрана|дюймов")</f>
        <v>обильная|стойка|обильная|стойка|для|интерактивной|панели|кол|сах|иагональ|экрана|дюймов</v>
      </c>
      <c r="I1173" s="1"/>
      <c r="J1173" s="1"/>
    </row>
    <row r="1174" spans="1:10" ht="12.75" x14ac:dyDescent="0.2">
      <c r="A1174" s="8" t="s">
        <v>155</v>
      </c>
      <c r="B1174" s="7" t="s">
        <v>154</v>
      </c>
      <c r="C1174" s="7" t="s">
        <v>153</v>
      </c>
      <c r="D1174" s="6">
        <v>1363300</v>
      </c>
      <c r="E1174" s="5">
        <v>1</v>
      </c>
      <c r="F1174" s="4" t="str">
        <f ca="1">IFERROR(__xludf.DUMMYFUNCTION("LOWER(REGEXREPLACE(B1174&amp;"" ""&amp;C1174,""[^а-яa-z0-9 ]"","" ""))")," ашина для резки овощей seb 210m  местимость  300 кг час   астольный  5 ножей  220     ощность  0 37 к т   азмеры  27x88x108 см")</f>
        <v xml:space="preserve"> ашина для резки овощей seb 210m  местимость  300 кг час   астольный  5 ножей  220     ощность  0 37 к т   азмеры  27x88x108 см</v>
      </c>
      <c r="G1174" s="4" t="str">
        <f ca="1">IFERROR(__xludf.DUMMYFUNCTION("TEXTJOIN(""|"",TRUE,UNIQUE(FILTER(SPLIT(F1174,"" ""),LEN(SPLIT(F1174,"" ""))&gt;2)))"),"ашина|для|резки|овощей|seb|210m|местимость|300|час|астольный|ножей|220|ощность|азмеры|27x88x108")</f>
        <v>ашина|для|резки|овощей|seb|210m|местимость|300|час|астольный|ножей|220|ощность|азмеры|27x88x108</v>
      </c>
      <c r="I1174" s="1"/>
      <c r="J1174" s="1"/>
    </row>
    <row r="1175" spans="1:10" ht="102" x14ac:dyDescent="0.2">
      <c r="A1175" s="8" t="s">
        <v>152</v>
      </c>
      <c r="B1175" s="7" t="s">
        <v>151</v>
      </c>
      <c r="C1175" s="7" t="s">
        <v>150</v>
      </c>
      <c r="D1175" s="6">
        <v>62900</v>
      </c>
      <c r="E1175" s="5">
        <v>1</v>
      </c>
      <c r="F1175" s="4" t="str">
        <f ca="1">IFERROR(__xludf.DUMMYFUNCTION("LOWER(REGEXREPLACE(B1175&amp;"" ""&amp;C1175,""[^а-яa-z0-9 ]"","" ""))")," икроволновая печь  икроволновая печь предназначена для разогрева готовых блюд и напитков в бытовой служебной зоне дошкольного учреждения   бъ м камеры   не менее 20 л  мощность микроволн   не менее 700  т  что обеспечивает быстрый разогрев стандартных по"&amp;"рций   правление выполняется с помощью механических или электронных регуляторов с таймером не менее 30 минут и звуковым сигналом окончания цикла   нутренняя камера имеет покрытие  устойчивое к загрязнениям и допускающее регулярную влажную очистку   верца "&amp;"оснащена над жным замком и ручкой  исключающей случайное самопроизвольное открывание   стройство устанавливается на устойчивую поверхность  подключается к сети 220   и используется взрослыми сотрудниками ")</f>
        <v xml:space="preserve"> икроволновая печь  икроволновая печь предназначена для разогрева готовых блюд и напитков в бытовой служебной зоне дошкольного учреждения   бъ м камеры   не менее 20 л  мощность микроволн   не менее 700  т  что обеспечивает быстрый разогрев стандартных порций   правление выполняется с помощью механических или электронных регуляторов с таймером не менее 30 минут и звуковым сигналом окончания цикла   нутренняя камера имеет покрытие  устойчивое к загрязнениям и допускающее регулярную влажную очистку   верца оснащена над жным замком и ручкой  исключающей случайное самопроизвольное открывание   стройство устанавливается на устойчивую поверхность  подключается к сети 220   и используется взрослыми сотрудниками </v>
      </c>
      <c r="G1175" s="4" t="str">
        <f ca="1">IFERROR(__xludf.DUMMYFUNCTION("TEXTJOIN(""|"",TRUE,UNIQUE(FILTER(SPLIT(F1175,"" ""),LEN(SPLIT(F1175,"" ""))&gt;2)))"),"икроволновая|печь|икроволновая|печь|предназначена|для|разогрева|готовых|блюд|напитков|бытовой|служебной|зоне|дошкольного|учреждения|камеры|менее|мощность|микроволн|менее|700|что|обеспечивает|быстрый|разогрев|стандартных|порций|правление|выполняется|помощь"&amp;"ю|механических|или|электронных|регуляторов|таймером|менее|минут|звуковым|сигналом|окончания|цикла|нутренняя|камера|имеет|покрытие|устойчивое|загрязнениям|допускающее|регулярную|влажную|очистку|верца|оснащена|над|жным|замком|ручкой|исключающей|случайное|са"&amp;"мопроизвольное|открывание|стройство|устанавливается|устойчивую|поверхность|подключается|сети|220|используется|взрослыми|сотрудниками")</f>
        <v>икроволновая|печь|икроволновая|печь|предназначена|для|разогрева|готовых|блюд|напитков|бытовой|служебной|зоне|дошкольного|учреждения|камеры|менее|мощность|микроволн|менее|700|что|обеспечивает|быстрый|разогрев|стандартных|порций|правление|выполняется|помощью|механических|или|электронных|регуляторов|таймером|менее|минут|звуковым|сигналом|окончания|цикла|нутренняя|камера|имеет|покрытие|устойчивое|загрязнениям|допускающее|регулярную|влажную|очистку|верца|оснащена|над|жным|замком|ручкой|исключающей|случайное|самопроизвольное|открывание|стройство|устанавливается|устойчивую|поверхность|подключается|сети|220|используется|взрослыми|сотрудниками</v>
      </c>
      <c r="I1175" s="1"/>
      <c r="J1175" s="1"/>
    </row>
    <row r="1176" spans="1:10" ht="51" x14ac:dyDescent="0.2">
      <c r="A1176" s="8" t="s">
        <v>149</v>
      </c>
      <c r="B1176" s="7" t="s">
        <v>148</v>
      </c>
      <c r="C1176" s="7" t="s">
        <v>147</v>
      </c>
      <c r="D1176" s="6">
        <v>510100</v>
      </c>
      <c r="E1176" s="5">
        <v>2</v>
      </c>
      <c r="F1176" s="4" t="str">
        <f ca="1">IFERROR(__xludf.DUMMYFUNCTION("LOWER(REGEXREPLACE(B1176&amp;"" ""&amp;C1176,""[^а-яa-z0-9 ]"","" ""))")," кустическая система для музыкального зала  кустическая система  lectro  oice    12  2 предназначена для озвучивания музыкального зала во время занятий и праздничных мероприятий   аличие беспроводного микрофона   беспечивает качественное воспроизведение з"&amp;"вука и ограничение уровня громкости в соответствии с требованиями   орпус выполнен без острых углов и рассчитан на стационарное использование ")</f>
        <v xml:space="preserve"> кустическая система для музыкального зала  кустическая система  lectro  oice    12  2 предназначена для озвучивания музыкального зала во время занятий и праздничных мероприятий   аличие беспроводного микрофона   беспечивает качественное воспроизведение звука и ограничение уровня громкости в соответствии с требованиями   орпус выполнен без острых углов и рассчитан на стационарное использование </v>
      </c>
      <c r="G1176" s="4" t="str">
        <f ca="1">IFERROR(__xludf.DUMMYFUNCTION("TEXTJOIN(""|"",TRUE,UNIQUE(FILTER(SPLIT(F1176,"" ""),LEN(SPLIT(F1176,"" ""))&gt;2)))"),"кустическая|система|для|музыкального|зала|кустическая|система|lectro|oice|предназначена|для|озвучивания|музыкального|зала|время|занятий|праздничных|мероприятий|аличие|беспроводного|микрофона|беспечивает|качественное|воспроизведение|звука|ограничение|уровн"&amp;"я|громкости|соответствии|требованиями|орпус|выполнен|без|острых|углов|рассчитан|стационарное|использование")</f>
        <v>кустическая|система|для|музыкального|зала|кустическая|система|lectro|oice|предназначена|для|озвучивания|музыкального|зала|время|занятий|праздничных|мероприятий|аличие|беспроводного|микрофона|беспечивает|качественное|воспроизведение|звука|ограничение|уровня|громкости|соответствии|требованиями|орпус|выполнен|без|острых|углов|рассчитан|стационарное|использование</v>
      </c>
      <c r="I1176" s="1"/>
      <c r="J1176" s="1"/>
    </row>
    <row r="1177" spans="1:10" ht="127.5" x14ac:dyDescent="0.2">
      <c r="A1177" s="8" t="s">
        <v>146</v>
      </c>
      <c r="B1177" s="7" t="s">
        <v>145</v>
      </c>
      <c r="C1177" s="7" t="s">
        <v>144</v>
      </c>
      <c r="D1177" s="6">
        <v>255000</v>
      </c>
      <c r="E1177" s="5">
        <v>1</v>
      </c>
      <c r="F1177" s="4" t="str">
        <f ca="1">IFERROR(__xludf.DUMMYFUNCTION("LOWER(REGEXREPLACE(B1177&amp;"" ""&amp;C1177,""[^а-яa-z0-9 ]"","" ""))")," икшерный пульт для управления звуковыми источниками  икшерный пульт  azer  udio  aker предназначен для сведения и регулирования звуковых сигналов при проведении музыкальных занятий  утренников и мероприятий   оличество входных каналов   не менее 4  с отд"&amp;"ельной регулировкой уровня громкости каждого канала для балансировки микрофонов и фонограммы   ульт обеспечивает настройку тембра эквализации не менее по 2 параметрам на канал либо общий эквалайзер для коррекции звучания помещения   редусмотрена функция з"&amp;"ащиты от резких звуковых пиков  лимитер ограничение уровня  или плавная регулировка  уменьшающая риск неприятных  всплесков  громкости   орпус устойчивый  с читаемой маркировкой органов управления и возможностью размещения на столе стойке в зоне педагога "&amp;" вне доступа детей   одключение осуществляется через стандартные аудиоразъ мы  питание   от сети  эксплуатация соответствует требованиям электробезопасности   спользуется для создания разборчивой речи и комфортного музыкального сопровождения ")</f>
        <v xml:space="preserve"> икшерный пульт для управления звуковыми источниками  икшерный пульт  azer  udio  aker предназначен для сведения и регулирования звуковых сигналов при проведении музыкальных занятий  утренников и мероприятий   оличество входных каналов   не менее 4  с отдельной регулировкой уровня громкости каждого канала для балансировки микрофонов и фонограммы   ульт обеспечивает настройку тембра эквализации не менее по 2 параметрам на канал либо общий эквалайзер для коррекции звучания помещения   редусмотрена функция защиты от резких звуковых пиков  лимитер ограничение уровня  или плавная регулировка  уменьшающая риск неприятных  всплесков  громкости   орпус устойчивый  с читаемой маркировкой органов управления и возможностью размещения на столе стойке в зоне педагога  вне доступа детей   одключение осуществляется через стандартные аудиоразъ мы  питание   от сети  эксплуатация соответствует требованиям электробезопасности   спользуется для создания разборчивой речи и комфортного музыкального сопровождения </v>
      </c>
      <c r="G1177" s="4" t="str">
        <f ca="1">IFERROR(__xludf.DUMMYFUNCTION("TEXTJOIN(""|"",TRUE,UNIQUE(FILTER(SPLIT(F1177,"" ""),LEN(SPLIT(F1177,"" ""))&gt;2)))"),"икшерный|пульт|для|управления|звуковыми|источниками|икшерный|пульт|azer|udio|aker|предназначен|для|сведения|регулирования|звуковых|сигналов|при|проведении|музыкальных|занятий|утренников|мероприятий|оличество|входных|каналов|менее|отдельной|регулировкой|ур"&amp;"овня|громкости|каждого|канала|для|балансировки|микрофонов|фонограммы|ульт|обеспечивает|настройку|тембра|эквализации|менее|параметрам|канал|либо|общий|эквалайзер|для|коррекции|звучания|помещения|редусмотрена|функция|защиты|резких|звуковых|пиков|лимитер|огр"&amp;"аничение|уровня|или|плавная|регулировка|уменьшающая|риск|неприятных|всплесков|громкости|орпус|устойчивый|читаемой|маркировкой|органов|управления|возможностью|размещения|столе|стойке|зоне|педагога|вне|доступа|детей|одключение|осуществляется|через|стандартн"&amp;"ые|аудиоразъ|питание|сети|эксплуатация|соответствует|требованиям|электробезопасности|спользуется|для|создания|разборчивой|речи|комфортного|музыкального|сопровождения")</f>
        <v>икшерный|пульт|для|управления|звуковыми|источниками|икшерный|пульт|azer|udio|aker|предназначен|для|сведения|регулирования|звуковых|сигналов|при|проведении|музыкальных|занятий|утренников|мероприятий|оличество|входных|каналов|менее|отдельной|регулировкой|уровня|громкости|каждого|канала|для|балансировки|микрофонов|фонограммы|ульт|обеспечивает|настройку|тембра|эквализации|менее|параметрам|канал|либо|общий|эквалайзер|для|коррекции|звучания|помещения|редусмотрена|функция|защиты|резких|звуковых|пиков|лимитер|ограничение|уровня|или|плавная|регулировка|уменьшающая|риск|неприятных|всплесков|громкости|орпус|устойчивый|читаемой|маркировкой|органов|управления|возможностью|размещения|столе|стойке|зоне|педагога|вне|доступа|детей|одключение|осуществляется|через|стандартные|аудиоразъ|питание|сети|эксплуатация|соответствует|требованиям|электробезопасности|спользуется|для|создания|разборчивой|речи|комфортного|музыкального|сопровождения</v>
      </c>
      <c r="I1177" s="1"/>
      <c r="J1177" s="1"/>
    </row>
    <row r="1178" spans="1:10" ht="12.75" x14ac:dyDescent="0.2">
      <c r="A1178" s="8" t="s">
        <v>143</v>
      </c>
      <c r="B1178" s="7" t="s">
        <v>142</v>
      </c>
      <c r="C1178" s="7" t="s">
        <v>141</v>
      </c>
      <c r="D1178" s="6">
        <v>149259</v>
      </c>
      <c r="E1178" s="5">
        <v>1</v>
      </c>
      <c r="F1178" s="4" t="str">
        <f ca="1">IFERROR(__xludf.DUMMYFUNCTION("LOWER(REGEXREPLACE(B1178&amp;"" ""&amp;C1178,""[^а-яa-z0-9 ]"","" ""))"),"         pson  2110   4  15 ppm 1440 x 720 dpi            tray 150")</f>
        <v xml:space="preserve">         pson  2110   4  15 ppm 1440 x 720 dpi            tray 150</v>
      </c>
      <c r="G1178" s="4" t="str">
        <f ca="1">IFERROR(__xludf.DUMMYFUNCTION("TEXTJOIN(""|"",TRUE,UNIQUE(FILTER(SPLIT(F1178,"" ""),LEN(SPLIT(F1178,"" ""))&gt;2)))"),"pson|2110|ppm|1440|720|dpi|tray|150")</f>
        <v>pson|2110|ppm|1440|720|dpi|tray|150</v>
      </c>
      <c r="I1178" s="1"/>
      <c r="J1178" s="1"/>
    </row>
    <row r="1179" spans="1:10" ht="12.75" x14ac:dyDescent="0.2">
      <c r="A1179" s="7"/>
      <c r="B1179" s="7"/>
      <c r="C1179" s="7" t="s">
        <v>140</v>
      </c>
      <c r="D1179" s="6">
        <v>149259</v>
      </c>
      <c r="E1179" s="5">
        <v>1</v>
      </c>
      <c r="F1179" s="4" t="str">
        <f ca="1">IFERROR(__xludf.DUMMYFUNCTION("LOWER(REGEXREPLACE(B1179&amp;"" ""&amp;C1179,""[^а-яa-z0-9 ]"","" ""))"),"      pson  2110   4  15 ppm 1440 x 720 dpi            tray 151")</f>
        <v xml:space="preserve">      pson  2110   4  15 ppm 1440 x 720 dpi            tray 151</v>
      </c>
      <c r="G1179" s="4" t="str">
        <f ca="1">IFERROR(__xludf.DUMMYFUNCTION("TEXTJOIN(""|"",TRUE,UNIQUE(FILTER(SPLIT(F1179,"" ""),LEN(SPLIT(F1179,"" ""))&gt;2)))"),"pson|2110|ppm|1440|720|dpi|tray|151")</f>
        <v>pson|2110|ppm|1440|720|dpi|tray|151</v>
      </c>
      <c r="I1179" s="1"/>
      <c r="J1179" s="1"/>
    </row>
    <row r="1180" spans="1:10" ht="12.75" x14ac:dyDescent="0.2">
      <c r="A1180" s="7"/>
      <c r="B1180" s="7"/>
      <c r="C1180" s="7" t="s">
        <v>139</v>
      </c>
      <c r="D1180" s="6">
        <v>149259</v>
      </c>
      <c r="E1180" s="5">
        <v>1</v>
      </c>
      <c r="F1180" s="4" t="str">
        <f ca="1">IFERROR(__xludf.DUMMYFUNCTION("LOWER(REGEXREPLACE(B1180&amp;"" ""&amp;C1180,""[^а-яa-z0-9 ]"","" ""))"),"      pson  2110   4  15 ppm 1440 x 720 dpi            tray 152")</f>
        <v xml:space="preserve">      pson  2110   4  15 ppm 1440 x 720 dpi            tray 152</v>
      </c>
      <c r="G1180" s="4" t="str">
        <f ca="1">IFERROR(__xludf.DUMMYFUNCTION("TEXTJOIN(""|"",TRUE,UNIQUE(FILTER(SPLIT(F1180,"" ""),LEN(SPLIT(F1180,"" ""))&gt;2)))"),"pson|2110|ppm|1440|720|dpi|tray|152")</f>
        <v>pson|2110|ppm|1440|720|dpi|tray|152</v>
      </c>
      <c r="I1180" s="1"/>
      <c r="J1180" s="1"/>
    </row>
    <row r="1181" spans="1:10" ht="12.75" x14ac:dyDescent="0.2">
      <c r="A1181" s="7"/>
      <c r="B1181" s="7"/>
      <c r="C1181" s="7" t="s">
        <v>138</v>
      </c>
      <c r="D1181" s="6">
        <v>149259</v>
      </c>
      <c r="E1181" s="5">
        <v>1</v>
      </c>
      <c r="F1181" s="4" t="str">
        <f ca="1">IFERROR(__xludf.DUMMYFUNCTION("LOWER(REGEXREPLACE(B1181&amp;"" ""&amp;C1181,""[^а-яa-z0-9 ]"","" ""))"),"      pson  2110   4  15 ppm 1440 x 720 dpi            tray 153")</f>
        <v xml:space="preserve">      pson  2110   4  15 ppm 1440 x 720 dpi            tray 153</v>
      </c>
      <c r="G1181" s="4" t="str">
        <f ca="1">IFERROR(__xludf.DUMMYFUNCTION("TEXTJOIN(""|"",TRUE,UNIQUE(FILTER(SPLIT(F1181,"" ""),LEN(SPLIT(F1181,"" ""))&gt;2)))"),"pson|2110|ppm|1440|720|dpi|tray|153")</f>
        <v>pson|2110|ppm|1440|720|dpi|tray|153</v>
      </c>
      <c r="I1181" s="1"/>
      <c r="J1181" s="1"/>
    </row>
    <row r="1182" spans="1:10" ht="12.75" x14ac:dyDescent="0.2">
      <c r="A1182" s="7"/>
      <c r="B1182" s="7"/>
      <c r="C1182" s="7" t="s">
        <v>137</v>
      </c>
      <c r="D1182" s="6">
        <v>149259</v>
      </c>
      <c r="E1182" s="5">
        <v>1</v>
      </c>
      <c r="F1182" s="4" t="str">
        <f ca="1">IFERROR(__xludf.DUMMYFUNCTION("LOWER(REGEXREPLACE(B1182&amp;"" ""&amp;C1182,""[^а-яa-z0-9 ]"","" ""))"),"      pson  2110   4  15 ppm 1440 x 720 dpi            tray 154")</f>
        <v xml:space="preserve">      pson  2110   4  15 ppm 1440 x 720 dpi            tray 154</v>
      </c>
      <c r="G1182" s="4" t="str">
        <f ca="1">IFERROR(__xludf.DUMMYFUNCTION("TEXTJOIN(""|"",TRUE,UNIQUE(FILTER(SPLIT(F1182,"" ""),LEN(SPLIT(F1182,"" ""))&gt;2)))"),"pson|2110|ppm|1440|720|dpi|tray|154")</f>
        <v>pson|2110|ppm|1440|720|dpi|tray|154</v>
      </c>
      <c r="I1182" s="1"/>
      <c r="J1182" s="1"/>
    </row>
    <row r="1183" spans="1:10" ht="25.5" x14ac:dyDescent="0.2">
      <c r="A1183" s="8" t="s">
        <v>136</v>
      </c>
      <c r="B1183" s="7" t="s">
        <v>135</v>
      </c>
      <c r="C1183" s="7" t="s">
        <v>134</v>
      </c>
      <c r="D1183" s="6">
        <v>477540</v>
      </c>
      <c r="E1183" s="5">
        <v>8</v>
      </c>
      <c r="F1183" s="4" t="str">
        <f ca="1">IFERROR(__xludf.DUMMYFUNCTION("LOWER(REGEXREPLACE(B1183&amp;"" ""&amp;C1183,""[^а-яa-z0-9 ]"","" ""))")," оноблок   оноблок  vtech  40   ntel   ore  i3 10100 частота 3 60 4 30   z 4 ядра 8 потоков   ntel     raphics 630         4 8           256    indows 10 11")</f>
        <v xml:space="preserve"> оноблок   оноблок  vtech  40   ntel   ore  i3 10100 частота 3 60 4 30   z 4 ядра 8 потоков   ntel     raphics 630         4 8           256    indows 10 11</v>
      </c>
      <c r="G1183" s="4" t="str">
        <f ca="1">IFERROR(__xludf.DUMMYFUNCTION("TEXTJOIN(""|"",TRUE,UNIQUE(FILTER(SPLIT(F1183,"" ""),LEN(SPLIT(F1183,"" ""))&gt;2)))"),"оноблок|оноблок|vtech|ntel|ore|10100|частота|ядра|потоков|ntel|raphics|630|256|indows")</f>
        <v>оноблок|оноблок|vtech|ntel|ore|10100|частота|ядра|потоков|ntel|raphics|630|256|indows</v>
      </c>
      <c r="I1183" s="1"/>
      <c r="J1183" s="1"/>
    </row>
    <row r="1184" spans="1:10" ht="51" x14ac:dyDescent="0.2">
      <c r="A1184" s="8" t="s">
        <v>133</v>
      </c>
      <c r="B1184" s="8" t="s">
        <v>132</v>
      </c>
      <c r="C1184" s="7" t="s">
        <v>131</v>
      </c>
      <c r="D1184" s="6">
        <v>255000</v>
      </c>
      <c r="E1184" s="5">
        <v>2</v>
      </c>
      <c r="F1184" s="4" t="str">
        <f ca="1">IFERROR(__xludf.DUMMYFUNCTION("LOWER(REGEXREPLACE(B1184&amp;"" ""&amp;C1184,""[^а-яa-z0-9 ]"","" ""))")," узыкальный центр  портативная акустическая система   узыкальный центр  anasonic      410ee   кустическая система предназначена для воспроизведения музыкального и речевого сопровождения в залах и групповых помещениях   спользуется при проведении музыкальн"&amp;"ых занятий  утренников  подвижных игр и мероприятий   онструкция обеспечивает мобильность  устойчивость и удобство перемещения   ксплуатируется взрослыми сотрудниками     ")</f>
        <v xml:space="preserve"> узыкальный центр  портативная акустическая система   узыкальный центр  anasonic      410ee   кустическая система предназначена для воспроизведения музыкального и речевого сопровождения в залах и групповых помещениях   спользуется при проведении музыкальных занятий  утренников  подвижных игр и мероприятий   онструкция обеспечивает мобильность  устойчивость и удобство перемещения   ксплуатируется взрослыми сотрудниками     </v>
      </c>
      <c r="G1184" s="4" t="str">
        <f ca="1">IFERROR(__xludf.DUMMYFUNCTION("TEXTJOIN(""|"",TRUE,UNIQUE(FILTER(SPLIT(F1184,"" ""),LEN(SPLIT(F1184,"" ""))&gt;2)))"),"узыкальный|центр|портативная|акустическая|система|узыкальный|центр|anasonic|410ee|кустическая|система|предназначена|для|воспроизведения|музыкального|речевого|сопровождения|залах|групповых|помещениях|спользуется|при|проведении|музыкальных|занятий|утреннико"&amp;"в|подвижных|игр|мероприятий|онструкция|обеспечивает|мобильность|устойчивость|удобство|перемещения|ксплуатируется|взрослыми|сотрудниками")</f>
        <v>узыкальный|центр|портативная|акустическая|система|узыкальный|центр|anasonic|410ee|кустическая|система|предназначена|для|воспроизведения|музыкального|речевого|сопровождения|залах|групповых|помещениях|спользуется|при|проведении|музыкальных|занятий|утренников|подвижных|игр|мероприятий|онструкция|обеспечивает|мобильность|устойчивость|удобство|перемещения|ксплуатируется|взрослыми|сотрудниками</v>
      </c>
      <c r="I1184" s="1"/>
      <c r="J1184" s="1"/>
    </row>
    <row r="1185" spans="1:10" ht="12.75" x14ac:dyDescent="0.2">
      <c r="A1185" s="8" t="s">
        <v>130</v>
      </c>
      <c r="B1185" s="7" t="s">
        <v>129</v>
      </c>
      <c r="C1185" s="7" t="s">
        <v>128</v>
      </c>
      <c r="D1185" s="6">
        <v>1487200</v>
      </c>
      <c r="E1185" s="5">
        <v>1</v>
      </c>
      <c r="F1185" s="4" t="str">
        <f ca="1">IFERROR(__xludf.DUMMYFUNCTION("LOWER(REGEXREPLACE(B1185&amp;"" ""&amp;C1185,""[^а-яa-z0-9 ]"","" ""))")," ясорубка epa 22t  ромированный   o 22   местимость  400кг  380     ощность  1 1 k    азмеры 36x78x52 см")</f>
        <v xml:space="preserve"> ясорубка epa 22t  ромированный   o 22   местимость  400кг  380     ощность  1 1 k    азмеры 36x78x52 см</v>
      </c>
      <c r="G1185" s="4" t="str">
        <f ca="1">IFERROR(__xludf.DUMMYFUNCTION("TEXTJOIN(""|"",TRUE,UNIQUE(FILTER(SPLIT(F1185,"" ""),LEN(SPLIT(F1185,"" ""))&gt;2)))"),"ясорубка|epa|22t|ромированный|местимость|400кг|380|ощность|азмеры|36x78x52")</f>
        <v>ясорубка|epa|22t|ромированный|местимость|400кг|380|ощность|азмеры|36x78x52</v>
      </c>
      <c r="I1185" s="1"/>
      <c r="J1185" s="1"/>
    </row>
    <row r="1186" spans="1:10" ht="38.25" x14ac:dyDescent="0.2">
      <c r="A1186" s="8" t="s">
        <v>127</v>
      </c>
      <c r="B1186" s="7" t="s">
        <v>126</v>
      </c>
      <c r="C1186" s="7" t="s">
        <v>125</v>
      </c>
      <c r="D1186" s="6">
        <v>5100</v>
      </c>
      <c r="E1186" s="5">
        <v>5</v>
      </c>
      <c r="F1186" s="4" t="str">
        <f ca="1">IFERROR(__xludf.DUMMYFUNCTION("LOWER(REGEXREPLACE(B1186&amp;"" ""&amp;C1186,""[^а-яa-z0-9 ]"","" ""))")," аушники накладные  акладные наушники предназначены для индивидуального прослушивания аудиоматериалов  музыкального сопровождения и обучающих программ под контролем педагога   спользуются в образовательной и коррекционной работе  обеспечивают комфортное и"&amp;" безопасное восприятие звука ")</f>
        <v xml:space="preserve"> аушники накладные  акладные наушники предназначены для индивидуального прослушивания аудиоматериалов  музыкального сопровождения и обучающих программ под контролем педагога   спользуются в образовательной и коррекционной работе  обеспечивают комфортное и безопасное восприятие звука </v>
      </c>
      <c r="G1186" s="4" t="str">
        <f ca="1">IFERROR(__xludf.DUMMYFUNCTION("TEXTJOIN(""|"",TRUE,UNIQUE(FILTER(SPLIT(F1186,"" ""),LEN(SPLIT(F1186,"" ""))&gt;2)))"),"аушники|накладные|акладные|наушники|предназначены|для|индивидуального|прослушивания|аудиоматериалов|музыкального|сопровождения|обучающих|программ|под|контролем|педагога|спользуются|образовательной|коррекционной|работе|обеспечивают|комфортное|безопасное|во"&amp;"сприятие|звука")</f>
        <v>аушники|накладные|акладные|наушники|предназначены|для|индивидуального|прослушивания|аудиоматериалов|музыкального|сопровождения|обучающих|программ|под|контролем|педагога|спользуются|образовательной|коррекционной|работе|обеспечивают|комфортное|безопасное|восприятие|звука</v>
      </c>
      <c r="I1186" s="1"/>
      <c r="J1186" s="1"/>
    </row>
    <row r="1187" spans="1:10" ht="12.75" x14ac:dyDescent="0.2">
      <c r="A1187" s="8" t="s">
        <v>124</v>
      </c>
      <c r="B1187" s="7" t="s">
        <v>123</v>
      </c>
      <c r="C1187" s="7" t="s">
        <v>122</v>
      </c>
      <c r="D1187" s="6">
        <v>732186</v>
      </c>
      <c r="E1187" s="5">
        <v>20</v>
      </c>
      <c r="F1187" s="4" t="str">
        <f ca="1">IFERROR(__xludf.DUMMYFUNCTION("LOWER(REGEXREPLACE(B1187&amp;"" ""&amp;C1187,""[^а-яa-z0-9 ]"","" ""))")," оутбук  оутбук       1502      ore i7 1355  15 6     8   256        ntel            am  11 ro")</f>
        <v xml:space="preserve"> оутбук  оутбук       1502      ore i7 1355  15 6     8   256        ntel            am  11 ro</v>
      </c>
      <c r="G1187" s="4" t="str">
        <f ca="1">IFERROR(__xludf.DUMMYFUNCTION("TEXTJOIN(""|"",TRUE,UNIQUE(FILTER(SPLIT(F1187,"" ""),LEN(SPLIT(F1187,"" ""))&gt;2)))"),"оутбук|оутбук|1502|ore|1355|256|ntel")</f>
        <v>оутбук|оутбук|1502|ore|1355|256|ntel</v>
      </c>
      <c r="I1187" s="1"/>
      <c r="J1187" s="1"/>
    </row>
    <row r="1188" spans="1:10" ht="12.75" x14ac:dyDescent="0.2">
      <c r="A1188" s="8" t="s">
        <v>121</v>
      </c>
      <c r="B1188" s="7" t="s">
        <v>120</v>
      </c>
      <c r="C1188" s="7" t="s">
        <v>119</v>
      </c>
      <c r="D1188" s="6">
        <v>25800</v>
      </c>
      <c r="E1188" s="5">
        <v>4</v>
      </c>
      <c r="F1188" s="4" t="str">
        <f ca="1">IFERROR(__xludf.DUMMYFUNCTION("LOWER(REGEXREPLACE(B1188&amp;"" ""&amp;C1188,""[^а-яa-z0-9 ]"","" ""))")," свещение для вытяжки ce dla90  ержавеющая сталь 430  0 03 к т    араметры  880x30x40 mm")</f>
        <v xml:space="preserve"> свещение для вытяжки ce dla90  ержавеющая сталь 430  0 03 к т    араметры  880x30x40 mm</v>
      </c>
      <c r="G1188" s="4" t="str">
        <f ca="1">IFERROR(__xludf.DUMMYFUNCTION("TEXTJOIN(""|"",TRUE,UNIQUE(FILTER(SPLIT(F1188,"" ""),LEN(SPLIT(F1188,"" ""))&gt;2)))"),"свещение|для|вытяжки|dla90|ержавеющая|сталь|430|араметры|880x30x40")</f>
        <v>свещение|для|вытяжки|dla90|ержавеющая|сталь|430|араметры|880x30x40</v>
      </c>
      <c r="I1188" s="1"/>
      <c r="J1188" s="1"/>
    </row>
    <row r="1189" spans="1:10" ht="12.75" x14ac:dyDescent="0.2">
      <c r="A1189" s="8" t="s">
        <v>118</v>
      </c>
      <c r="B1189" s="7" t="s">
        <v>117</v>
      </c>
      <c r="C1189" s="7" t="s">
        <v>116</v>
      </c>
      <c r="D1189" s="6">
        <v>161900</v>
      </c>
      <c r="E1189" s="5">
        <v>26</v>
      </c>
      <c r="F1189" s="4" t="str">
        <f ca="1">IFERROR(__xludf.DUMMYFUNCTION("LOWER(REGEXREPLACE(B1189&amp;"" ""&amp;C1189,""[^а-яa-z0-9 ]"","" ""))")," чиститель воздуха  чиститель воздуха  martmi  ir  urifier  2 ")</f>
        <v xml:space="preserve"> чиститель воздуха  чиститель воздуха  martmi  ir  urifier  2 </v>
      </c>
      <c r="G1189" s="4" t="str">
        <f ca="1">IFERROR(__xludf.DUMMYFUNCTION("TEXTJOIN(""|"",TRUE,UNIQUE(FILTER(SPLIT(F1189,"" ""),LEN(SPLIT(F1189,"" ""))&gt;2)))"),"чиститель|воздуха|чиститель|воздуха|martmi|urifier")</f>
        <v>чиститель|воздуха|чиститель|воздуха|martmi|urifier</v>
      </c>
      <c r="I1189" s="1"/>
      <c r="J1189" s="1"/>
    </row>
    <row r="1190" spans="1:10" ht="12.75" x14ac:dyDescent="0.2">
      <c r="A1190" s="8" t="s">
        <v>115</v>
      </c>
      <c r="B1190" s="7" t="s">
        <v>114</v>
      </c>
      <c r="C1190" s="7" t="s">
        <v>113</v>
      </c>
      <c r="D1190" s="6">
        <v>542300</v>
      </c>
      <c r="E1190" s="5">
        <v>1</v>
      </c>
      <c r="F1190" s="4" t="str">
        <f ca="1">IFERROR(__xludf.DUMMYFUNCTION("LOWER(REGEXREPLACE(B1190&amp;"" ""&amp;C1190,""[^а-яa-z0-9 ]"","" ""))")," арогенератор с утюгом baby 1 8  учная подача воды   бъем  1 8 л  230 1 50  ц   азмеры  400x230x320 мм")</f>
        <v xml:space="preserve"> арогенератор с утюгом baby 1 8  учная подача воды   бъем  1 8 л  230 1 50  ц   азмеры  400x230x320 мм</v>
      </c>
      <c r="G1190" s="4" t="str">
        <f ca="1">IFERROR(__xludf.DUMMYFUNCTION("TEXTJOIN(""|"",TRUE,UNIQUE(FILTER(SPLIT(F1190,"" ""),LEN(SPLIT(F1190,"" ""))&gt;2)))"),"арогенератор|утюгом|baby|учная|подача|воды|бъем|230|азмеры|400x230x320")</f>
        <v>арогенератор|утюгом|baby|учная|подача|воды|бъем|230|азмеры|400x230x320</v>
      </c>
      <c r="I1190" s="1"/>
      <c r="J1190" s="1"/>
    </row>
    <row r="1191" spans="1:10" ht="38.25" x14ac:dyDescent="0.2">
      <c r="A1191" s="8" t="s">
        <v>112</v>
      </c>
      <c r="B1191" s="7" t="s">
        <v>111</v>
      </c>
      <c r="C1191" s="7" t="s">
        <v>110</v>
      </c>
      <c r="D1191" s="6">
        <v>12790000</v>
      </c>
      <c r="E1191" s="5">
        <v>1</v>
      </c>
      <c r="F1191" s="4" t="str">
        <f ca="1">IFERROR(__xludf.DUMMYFUNCTION("LOWER(REGEXREPLACE(B1191&amp;"" ""&amp;C1191,""[^а-яa-z0-9 ]"","" ""))")," ароконвектомат электрический 217839  ароконвектомат  ky ine  remium  бойлерный    цифровой панелью управления   а 10 уровней    1 1   рограммируемый   строенная система мойки   азмеры  867x775x1058 мм   ощность  19 к т  380 415   3  50 60  ц")</f>
        <v xml:space="preserve"> ароконвектомат электрический 217839  ароконвектомат  ky ine  remium  бойлерный    цифровой панелью управления   а 10 уровней    1 1   рограммируемый   строенная система мойки   азмеры  867x775x1058 мм   ощность  19 к т  380 415   3  50 60  ц</v>
      </c>
      <c r="G1191" s="4" t="str">
        <f ca="1">IFERROR(__xludf.DUMMYFUNCTION("TEXTJOIN(""|"",TRUE,UNIQUE(FILTER(SPLIT(F1191,"" ""),LEN(SPLIT(F1191,"" ""))&gt;2)))"),"ароконвектомат|электрический|217839|ароконвектомат|ine|remium|бойлерный|цифровой|панелью|управления|уровней|рограммируемый|строенная|система|мойки|азмеры|867x775x1058|ощность|380|415")</f>
        <v>ароконвектомат|электрический|217839|ароконвектомат|ine|remium|бойлерный|цифровой|панелью|управления|уровней|рограммируемый|строенная|система|мойки|азмеры|867x775x1058|ощность|380|415</v>
      </c>
      <c r="I1191" s="1"/>
      <c r="J1191" s="1"/>
    </row>
    <row r="1192" spans="1:10" ht="12.75" x14ac:dyDescent="0.2">
      <c r="A1192" s="8" t="s">
        <v>109</v>
      </c>
      <c r="B1192" s="7" t="s">
        <v>108</v>
      </c>
      <c r="C1192" s="7" t="s">
        <v>107</v>
      </c>
      <c r="D1192" s="6">
        <v>2021600</v>
      </c>
      <c r="E1192" s="5">
        <v>2</v>
      </c>
      <c r="F1192" s="4" t="str">
        <f ca="1">IFERROR(__xludf.DUMMYFUNCTION("LOWER(REGEXREPLACE(B1192&amp;"" ""&amp;C1192,""[^а-яa-z0-9 ]"","" ""))")," лита электрическая vpe7 07 6 конфорок  0 84 м3   ощность  15 6 к т 400     абариты  1200х700х300 мм")</f>
        <v xml:space="preserve"> лита электрическая vpe7 07 6 конфорок  0 84 м3   ощность  15 6 к т 400     абариты  1200х700х300 мм</v>
      </c>
      <c r="G1192" s="4" t="str">
        <f ca="1">IFERROR(__xludf.DUMMYFUNCTION("TEXTJOIN(""|"",TRUE,UNIQUE(FILTER(SPLIT(F1192,"" ""),LEN(SPLIT(F1192,"" ""))&gt;2)))"),"лита|электрическая|vpe7|конфорок|ощность|400|абариты|1200х700х300")</f>
        <v>лита|электрическая|vpe7|конфорок|ощность|400|абариты|1200х700х300</v>
      </c>
      <c r="I1192" s="1"/>
      <c r="J1192" s="1"/>
    </row>
    <row r="1193" spans="1:10" ht="38.25" x14ac:dyDescent="0.2">
      <c r="A1193" s="8" t="s">
        <v>106</v>
      </c>
      <c r="B1193" s="7" t="s">
        <v>105</v>
      </c>
      <c r="C1193" s="7" t="s">
        <v>104</v>
      </c>
      <c r="D1193" s="6">
        <v>2129700</v>
      </c>
      <c r="E1193" s="5">
        <v>1</v>
      </c>
      <c r="F1193" s="4" t="str">
        <f ca="1">IFERROR(__xludf.DUMMYFUNCTION("LOWER(REGEXREPLACE(B1193&amp;"" ""&amp;C1193,""[^а-яa-z0-9 ]"","" ""))")," осудомоечная машина купольная wz 100 d   орпус  передняя и боковые панели  моечный бак изготовлены из нержавеющей стали 18 10   тандартное оборудование  ополаскивающий насос  операционная система 24    сливной насос   орзина  50х50 см  3 программы   родо"&amp;"лжительность программ  1  1 5 и 2 мин    роизводительность  1000 тарелок час  40 корзин час")</f>
        <v xml:space="preserve"> осудомоечная машина купольная wz 100 d   орпус  передняя и боковые панели  моечный бак изготовлены из нержавеющей стали 18 10   тандартное оборудование  ополаскивающий насос  операционная система 24    сливной насос   орзина  50х50 см  3 программы   родолжительность программ  1  1 5 и 2 мин    роизводительность  1000 тарелок час  40 корзин час</v>
      </c>
      <c r="G1193" s="4" t="str">
        <f ca="1">IFERROR(__xludf.DUMMYFUNCTION("TEXTJOIN(""|"",TRUE,UNIQUE(FILTER(SPLIT(F1193,"" ""),LEN(SPLIT(F1193,"" ""))&gt;2)))"),"осудомоечная|машина|купольная|100|орпус|передняя|боковые|панели|моечный|бак|изготовлены|нержавеющей|стали|тандартное|оборудование|ополаскивающий|насос|операционная|система|сливной|насос|орзина|50х50|программы|родолжительность|программ|мин|роизводительност"&amp;"ь|1000|тарелок|час|корзин|час")</f>
        <v>осудомоечная|машина|купольная|100|орпус|передняя|боковые|панели|моечный|бак|изготовлены|нержавеющей|стали|тандартное|оборудование|ополаскивающий|насос|операционная|система|сливной|насос|орзина|50х50|программы|родолжительность|программ|мин|роизводительность|1000|тарелок|час|корзин|час</v>
      </c>
      <c r="I1193" s="1"/>
      <c r="J1193" s="1"/>
    </row>
    <row r="1194" spans="1:10" ht="12.75" x14ac:dyDescent="0.2">
      <c r="A1194" s="8" t="s">
        <v>103</v>
      </c>
      <c r="B1194" s="7" t="s">
        <v>102</v>
      </c>
      <c r="C1194" s="9" t="s">
        <v>101</v>
      </c>
      <c r="D1194" s="6">
        <v>153106</v>
      </c>
      <c r="E1194" s="5">
        <v>13</v>
      </c>
      <c r="F1194" s="4" t="str">
        <f ca="1">IFERROR(__xludf.DUMMYFUNCTION("LOWER(REGEXREPLACE(B1194&amp;"" ""&amp;C1194,""[^а-яa-z0-9 ]"","" ""))")," ылесос  ылесос индустриальный")</f>
        <v xml:space="preserve"> ылесос  ылесос индустриальный</v>
      </c>
      <c r="G1194" s="4" t="str">
        <f ca="1">IFERROR(__xludf.DUMMYFUNCTION("TEXTJOIN(""|"",TRUE,UNIQUE(FILTER(SPLIT(F1194,"" ""),LEN(SPLIT(F1194,"" ""))&gt;2)))"),"ылесос|ылесос|индустриальный")</f>
        <v>ылесос|ылесос|индустриальный</v>
      </c>
      <c r="I1194" s="1"/>
      <c r="J1194" s="1"/>
    </row>
    <row r="1195" spans="1:10" ht="25.5" x14ac:dyDescent="0.2">
      <c r="A1195" s="8" t="s">
        <v>100</v>
      </c>
      <c r="B1195" s="7" t="s">
        <v>99</v>
      </c>
      <c r="C1195" s="7" t="s">
        <v>98</v>
      </c>
      <c r="D1195" s="6">
        <v>88400</v>
      </c>
      <c r="E1195" s="5">
        <v>45</v>
      </c>
      <c r="F1195" s="4" t="str">
        <f ca="1">IFERROR(__xludf.DUMMYFUNCTION("LOWER(REGEXREPLACE(B1195&amp;"" ""&amp;C1195,""[^а-яa-z0-9 ]"","" ""))")," ециркулятор                                         2х15     825х155х130мм  без подставки   асса без упаковки  кг  7")</f>
        <v xml:space="preserve"> ециркулятор                                         2х15     825х155х130мм  без подставки   асса без упаковки  кг  7</v>
      </c>
      <c r="G1195" s="4" t="str">
        <f ca="1">IFERROR(__xludf.DUMMYFUNCTION("TEXTJOIN(""|"",TRUE,UNIQUE(FILTER(SPLIT(F1195,"" ""),LEN(SPLIT(F1195,"" ""))&gt;2)))"),"ециркулятор|2х15|825х155х130мм|без|подставки|асса|без|упаковки")</f>
        <v>ециркулятор|2х15|825х155х130мм|без|подставки|асса|без|упаковки</v>
      </c>
      <c r="I1195" s="1"/>
      <c r="J1195" s="1"/>
    </row>
    <row r="1196" spans="1:10" ht="12.75" x14ac:dyDescent="0.2">
      <c r="A1196" s="8" t="s">
        <v>97</v>
      </c>
      <c r="B1196" s="7" t="s">
        <v>96</v>
      </c>
      <c r="C1196" s="7" t="s">
        <v>95</v>
      </c>
      <c r="D1196" s="6">
        <v>5415</v>
      </c>
      <c r="E1196" s="5">
        <v>60</v>
      </c>
      <c r="F1196" s="4" t="str">
        <f ca="1">IFERROR(__xludf.DUMMYFUNCTION("LOWER(REGEXREPLACE(B1196&amp;"" ""&amp;C1196,""[^а-яa-z0-9 ]"","" ""))")," етевой фильтр 5 м   етевой фильтр  rip  ite  uper 6      6 розеток  5м")</f>
        <v xml:space="preserve"> етевой фильтр 5 м   етевой фильтр  rip  ite  uper 6      6 розеток  5м</v>
      </c>
      <c r="G1196" s="4" t="str">
        <f ca="1">IFERROR(__xludf.DUMMYFUNCTION("TEXTJOIN(""|"",TRUE,UNIQUE(FILTER(SPLIT(F1196,"" ""),LEN(SPLIT(F1196,"" ""))&gt;2)))"),"етевой|фильтр|етевой|фильтр|rip|ite|uper|розеток")</f>
        <v>етевой|фильтр|етевой|фильтр|rip|ite|uper|розеток</v>
      </c>
      <c r="I1196" s="1"/>
      <c r="J1196" s="1"/>
    </row>
    <row r="1197" spans="1:10" ht="25.5" x14ac:dyDescent="0.2">
      <c r="A1197" s="8" t="s">
        <v>94</v>
      </c>
      <c r="B1197" s="7" t="s">
        <v>93</v>
      </c>
      <c r="C1197" s="7" t="s">
        <v>92</v>
      </c>
      <c r="D1197" s="6">
        <v>3143000</v>
      </c>
      <c r="E1197" s="5">
        <v>1</v>
      </c>
      <c r="F1197" s="4" t="str">
        <f ca="1">IFERROR(__xludf.DUMMYFUNCTION("LOWER(REGEXREPLACE(B1197&amp;"" ""&amp;C1197,""[^а-яa-z0-9 ]"","" ""))")," коворода опрокидываемая электрическая vpe7 22  емпература  50 230     бъем  50 л    ощность  7 2 к т   апряжение  400     абариты  700x800x850 мм")</f>
        <v xml:space="preserve"> коворода опрокидываемая электрическая vpe7 22  емпература  50 230     бъем  50 л    ощность  7 2 к т   апряжение  400     абариты  700x800x850 мм</v>
      </c>
      <c r="G1197" s="4" t="str">
        <f ca="1">IFERROR(__xludf.DUMMYFUNCTION("TEXTJOIN(""|"",TRUE,UNIQUE(FILTER(SPLIT(F1197,"" ""),LEN(SPLIT(F1197,"" ""))&gt;2)))"),"коворода|опрокидываемая|электрическая|vpe7|емпература|230|бъем|ощность|апряжение|400|абариты|700x800x850")</f>
        <v>коворода|опрокидываемая|электрическая|vpe7|емпература|230|бъем|ощность|апряжение|400|абариты|700x800x850</v>
      </c>
      <c r="I1197" s="1"/>
      <c r="J1197" s="1"/>
    </row>
    <row r="1198" spans="1:10" ht="25.5" x14ac:dyDescent="0.2">
      <c r="A1198" s="8" t="s">
        <v>91</v>
      </c>
      <c r="B1198" s="7" t="s">
        <v>90</v>
      </c>
      <c r="C1198" s="7" t="s">
        <v>89</v>
      </c>
      <c r="D1198" s="6">
        <v>919100</v>
      </c>
      <c r="E1198" s="5">
        <v>1</v>
      </c>
      <c r="F1198" s="4" t="str">
        <f ca="1">IFERROR(__xludf.DUMMYFUNCTION("LOWER(REGEXREPLACE(B1198&amp;"" ""&amp;C1198,""[^а-яa-z0-9 ]"","" ""))")," лайсер jp gd 250  орпус из нержавеющей стали   зготовлен из анодированного алюминия   иаметр лезвия  250 мм   лектрическое подключение  220     50  ц   ощность  0 24 к т   азмеры  535x475x490 мм")</f>
        <v xml:space="preserve"> лайсер jp gd 250  орпус из нержавеющей стали   зготовлен из анодированного алюминия   иаметр лезвия  250 мм   лектрическое подключение  220     50  ц   ощность  0 24 к т   азмеры  535x475x490 мм</v>
      </c>
      <c r="G1198" s="4" t="str">
        <f ca="1">IFERROR(__xludf.DUMMYFUNCTION("TEXTJOIN(""|"",TRUE,UNIQUE(FILTER(SPLIT(F1198,"" ""),LEN(SPLIT(F1198,"" ""))&gt;2)))"),"лайсер|250|орпус|нержавеющей|стали|зготовлен|анодированного|алюминия|иаметр|лезвия|250|лектрическое|подключение|220|ощность|азмеры|535x475x490")</f>
        <v>лайсер|250|орпус|нержавеющей|стали|зготовлен|анодированного|алюминия|иаметр|лезвия|250|лектрическое|подключение|220|ощность|азмеры|535x475x490</v>
      </c>
      <c r="I1198" s="1"/>
      <c r="J1198" s="1"/>
    </row>
    <row r="1199" spans="1:10" ht="12.75" x14ac:dyDescent="0.2">
      <c r="A1199" s="8" t="s">
        <v>88</v>
      </c>
      <c r="B1199" s="7" t="s">
        <v>87</v>
      </c>
      <c r="C1199" s="7" t="s">
        <v>86</v>
      </c>
      <c r="D1199" s="6">
        <v>231000</v>
      </c>
      <c r="E1199" s="5">
        <v>3</v>
      </c>
      <c r="F1199" s="4" t="str">
        <f ca="1">IFERROR(__xludf.DUMMYFUNCTION("LOWER(REGEXREPLACE(B1199&amp;"" ""&amp;C1199,""[^а-яa-z0-9 ]"","" ""))")," терилизатор ножей vbs 10  местимость  10 ножей  0 02 к т   230     льтрафиолет   аймер 0 90 мин   азмеры  500x117x600мм")</f>
        <v xml:space="preserve"> терилизатор ножей vbs 10  местимость  10 ножей  0 02 к т   230     льтрафиолет   аймер 0 90 мин   азмеры  500x117x600мм</v>
      </c>
      <c r="G1199" s="4" t="str">
        <f ca="1">IFERROR(__xludf.DUMMYFUNCTION("TEXTJOIN(""|"",TRUE,UNIQUE(FILTER(SPLIT(F1199,"" ""),LEN(SPLIT(F1199,"" ""))&gt;2)))"),"терилизатор|ножей|vbs|местимость|ножей|230|льтрафиолет|аймер|мин|азмеры|500x117x600мм")</f>
        <v>терилизатор|ножей|vbs|местимость|ножей|230|льтрафиолет|аймер|мин|азмеры|500x117x600мм</v>
      </c>
      <c r="I1199" s="1"/>
      <c r="J1199" s="1"/>
    </row>
    <row r="1200" spans="1:10" ht="51" x14ac:dyDescent="0.2">
      <c r="A1200" s="8" t="s">
        <v>85</v>
      </c>
      <c r="B1200" s="7" t="s">
        <v>84</v>
      </c>
      <c r="C1200" s="7" t="s">
        <v>83</v>
      </c>
      <c r="D1200" s="6">
        <v>676600</v>
      </c>
      <c r="E1200" s="5">
        <v>1</v>
      </c>
      <c r="F1200" s="4" t="str">
        <f ca="1">IFERROR(__xludf.DUMMYFUNCTION("LOWER(REGEXREPLACE(B1200&amp;"" ""&amp;C1200,""[^а-яa-z0-9 ]"","" ""))")," еговая дорожка электрическая  еговая дорожка  orneo  agic   400   используется для выполнения ходьбы и бега в помещении   снащена электрическим приводом с регулировкой скорости движения полотна от 1 до 10 км ч   азмер бегового полотна составляет не менее"&amp;" 94 38 см   редусмотрена регулировка угла наклона и складная конструкция   ассчитана на пользователей с массой тела до 90 кг ")</f>
        <v xml:space="preserve"> еговая дорожка электрическая  еговая дорожка  orneo  agic   400   используется для выполнения ходьбы и бега в помещении   снащена электрическим приводом с регулировкой скорости движения полотна от 1 до 10 км ч   азмер бегового полотна составляет не менее 94 38 см   редусмотрена регулировка угла наклона и складная конструкция   ассчитана на пользователей с массой тела до 90 кг </v>
      </c>
      <c r="G1200" s="4" t="str">
        <f ca="1">IFERROR(__xludf.DUMMYFUNCTION("TEXTJOIN(""|"",TRUE,UNIQUE(FILTER(SPLIT(F1200,"" ""),LEN(SPLIT(F1200,"" ""))&gt;2)))"),"еговая|дорожка|электрическая|еговая|дорожка|orneo|agic|400|используется|для|выполнения|ходьбы|бега|помещении|снащена|электрическим|приводом|регулировкой|скорости|движения|полотна|азмер|бегового|полотна|составляет|менее|редусмотрена|регулировка|угла|наклон"&amp;"а|складная|конструкция|ассчитана|пользователей|массой|тела")</f>
        <v>еговая|дорожка|электрическая|еговая|дорожка|orneo|agic|400|используется|для|выполнения|ходьбы|бега|помещении|снащена|электрическим|приводом|регулировкой|скорости|движения|полотна|азмер|бегового|полотна|составляет|менее|редусмотрена|регулировка|угла|наклона|складная|конструкция|ассчитана|пользователей|массой|тела</v>
      </c>
      <c r="I1200" s="1"/>
      <c r="J1200" s="1"/>
    </row>
    <row r="1201" spans="1:10" ht="25.5" x14ac:dyDescent="0.2">
      <c r="A1201" s="8" t="s">
        <v>82</v>
      </c>
      <c r="B1201" s="7" t="s">
        <v>81</v>
      </c>
      <c r="C1201" s="7"/>
      <c r="D1201" s="6">
        <v>7357700</v>
      </c>
      <c r="E1201" s="5">
        <v>1</v>
      </c>
      <c r="F1201" s="4" t="str">
        <f ca="1">IFERROR(__xludf.DUMMYFUNCTION("LOWER(REGEXREPLACE(B1201&amp;"" ""&amp;C1201,""[^а-яa-z0-9 ]"","" ""))")," тиральная машина   сушильная машина qps10 ")</f>
        <v xml:space="preserve"> тиральная машина   сушильная машина qps10 </v>
      </c>
      <c r="G1201" s="4" t="str">
        <f ca="1">IFERROR(__xludf.DUMMYFUNCTION("TEXTJOIN(""|"",TRUE,UNIQUE(FILTER(SPLIT(F1201,"" ""),LEN(SPLIT(F1201,"" ""))&gt;2)))"),"тиральная|машина|сушильная|машина|qps10")</f>
        <v>тиральная|машина|сушильная|машина|qps10</v>
      </c>
      <c r="I1201" s="1"/>
      <c r="J1201" s="1"/>
    </row>
    <row r="1202" spans="1:10" ht="38.25" x14ac:dyDescent="0.2">
      <c r="A1202" s="8" t="s">
        <v>80</v>
      </c>
      <c r="B1202" s="7" t="s">
        <v>79</v>
      </c>
      <c r="C1202" s="7" t="s">
        <v>78</v>
      </c>
      <c r="D1202" s="6">
        <v>18428500</v>
      </c>
      <c r="E1202" s="5">
        <v>1</v>
      </c>
      <c r="F1202" s="4" t="str">
        <f ca="1">IFERROR(__xludf.DUMMYFUNCTION("LOWER(REGEXREPLACE(B1202&amp;"" ""&amp;C1202,""[^а-яa-z0-9 ]"","" ""))")," тиральная машина fx 240  местимость   1 09  27 кг   1 10  24 кг   бъем барабана  240 л     актор  400   иаметр барабана  750 mm   бороты стирки  42 rpm   бороты отжима  980 rpm  100  горячая вода нагрев  90     лектрический нагрев  18  w  380 415  50 60 "&amp;"z 3 h  ")</f>
        <v xml:space="preserve"> тиральная машина fx 240  местимость   1 09  27 кг   1 10  24 кг   бъем барабана  240 л     актор  400   иаметр барабана  750 mm   бороты стирки  42 rpm   бороты отжима  980 rpm  100  горячая вода нагрев  90     лектрический нагрев  18  w  380 415  50 60 z 3 h  </v>
      </c>
      <c r="G1202" s="4" t="str">
        <f ca="1">IFERROR(__xludf.DUMMYFUNCTION("TEXTJOIN(""|"",TRUE,UNIQUE(FILTER(SPLIT(F1202,"" ""),LEN(SPLIT(F1202,"" ""))&gt;2)))"),"тиральная|машина|240|местимость|бъем|барабана|240|актор|400|иаметр|барабана|750|бороты|стирки|rpm|бороты|отжима|980|rpm|100|горячая|вода|нагрев|лектрический|нагрев|380|415")</f>
        <v>тиральная|машина|240|местимость|бъем|барабана|240|актор|400|иаметр|барабана|750|бороты|стирки|rpm|бороты|отжима|980|rpm|100|горячая|вода|нагрев|лектрический|нагрев|380|415</v>
      </c>
      <c r="I1202" s="1"/>
      <c r="J1202" s="1"/>
    </row>
    <row r="1203" spans="1:10" ht="38.25" x14ac:dyDescent="0.2">
      <c r="A1203" s="8" t="s">
        <v>77</v>
      </c>
      <c r="B1203" s="7" t="s">
        <v>76</v>
      </c>
      <c r="C1203" s="7" t="s">
        <v>75</v>
      </c>
      <c r="D1203" s="6">
        <v>6783700</v>
      </c>
      <c r="E1203" s="5">
        <v>1</v>
      </c>
      <c r="F1203" s="4" t="str">
        <f ca="1">IFERROR(__xludf.DUMMYFUNCTION("LOWER(REGEXREPLACE(B1203&amp;"" ""&amp;C1203,""[^а-яa-z0-9 ]"","" ""))")," ушильная машина t 24  местимость   1 18  25 кг   1 22  24 кг  бъем барабана  530 л   иаметр барабана  930 мм   редняя скорость сушки  0 384 л мин   лектрическая мощность  30 36 к т  380 415   50 60  ц 3 фазы   азмеры  1975x965x1270 мм")</f>
        <v xml:space="preserve"> ушильная машина t 24  местимость   1 18  25 кг   1 22  24 кг  бъем барабана  530 л   иаметр барабана  930 мм   редняя скорость сушки  0 384 л мин   лектрическая мощность  30 36 к т  380 415   50 60  ц 3 фазы   азмеры  1975x965x1270 мм</v>
      </c>
      <c r="G1203" s="4" t="str">
        <f ca="1">IFERROR(__xludf.DUMMYFUNCTION("TEXTJOIN(""|"",TRUE,UNIQUE(FILTER(SPLIT(F1203,"" ""),LEN(SPLIT(F1203,"" ""))&gt;2)))"),"ушильная|машина|местимость|бъем|барабана|530|иаметр|барабана|930|редняя|скорость|сушки|384|мин|лектрическая|мощность|380|415|фазы|азмеры|1975x965x1270")</f>
        <v>ушильная|машина|местимость|бъем|барабана|530|иаметр|барабана|930|редняя|скорость|сушки|384|мин|лектрическая|мощность|380|415|фазы|азмеры|1975x965x1270</v>
      </c>
      <c r="I1203" s="1"/>
      <c r="J1203" s="1"/>
    </row>
    <row r="1204" spans="1:10" ht="38.25" x14ac:dyDescent="0.2">
      <c r="A1204" s="8" t="s">
        <v>74</v>
      </c>
      <c r="B1204" s="7" t="s">
        <v>73</v>
      </c>
      <c r="C1204" s="7" t="s">
        <v>72</v>
      </c>
      <c r="D1204" s="6">
        <v>15624600</v>
      </c>
      <c r="E1204" s="5">
        <v>1</v>
      </c>
      <c r="F1204" s="4" t="str">
        <f ca="1">IFERROR(__xludf.DUMMYFUNCTION("LOWER(REGEXREPLACE(B1204&amp;"" ""&amp;C1204,""[^а-яa-z0-9 ]"","" ""))")," ушильно гладильная машина i33 200  иаметр вала  320 мм   лина вала  2080 мм   лектрический нагрев  380 415  50 60 z 3 h     лектрический нагрев  27 9 к т   ощность двигателя вала  0 18 к т   ощность двигателя вентилятора  0 08  50 z  к т   агрузка  70 кг"&amp;" ч")</f>
        <v xml:space="preserve"> ушильно гладильная машина i33 200  иаметр вала  320 мм   лина вала  2080 мм   лектрический нагрев  380 415  50 60 z 3 h     лектрический нагрев  27 9 к т   ощность двигателя вала  0 18 к т   ощность двигателя вентилятора  0 08  50 z  к т   агрузка  70 кг ч</v>
      </c>
      <c r="G1204" s="4" t="str">
        <f ca="1">IFERROR(__xludf.DUMMYFUNCTION("TEXTJOIN(""|"",TRUE,UNIQUE(FILTER(SPLIT(F1204,"" ""),LEN(SPLIT(F1204,"" ""))&gt;2)))"),"ушильно|гладильная|машина|i33|200|иаметр|вала|320|лина|вала|2080|лектрический|нагрев|380|415|лектрический|нагрев|ощность|двигателя|вала|ощность|двигателя|вентилятора|агрузка")</f>
        <v>ушильно|гладильная|машина|i33|200|иаметр|вала|320|лина|вала|2080|лектрический|нагрев|380|415|лектрический|нагрев|ощность|двигателя|вала|ощность|двигателя|вентилятора|агрузка</v>
      </c>
      <c r="I1204" s="1"/>
      <c r="J1204" s="1"/>
    </row>
    <row r="1205" spans="1:10" ht="25.5" x14ac:dyDescent="0.2">
      <c r="A1205" s="8" t="s">
        <v>71</v>
      </c>
      <c r="B1205" s="7" t="s">
        <v>70</v>
      </c>
      <c r="C1205" s="7" t="s">
        <v>69</v>
      </c>
      <c r="D1205" s="6">
        <v>1487200</v>
      </c>
      <c r="E1205" s="5">
        <v>1</v>
      </c>
      <c r="F1205" s="4" t="str">
        <f ca="1">IFERROR(__xludf.DUMMYFUNCTION("LOWER(REGEXREPLACE(B1205&amp;"" ""&amp;C1205,""[^а-яa-z0-9 ]"","" ""))")," естомес hym 600t  местимость  мука вода   25 кг   20 л   отел  o600x290 мм   азмеры  70x100x104 см  380     рехфазный    ощность  1 1 к т")</f>
        <v xml:space="preserve"> естомес hym 600t  местимость  мука вода   25 кг   20 л   отел  o600x290 мм   азмеры  70x100x104 см  380     рехфазный    ощность  1 1 к т</v>
      </c>
      <c r="G1205" s="4" t="str">
        <f ca="1">IFERROR(__xludf.DUMMYFUNCTION("TEXTJOIN(""|"",TRUE,UNIQUE(FILTER(SPLIT(F1205,"" ""),LEN(SPLIT(F1205,"" ""))&gt;2)))"),"естомес|hym|600t|местимость|мука|вода|отел|o600x290|азмеры|70x100x104|380|рехфазный|ощность")</f>
        <v>естомес|hym|600t|местимость|мука|вода|отел|o600x290|азмеры|70x100x104|380|рехфазный|ощность</v>
      </c>
      <c r="I1205" s="1"/>
      <c r="J1205" s="1"/>
    </row>
    <row r="1206" spans="1:10" ht="12.75" x14ac:dyDescent="0.2">
      <c r="A1206" s="8" t="s">
        <v>68</v>
      </c>
      <c r="B1206" s="7" t="s">
        <v>67</v>
      </c>
      <c r="C1206" s="7" t="s">
        <v>66</v>
      </c>
      <c r="D1206" s="6">
        <v>136000</v>
      </c>
      <c r="E1206" s="5">
        <v>26</v>
      </c>
      <c r="F1206" s="4" t="str">
        <f ca="1">IFERROR(__xludf.DUMMYFUNCTION("LOWER(REGEXREPLACE(B1206&amp;"" ""&amp;C1206,""[^а-яa-z0-9 ]"","" ""))")," влажнитель воздуха  влажнитель воздуха  edmond     3316")</f>
        <v xml:space="preserve"> влажнитель воздуха  влажнитель воздуха  edmond     3316</v>
      </c>
      <c r="G1206" s="4" t="str">
        <f ca="1">IFERROR(__xludf.DUMMYFUNCTION("TEXTJOIN(""|"",TRUE,UNIQUE(FILTER(SPLIT(F1206,"" ""),LEN(SPLIT(F1206,"" ""))&gt;2)))"),"влажнитель|воздуха|влажнитель|воздуха|edmond|3316")</f>
        <v>влажнитель|воздуха|влажнитель|воздуха|edmond|3316</v>
      </c>
      <c r="I1206" s="1"/>
      <c r="J1206" s="1"/>
    </row>
    <row r="1207" spans="1:10" ht="51" x14ac:dyDescent="0.2">
      <c r="A1207" s="8" t="s">
        <v>65</v>
      </c>
      <c r="B1207" s="7" t="s">
        <v>64</v>
      </c>
      <c r="C1207" s="7" t="s">
        <v>63</v>
      </c>
      <c r="D1207" s="6">
        <v>153000</v>
      </c>
      <c r="E1207" s="5">
        <v>1</v>
      </c>
      <c r="F1207" s="4" t="str">
        <f ca="1">IFERROR(__xludf.DUMMYFUNCTION("LOWER(REGEXREPLACE(B1207&amp;"" ""&amp;C1207,""[^а-яa-z0-9 ]"","" ""))")," ничтожитель документов  стройство предназначено для уничтожения бумажных документов с целью защиты конфиденциальной информации   спользуется в административных и служебных помещениях дошкольного учреждения   беспечивает механическое измельчение бумаги  п"&amp;"одходит для регулярного офисного использования   онструкция безопасна в эксплуатации  проста в обслуживании  размещается в рабочей зоне персонала ")</f>
        <v xml:space="preserve"> ничтожитель документов  стройство предназначено для уничтожения бумажных документов с целью защиты конфиденциальной информации   спользуется в административных и служебных помещениях дошкольного учреждения   беспечивает механическое измельчение бумаги  подходит для регулярного офисного использования   онструкция безопасна в эксплуатации  проста в обслуживании  размещается в рабочей зоне персонала </v>
      </c>
      <c r="G1207" s="4" t="str">
        <f ca="1">IFERROR(__xludf.DUMMYFUNCTION("TEXTJOIN(""|"",TRUE,UNIQUE(FILTER(SPLIT(F1207,"" ""),LEN(SPLIT(F1207,"" ""))&gt;2)))"),"ничтожитель|документов|стройство|предназначено|для|уничтожения|бумажных|документов|целью|защиты|конфиденциальной|информации|спользуется|административных|служебных|помещениях|дошкольного|учреждения|беспечивает|механическое|измельчение|бумаги|подходит|для|р"&amp;"егулярного|офисного|использования|онструкция|безопасна|эксплуатации|проста|обслуживании|размещается|рабочей|зоне|персонала")</f>
        <v>ничтожитель|документов|стройство|предназначено|для|уничтожения|бумажных|документов|целью|защиты|конфиденциальной|информации|спользуется|административных|служебных|помещениях|дошкольного|учреждения|беспечивает|механическое|измельчение|бумаги|подходит|для|регулярного|офисного|использования|онструкция|безопасна|эксплуатации|проста|обслуживании|размещается|рабочей|зоне|персонала</v>
      </c>
      <c r="I1207" s="1"/>
      <c r="J1207" s="1"/>
    </row>
    <row r="1208" spans="1:10" ht="25.5" x14ac:dyDescent="0.2">
      <c r="A1208" s="8" t="s">
        <v>62</v>
      </c>
      <c r="B1208" s="7" t="s">
        <v>61</v>
      </c>
      <c r="C1208" s="7" t="s">
        <v>60</v>
      </c>
      <c r="D1208" s="6">
        <v>290500</v>
      </c>
      <c r="E1208" s="5">
        <v>2</v>
      </c>
      <c r="F1208" s="4" t="str">
        <f ca="1">IFERROR(__xludf.DUMMYFUNCTION("LOWER(REGEXREPLACE(B1208&amp;"" ""&amp;C1208,""[^а-яa-z0-9 ]"","" ""))")," ничтожитель насекомых kp 40  ешетчатая система  220     50  ц с 2 короткими лампами по 20  т   отребляет 0 04 к т электроэнергии на 40  т   лощадь воздействия 40 м2   азмеры  700 x 215 x 390 мм ")</f>
        <v xml:space="preserve"> ничтожитель насекомых kp 40  ешетчатая система  220     50  ц с 2 короткими лампами по 20  т   отребляет 0 04 к т электроэнергии на 40  т   лощадь воздействия 40 м2   азмеры  700 x 215 x 390 мм </v>
      </c>
      <c r="G1208" s="4" t="str">
        <f ca="1">IFERROR(__xludf.DUMMYFUNCTION("TEXTJOIN(""|"",TRUE,UNIQUE(FILTER(SPLIT(F1208,"" ""),LEN(SPLIT(F1208,"" ""))&gt;2)))"),"ничтожитель|насекомых|ешетчатая|система|220|короткими|лампами|отребляет|электроэнергии|лощадь|воздействия|азмеры|700|215|390")</f>
        <v>ничтожитель|насекомых|ешетчатая|система|220|короткими|лампами|отребляет|электроэнергии|лощадь|воздействия|азмеры|700|215|390</v>
      </c>
      <c r="I1208" s="1"/>
      <c r="J1208" s="1"/>
    </row>
    <row r="1209" spans="1:10" ht="89.25" x14ac:dyDescent="0.2">
      <c r="A1209" s="8" t="s">
        <v>59</v>
      </c>
      <c r="B1209" s="7" t="s">
        <v>58</v>
      </c>
      <c r="C1209" s="7" t="s">
        <v>57</v>
      </c>
      <c r="D1209" s="6">
        <v>136000</v>
      </c>
      <c r="E1209" s="5">
        <v>2</v>
      </c>
      <c r="F1209" s="4" t="str">
        <f ca="1">IFERROR(__xludf.DUMMYFUNCTION("LOWER(REGEXREPLACE(B1209&amp;"" ""&amp;C1209,""[^а-яa-z0-9 ]"","" ""))")," еспроводная микрофонная система для музыкального зала  еспроводная микрофонная система       200   омплект включает 1 передатчик  микрофон  и 1 при мник с возможностью подключения к акустике   альность устойчивой работы   не менее 20 м в помещении  при м"&amp;" сигнала стабильный  без слышимых помех при штатной эксплуатации   орпус элементов выполнен из прочного материала  обеспечивающего защиту от случайных ударов и безопасное использование под контролем взрослого   истема предусматривает защиту от резких звук"&amp;"овых пиков и плавную регулировку уровня  что важно для соблюдения комфортной громкости для детей   итание   от батарей аккумуляторов с временем непрерывной работы не менее 3 часов ")</f>
        <v xml:space="preserve"> еспроводная микрофонная система для музыкального зала  еспроводная микрофонная система       200   омплект включает 1 передатчик  микрофон  и 1 при мник с возможностью подключения к акустике   альность устойчивой работы   не менее 20 м в помещении  при м сигнала стабильный  без слышимых помех при штатной эксплуатации   орпус элементов выполнен из прочного материала  обеспечивающего защиту от случайных ударов и безопасное использование под контролем взрослого   истема предусматривает защиту от резких звуковых пиков и плавную регулировку уровня  что важно для соблюдения комфортной громкости для детей   итание   от батарей аккумуляторов с временем непрерывной работы не менее 3 часов </v>
      </c>
      <c r="G1209" s="4" t="str">
        <f ca="1">IFERROR(__xludf.DUMMYFUNCTION("TEXTJOIN(""|"",TRUE,UNIQUE(FILTER(SPLIT(F1209,"" ""),LEN(SPLIT(F1209,"" ""))&gt;2)))"),"еспроводная|микрофонная|система|для|музыкального|зала|еспроводная|микрофонная|система|200|омплект|включает|передатчик|микрофон|при|мник|возможностью|подключения|акустике|альность|устойчивой|работы|менее|помещении|при|сигнала|стабильный|без|слышимых|помех|"&amp;"при|штатной|эксплуатации|орпус|элементов|выполнен|прочного|материала|обеспечивающего|защиту|случайных|ударов|безопасное|использование|под|контролем|взрослого|истема|предусматривает|защиту|резких|звуковых|пиков|плавную|регулировку|уровня|что|важно|для|собл"&amp;"юдения|комфортной|громкости|для|детей|итание|батарей|аккумуляторов|временем|непрерывной|работы|менее|часов")</f>
        <v>еспроводная|микрофонная|система|для|музыкального|зала|еспроводная|микрофонная|система|200|омплект|включает|передатчик|микрофон|при|мник|возможностью|подключения|акустике|альность|устойчивой|работы|менее|помещении|при|сигнала|стабильный|без|слышимых|помех|при|штатной|эксплуатации|орпус|элементов|выполнен|прочного|материала|обеспечивающего|защиту|случайных|ударов|безопасное|использование|под|контролем|взрослого|истема|предусматривает|защиту|резких|звуковых|пиков|плавную|регулировку|уровня|что|важно|для|соблюдения|комфортной|громкости|для|детей|итание|батарей|аккумуляторов|временем|непрерывной|работы|менее|часов</v>
      </c>
      <c r="I1209" s="1"/>
      <c r="J1209" s="1"/>
    </row>
    <row r="1210" spans="1:10" ht="12.75" x14ac:dyDescent="0.2">
      <c r="A1210" s="8" t="s">
        <v>56</v>
      </c>
      <c r="B1210" s="7" t="s">
        <v>55</v>
      </c>
      <c r="C1210" s="7" t="s">
        <v>55</v>
      </c>
      <c r="D1210" s="6">
        <v>9255300</v>
      </c>
      <c r="E1210" s="5">
        <v>1</v>
      </c>
      <c r="F1210" s="4" t="str">
        <f ca="1">IFERROR(__xludf.DUMMYFUNCTION("LOWER(REGEXREPLACE(B1210&amp;"" ""&amp;C1210,""[^а-яa-z0-9 ]"","" ""))")," олодильная камера 4190x3000x2400  олодильная камера 4190x3000x2400")</f>
        <v xml:space="preserve"> олодильная камера 4190x3000x2400  олодильная камера 4190x3000x2400</v>
      </c>
      <c r="G1210" s="4" t="str">
        <f ca="1">IFERROR(__xludf.DUMMYFUNCTION("TEXTJOIN(""|"",TRUE,UNIQUE(FILTER(SPLIT(F1210,"" ""),LEN(SPLIT(F1210,"" ""))&gt;2)))"),"олодильная|камера|4190x3000x2400|олодильная|камера|4190x3000x2400")</f>
        <v>олодильная|камера|4190x3000x2400|олодильная|камера|4190x3000x2400</v>
      </c>
      <c r="I1210" s="1"/>
      <c r="J1210" s="1"/>
    </row>
    <row r="1211" spans="1:10" ht="12.75" x14ac:dyDescent="0.2">
      <c r="A1211" s="8" t="s">
        <v>54</v>
      </c>
      <c r="B1211" s="7" t="s">
        <v>53</v>
      </c>
      <c r="C1211" s="7" t="s">
        <v>52</v>
      </c>
      <c r="D1211" s="6">
        <v>144400</v>
      </c>
      <c r="E1211" s="5">
        <v>1</v>
      </c>
      <c r="F1211" s="4" t="str">
        <f ca="1">IFERROR(__xludf.DUMMYFUNCTION("LOWER(REGEXREPLACE(B1211&amp;"" ""&amp;C1211,""[^а-яa-z0-9 ]"","" ""))")," епловая завеса  омпактная тепловая завеса")</f>
        <v xml:space="preserve"> епловая завеса  омпактная тепловая завеса</v>
      </c>
      <c r="G1211" s="4" t="str">
        <f ca="1">IFERROR(__xludf.DUMMYFUNCTION("TEXTJOIN(""|"",TRUE,UNIQUE(FILTER(SPLIT(F1211,"" ""),LEN(SPLIT(F1211,"" ""))&gt;2)))"),"епловая|завеса|омпактная|тепловая|завеса")</f>
        <v>епловая|завеса|омпактная|тепловая|завеса</v>
      </c>
      <c r="I1211" s="1"/>
      <c r="J1211" s="1"/>
    </row>
    <row r="1212" spans="1:10" ht="12.75" x14ac:dyDescent="0.2">
      <c r="A1212" s="8" t="s">
        <v>51</v>
      </c>
      <c r="B1212" s="7" t="s">
        <v>50</v>
      </c>
      <c r="C1212" s="7" t="s">
        <v>49</v>
      </c>
      <c r="D1212" s="6">
        <v>1531800</v>
      </c>
      <c r="E1212" s="5">
        <v>3</v>
      </c>
      <c r="F1212" s="4" t="str">
        <f ca="1">IFERROR(__xludf.DUMMYFUNCTION("LOWER(REGEXREPLACE(B1212&amp;"" ""&amp;C1212,""[^а-яa-z0-9 ]"","" ""))")," олодильный стол vsy 2  емпература   2  8  0 3 к т 230   1    50 60  ц   абариты  1340х700х850 мм")</f>
        <v xml:space="preserve"> олодильный стол vsy 2  емпература   2  8  0 3 к т 230   1    50 60  ц   абариты  1340х700х850 мм</v>
      </c>
      <c r="G1212" s="4" t="str">
        <f ca="1">IFERROR(__xludf.DUMMYFUNCTION("TEXTJOIN(""|"",TRUE,UNIQUE(FILTER(SPLIT(F1212,"" ""),LEN(SPLIT(F1212,"" ""))&gt;2)))"),"олодильный|стол|vsy|емпература|230|абариты|1340х700х850")</f>
        <v>олодильный|стол|vsy|емпература|230|абариты|1340х700х850</v>
      </c>
      <c r="I1212" s="1"/>
      <c r="J1212" s="1"/>
    </row>
    <row r="1213" spans="1:10" ht="12.75" x14ac:dyDescent="0.2">
      <c r="A1213" s="8" t="s">
        <v>48</v>
      </c>
      <c r="B1213" s="7" t="s">
        <v>47</v>
      </c>
      <c r="C1213" s="7" t="s">
        <v>46</v>
      </c>
      <c r="D1213" s="6">
        <v>1827300</v>
      </c>
      <c r="E1213" s="5">
        <v>1</v>
      </c>
      <c r="F1213" s="4" t="str">
        <f ca="1">IFERROR(__xludf.DUMMYFUNCTION("LOWER(REGEXREPLACE(B1213&amp;"" ""&amp;C1213,""[^а-яa-z0-9 ]"","" ""))")," олодильный стол vsy 3  емпература   2  8     ощность  0 39 к т  230  1   50 60 ц   абариты  1820x700x850 мм")</f>
        <v xml:space="preserve"> олодильный стол vsy 3  емпература   2  8     ощность  0 39 к т  230  1   50 60 ц   абариты  1820x700x850 мм</v>
      </c>
      <c r="G1213" s="4" t="str">
        <f ca="1">IFERROR(__xludf.DUMMYFUNCTION("TEXTJOIN(""|"",TRUE,UNIQUE(FILTER(SPLIT(F1213,"" ""),LEN(SPLIT(F1213,"" ""))&gt;2)))"),"олодильный|стол|vsy|емпература|ощность|230|абариты|1820x700x850")</f>
        <v>олодильный|стол|vsy|емпература|ощность|230|абариты|1820x700x850</v>
      </c>
      <c r="I1213" s="1"/>
      <c r="J1213" s="1"/>
    </row>
    <row r="1214" spans="1:10" ht="12.75" x14ac:dyDescent="0.2">
      <c r="A1214" s="8" t="s">
        <v>45</v>
      </c>
      <c r="B1214" s="7" t="s">
        <v>44</v>
      </c>
      <c r="C1214" s="7" t="s">
        <v>43</v>
      </c>
      <c r="D1214" s="6">
        <v>1791600</v>
      </c>
      <c r="E1214" s="5">
        <v>1</v>
      </c>
      <c r="F1214" s="4" t="str">
        <f ca="1">IFERROR(__xludf.DUMMYFUNCTION("LOWER(REGEXREPLACE(B1214&amp;"" ""&amp;C1214,""[^а-яa-z0-9 ]"","" ""))")," олодильный шкаф 1 дверь vsp 1  емпература   2  8     ощность  0 3 к т  230  1   50 60 ц   абариты  656x811x2050 мм")</f>
        <v xml:space="preserve"> олодильный шкаф 1 дверь vsp 1  емпература   2  8     ощность  0 3 к т  230  1   50 60 ц   абариты  656x811x2050 мм</v>
      </c>
      <c r="G1214" s="4" t="str">
        <f ca="1">IFERROR(__xludf.DUMMYFUNCTION("TEXTJOIN(""|"",TRUE,UNIQUE(FILTER(SPLIT(F1214,"" ""),LEN(SPLIT(F1214,"" ""))&gt;2)))"),"олодильный|шкаф|дверь|vsp|емпература|ощность|230|абариты|656x811x2050")</f>
        <v>олодильный|шкаф|дверь|vsp|емпература|ощность|230|абариты|656x811x2050</v>
      </c>
      <c r="I1214" s="1"/>
      <c r="J1214" s="1"/>
    </row>
    <row r="1215" spans="1:10" ht="25.5" x14ac:dyDescent="0.2">
      <c r="A1215" s="8" t="s">
        <v>42</v>
      </c>
      <c r="B1215" s="7" t="s">
        <v>41</v>
      </c>
      <c r="C1215" s="7" t="s">
        <v>40</v>
      </c>
      <c r="D1215" s="6">
        <v>237200</v>
      </c>
      <c r="E1215" s="5">
        <v>1</v>
      </c>
      <c r="F1215" s="4" t="str">
        <f ca="1">IFERROR(__xludf.DUMMYFUNCTION("LOWER(REGEXREPLACE(B1215&amp;"" ""&amp;C1215,""[^а-яa-z0-9 ]"","" ""))")," вейная машинка  anome  автомат  электромеханическая  количество швейных операций 22  контроль натяжения нитей  тип челнока вертикальный")</f>
        <v xml:space="preserve"> вейная машинка  anome  автомат  электромеханическая  количество швейных операций 22  контроль натяжения нитей  тип челнока вертикальный</v>
      </c>
      <c r="G1215" s="4" t="str">
        <f ca="1">IFERROR(__xludf.DUMMYFUNCTION("TEXTJOIN(""|"",TRUE,UNIQUE(FILTER(SPLIT(F1215,"" ""),LEN(SPLIT(F1215,"" ""))&gt;2)))"),"вейная|машинка|anome|автомат|электромеханическая|количество|швейных|операций|контроль|натяжения|нитей|тип|челнока|вертикальный")</f>
        <v>вейная|машинка|anome|автомат|электромеханическая|количество|швейных|операций|контроль|натяжения|нитей|тип|челнока|вертикальный</v>
      </c>
      <c r="I1215" s="1"/>
      <c r="J1215" s="1"/>
    </row>
    <row r="1216" spans="1:10" ht="38.25" x14ac:dyDescent="0.2">
      <c r="A1216" s="8" t="s">
        <v>39</v>
      </c>
      <c r="B1216" s="7" t="s">
        <v>38</v>
      </c>
      <c r="C1216" s="7" t="s">
        <v>37</v>
      </c>
      <c r="D1216" s="6">
        <v>2408900</v>
      </c>
      <c r="E1216" s="5">
        <v>1</v>
      </c>
      <c r="F1216" s="4" t="str">
        <f ca="1">IFERROR(__xludf.DUMMYFUNCTION("LOWER(REGEXREPLACE(B1216&amp;"" ""&amp;C1216,""[^а-яa-z0-9 ]"","" ""))"),"    экран  ветодиодный экран предназначен для визуального сопровождения занятий  мероприятий и презентаций   спользуется в образовательных и развивающих целях в помещениях дошкольного учреждения   азмер 2х3 м")</f>
        <v xml:space="preserve">    экран  ветодиодный экран предназначен для визуального сопровождения занятий  мероприятий и презентаций   спользуется в образовательных и развивающих целях в помещениях дошкольного учреждения   азмер 2х3 м</v>
      </c>
      <c r="G1216" s="4" t="str">
        <f ca="1">IFERROR(__xludf.DUMMYFUNCTION("TEXTJOIN(""|"",TRUE,UNIQUE(FILTER(SPLIT(F1216,"" ""),LEN(SPLIT(F1216,"" ""))&gt;2)))"),"экран|ветодиодный|экран|предназначен|для|визуального|сопровождения|занятий|мероприятий|презентаций|спользуется|образовательных|развивающих|целях|помещениях|дошкольного|учреждения|азмер|2х3")</f>
        <v>экран|ветодиодный|экран|предназначен|для|визуального|сопровождения|занятий|мероприятий|презентаций|спользуется|образовательных|развивающих|целях|помещениях|дошкольного|учреждения|азмер|2х3</v>
      </c>
      <c r="I1216" s="1"/>
      <c r="J1216" s="1"/>
    </row>
    <row r="1217" spans="1:10" ht="25.5" x14ac:dyDescent="0.2">
      <c r="A1217" s="8" t="s">
        <v>36</v>
      </c>
      <c r="B1217" s="7" t="s">
        <v>35</v>
      </c>
      <c r="C1217" s="7" t="s">
        <v>34</v>
      </c>
      <c r="D1217" s="6">
        <v>42500</v>
      </c>
      <c r="E1217" s="5">
        <v>2</v>
      </c>
      <c r="F1217" s="4" t="str">
        <f ca="1">IFERROR(__xludf.DUMMYFUNCTION("LOWER(REGEXREPLACE(B1217&amp;"" ""&amp;C1217,""[^а-яa-z0-9 ]"","" ""))")," ентиляция вытяжная  истема принудительной вытяжной вентиляции для обеспечения воздухообмена и поддержания комфортного микроклимата в помещении ")</f>
        <v xml:space="preserve"> ентиляция вытяжная  истема принудительной вытяжной вентиляции для обеспечения воздухообмена и поддержания комфортного микроклимата в помещении </v>
      </c>
      <c r="G1217" s="4" t="str">
        <f ca="1">IFERROR(__xludf.DUMMYFUNCTION("TEXTJOIN(""|"",TRUE,UNIQUE(FILTER(SPLIT(F1217,"" ""),LEN(SPLIT(F1217,"" ""))&gt;2)))"),"ентиляция|вытяжная|истема|принудительной|вытяжной|вентиляции|для|обеспечения|воздухообмена|поддержания|комфортного|микроклимата|помещении")</f>
        <v>ентиляция|вытяжная|истема|принудительной|вытяжной|вентиляции|для|обеспечения|воздухообмена|поддержания|комфортного|микроклимата|помещении</v>
      </c>
      <c r="I1217" s="1"/>
      <c r="J1217" s="1"/>
    </row>
    <row r="1218" spans="1:10" ht="25.5" x14ac:dyDescent="0.2">
      <c r="A1218" s="8" t="s">
        <v>33</v>
      </c>
      <c r="B1218" s="8" t="s">
        <v>32</v>
      </c>
      <c r="C1218" s="7" t="s">
        <v>31</v>
      </c>
      <c r="D1218" s="6">
        <v>71339</v>
      </c>
      <c r="E1218" s="5">
        <v>1</v>
      </c>
      <c r="F1218" s="4" t="str">
        <f ca="1">IFERROR(__xludf.DUMMYFUNCTION("LOWER(REGEXREPLACE(B1218&amp;"" ""&amp;C1218,""[^а-яa-z0-9 ]"","" ""))")," сточник бесперебойного питания  сточник бесперебойного питания          2000    2000    1200   2x12v 9  h      175 275   2 розет   ехника шт  1 119 000 00 119 000 00   71 339")</f>
        <v xml:space="preserve"> сточник бесперебойного питания  сточник бесперебойного питания          2000    2000    1200   2x12v 9  h      175 275   2 розет   ехника шт  1 119 000 00 119 000 00   71 339</v>
      </c>
      <c r="G1218" s="4" t="str">
        <f ca="1">IFERROR(__xludf.DUMMYFUNCTION("TEXTJOIN(""|"",TRUE,UNIQUE(FILTER(SPLIT(F1218,"" ""),LEN(SPLIT(F1218,"" ""))&gt;2)))"),"сточник|бесперебойного|питания|сточник|бесперебойного|питания|2000|2000|1200|2x12v|175|275|розет|ехника|119|119|339")</f>
        <v>сточник|бесперебойного|питания|сточник|бесперебойного|питания|2000|2000|1200|2x12v|175|275|розет|ехника|119|119|339</v>
      </c>
      <c r="I1218" s="1"/>
      <c r="J1218" s="1"/>
    </row>
    <row r="1219" spans="1:10" ht="25.5" x14ac:dyDescent="0.2">
      <c r="A1219" s="7"/>
      <c r="B1219" s="7"/>
      <c r="C1219" s="7" t="s">
        <v>30</v>
      </c>
      <c r="D1219" s="6">
        <v>71339</v>
      </c>
      <c r="E1219" s="5">
        <v>1</v>
      </c>
      <c r="F1219" s="4" t="str">
        <f ca="1">IFERROR(__xludf.DUMMYFUNCTION("LOWER(REGEXREPLACE(B1219&amp;"" ""&amp;C1219,""[^а-яa-z0-9 ]"","" ""))"),"  сточник бесперебойного питания          2000    2000    1200   2x12v 9  h      175 275   2 розет   ехника шт  1 119 000 00 119 000 00   71 340")</f>
        <v xml:space="preserve">  сточник бесперебойного питания          2000    2000    1200   2x12v 9  h      175 275   2 розет   ехника шт  1 119 000 00 119 000 00   71 340</v>
      </c>
      <c r="G1219" s="4" t="str">
        <f ca="1">IFERROR(__xludf.DUMMYFUNCTION("TEXTJOIN(""|"",TRUE,UNIQUE(FILTER(SPLIT(F1219,"" ""),LEN(SPLIT(F1219,"" ""))&gt;2)))"),"сточник|бесперебойного|питания|2000|2000|1200|2x12v|175|275|розет|ехника|119|119|340")</f>
        <v>сточник|бесперебойного|питания|2000|2000|1200|2x12v|175|275|розет|ехника|119|119|340</v>
      </c>
      <c r="I1219" s="1"/>
      <c r="J1219" s="1"/>
    </row>
    <row r="1220" spans="1:10" ht="25.5" x14ac:dyDescent="0.2">
      <c r="A1220" s="7"/>
      <c r="B1220" s="7"/>
      <c r="C1220" s="7" t="s">
        <v>29</v>
      </c>
      <c r="D1220" s="6">
        <v>71339</v>
      </c>
      <c r="E1220" s="5">
        <v>1</v>
      </c>
      <c r="F1220" s="4" t="str">
        <f ca="1">IFERROR(__xludf.DUMMYFUNCTION("LOWER(REGEXREPLACE(B1220&amp;"" ""&amp;C1220,""[^а-яa-z0-9 ]"","" ""))"),"  сточник бесперебойного питания          2000    2000    1200   2x12v 9  h      175 275   2 розет   ехника шт  1 119 000 00 119 000 00   71 341")</f>
        <v xml:space="preserve">  сточник бесперебойного питания          2000    2000    1200   2x12v 9  h      175 275   2 розет   ехника шт  1 119 000 00 119 000 00   71 341</v>
      </c>
      <c r="G1220" s="4" t="str">
        <f ca="1">IFERROR(__xludf.DUMMYFUNCTION("TEXTJOIN(""|"",TRUE,UNIQUE(FILTER(SPLIT(F1220,"" ""),LEN(SPLIT(F1220,"" ""))&gt;2)))"),"сточник|бесперебойного|питания|2000|2000|1200|2x12v|175|275|розет|ехника|119|119|341")</f>
        <v>сточник|бесперебойного|питания|2000|2000|1200|2x12v|175|275|розет|ехника|119|119|341</v>
      </c>
      <c r="I1220" s="1"/>
      <c r="J1220" s="1"/>
    </row>
    <row r="1221" spans="1:10" ht="25.5" x14ac:dyDescent="0.2">
      <c r="A1221" s="7"/>
      <c r="B1221" s="7"/>
      <c r="C1221" s="7" t="s">
        <v>28</v>
      </c>
      <c r="D1221" s="6">
        <v>71339</v>
      </c>
      <c r="E1221" s="5">
        <v>1</v>
      </c>
      <c r="F1221" s="4" t="str">
        <f ca="1">IFERROR(__xludf.DUMMYFUNCTION("LOWER(REGEXREPLACE(B1221&amp;"" ""&amp;C1221,""[^а-яa-z0-9 ]"","" ""))"),"  сточник бесперебойного питания          2000    2000    1200   2x12v 9  h      175 275   2 розет   ехника шт  1 119 000 00 119 000 00   71 342")</f>
        <v xml:space="preserve">  сточник бесперебойного питания          2000    2000    1200   2x12v 9  h      175 275   2 розет   ехника шт  1 119 000 00 119 000 00   71 342</v>
      </c>
      <c r="G1221" s="4" t="str">
        <f ca="1">IFERROR(__xludf.DUMMYFUNCTION("TEXTJOIN(""|"",TRUE,UNIQUE(FILTER(SPLIT(F1221,"" ""),LEN(SPLIT(F1221,"" ""))&gt;2)))"),"сточник|бесперебойного|питания|2000|2000|1200|2x12v|175|275|розет|ехника|119|119|342")</f>
        <v>сточник|бесперебойного|питания|2000|2000|1200|2x12v|175|275|розет|ехника|119|119|342</v>
      </c>
      <c r="I1221" s="1"/>
      <c r="J1221" s="1"/>
    </row>
    <row r="1222" spans="1:10" ht="25.5" x14ac:dyDescent="0.2">
      <c r="A1222" s="7"/>
      <c r="B1222" s="7"/>
      <c r="C1222" s="7" t="s">
        <v>27</v>
      </c>
      <c r="D1222" s="6">
        <v>71339</v>
      </c>
      <c r="E1222" s="5">
        <v>1</v>
      </c>
      <c r="F1222" s="4" t="str">
        <f ca="1">IFERROR(__xludf.DUMMYFUNCTION("LOWER(REGEXREPLACE(B1222&amp;"" ""&amp;C1222,""[^а-яa-z0-9 ]"","" ""))"),"  сточник бесперебойного питания          2000    2000    1200   2x12v 9  h      175 275   2 розет   ехника шт  1 119 000 00 119 000 00   71 343")</f>
        <v xml:space="preserve">  сточник бесперебойного питания          2000    2000    1200   2x12v 9  h      175 275   2 розет   ехника шт  1 119 000 00 119 000 00   71 343</v>
      </c>
      <c r="G1222" s="4" t="str">
        <f ca="1">IFERROR(__xludf.DUMMYFUNCTION("TEXTJOIN(""|"",TRUE,UNIQUE(FILTER(SPLIT(F1222,"" ""),LEN(SPLIT(F1222,"" ""))&gt;2)))"),"сточник|бесперебойного|питания|2000|2000|1200|2x12v|175|275|розет|ехника|119|119|343")</f>
        <v>сточник|бесперебойного|питания|2000|2000|1200|2x12v|175|275|розет|ехника|119|119|343</v>
      </c>
      <c r="I1222" s="1"/>
      <c r="J1222" s="1"/>
    </row>
    <row r="1223" spans="1:10" ht="25.5" x14ac:dyDescent="0.2">
      <c r="A1223" s="7"/>
      <c r="B1223" s="7"/>
      <c r="C1223" s="7" t="s">
        <v>26</v>
      </c>
      <c r="D1223" s="6">
        <v>71339</v>
      </c>
      <c r="E1223" s="5">
        <v>1</v>
      </c>
      <c r="F1223" s="4" t="str">
        <f ca="1">IFERROR(__xludf.DUMMYFUNCTION("LOWER(REGEXREPLACE(B1223&amp;"" ""&amp;C1223,""[^а-яa-z0-9 ]"","" ""))"),"  сточник бесперебойного питания          2000    2000    1200   2x12v 9  h      175 275   2 розет   ехника шт  1 119 000 00 119 000 00   71 344")</f>
        <v xml:space="preserve">  сточник бесперебойного питания          2000    2000    1200   2x12v 9  h      175 275   2 розет   ехника шт  1 119 000 00 119 000 00   71 344</v>
      </c>
      <c r="G1223" s="4" t="str">
        <f ca="1">IFERROR(__xludf.DUMMYFUNCTION("TEXTJOIN(""|"",TRUE,UNIQUE(FILTER(SPLIT(F1223,"" ""),LEN(SPLIT(F1223,"" ""))&gt;2)))"),"сточник|бесперебойного|питания|2000|2000|1200|2x12v|175|275|розет|ехника|119|119|344")</f>
        <v>сточник|бесперебойного|питания|2000|2000|1200|2x12v|175|275|розет|ехника|119|119|344</v>
      </c>
      <c r="I1223" s="1"/>
      <c r="J1223" s="1"/>
    </row>
    <row r="1224" spans="1:10" ht="25.5" x14ac:dyDescent="0.2">
      <c r="A1224" s="7"/>
      <c r="B1224" s="7"/>
      <c r="C1224" s="7" t="s">
        <v>25</v>
      </c>
      <c r="D1224" s="6">
        <v>71339</v>
      </c>
      <c r="E1224" s="5">
        <v>1</v>
      </c>
      <c r="F1224" s="4" t="str">
        <f ca="1">IFERROR(__xludf.DUMMYFUNCTION("LOWER(REGEXREPLACE(B1224&amp;"" ""&amp;C1224,""[^а-яa-z0-9 ]"","" ""))"),"  сточник бесперебойного питания          2000    2000    1200   2x12v 9  h      175 275   2 розет   ехника шт  1 119 000 00 119 000 00   71 345")</f>
        <v xml:space="preserve">  сточник бесперебойного питания          2000    2000    1200   2x12v 9  h      175 275   2 розет   ехника шт  1 119 000 00 119 000 00   71 345</v>
      </c>
      <c r="G1224" s="4" t="str">
        <f ca="1">IFERROR(__xludf.DUMMYFUNCTION("TEXTJOIN(""|"",TRUE,UNIQUE(FILTER(SPLIT(F1224,"" ""),LEN(SPLIT(F1224,"" ""))&gt;2)))"),"сточник|бесперебойного|питания|2000|2000|1200|2x12v|175|275|розет|ехника|119|119|345")</f>
        <v>сточник|бесперебойного|питания|2000|2000|1200|2x12v|175|275|розет|ехника|119|119|345</v>
      </c>
      <c r="I1224" s="1"/>
      <c r="J1224" s="1"/>
    </row>
    <row r="1225" spans="1:10" ht="25.5" x14ac:dyDescent="0.2">
      <c r="A1225" s="7"/>
      <c r="B1225" s="7"/>
      <c r="C1225" s="7" t="s">
        <v>24</v>
      </c>
      <c r="D1225" s="6">
        <v>71339</v>
      </c>
      <c r="E1225" s="5">
        <v>1</v>
      </c>
      <c r="F1225" s="4" t="str">
        <f ca="1">IFERROR(__xludf.DUMMYFUNCTION("LOWER(REGEXREPLACE(B1225&amp;"" ""&amp;C1225,""[^а-яa-z0-9 ]"","" ""))"),"  сточник бесперебойного питания          2000    2000    1200   2x12v 9  h      175 275   2 розет   ехника шт  1 119 000 00 119 000 00   71 346")</f>
        <v xml:space="preserve">  сточник бесперебойного питания          2000    2000    1200   2x12v 9  h      175 275   2 розет   ехника шт  1 119 000 00 119 000 00   71 346</v>
      </c>
      <c r="G1225" s="4" t="str">
        <f ca="1">IFERROR(__xludf.DUMMYFUNCTION("TEXTJOIN(""|"",TRUE,UNIQUE(FILTER(SPLIT(F1225,"" ""),LEN(SPLIT(F1225,"" ""))&gt;2)))"),"сточник|бесперебойного|питания|2000|2000|1200|2x12v|175|275|розет|ехника|119|119|346")</f>
        <v>сточник|бесперебойного|питания|2000|2000|1200|2x12v|175|275|розет|ехника|119|119|346</v>
      </c>
      <c r="I1225" s="1"/>
      <c r="J1225" s="1"/>
    </row>
    <row r="1226" spans="1:10" ht="12.75" x14ac:dyDescent="0.2">
      <c r="A1226" s="8" t="s">
        <v>23</v>
      </c>
      <c r="B1226" s="8" t="s">
        <v>22</v>
      </c>
      <c r="C1226" s="7" t="s">
        <v>21</v>
      </c>
      <c r="D1226" s="6">
        <v>10200</v>
      </c>
      <c r="E1226" s="5">
        <v>14</v>
      </c>
      <c r="F1226" s="4" t="str">
        <f ca="1">IFERROR(__xludf.DUMMYFUNCTION("LOWER(REGEXREPLACE(B1226&amp;"" ""&amp;C1226,""[^а-яa-z0-9 ]"","" ""))")," абель            абель             лина  5м ")</f>
        <v xml:space="preserve"> абель            абель             лина  5м </v>
      </c>
      <c r="G1226" s="4" t="str">
        <f ca="1">IFERROR(__xludf.DUMMYFUNCTION("TEXTJOIN(""|"",TRUE,UNIQUE(FILTER(SPLIT(F1226,"" ""),LEN(SPLIT(F1226,"" ""))&gt;2)))"),"абель|абель|лина")</f>
        <v>абель|абель|лина</v>
      </c>
      <c r="I1226" s="1"/>
      <c r="J1226" s="1"/>
    </row>
    <row r="1227" spans="1:10" ht="12.75" x14ac:dyDescent="0.2">
      <c r="A1227" s="8" t="s">
        <v>20</v>
      </c>
      <c r="B1227" s="8" t="s">
        <v>19</v>
      </c>
      <c r="C1227" s="7" t="s">
        <v>18</v>
      </c>
      <c r="D1227" s="6">
        <v>6100</v>
      </c>
      <c r="E1227" s="5">
        <v>24</v>
      </c>
      <c r="F1227" s="4" t="str">
        <f ca="1">IFERROR(__xludf.DUMMYFUNCTION("LOWER(REGEXREPLACE(B1227&amp;"" ""&amp;C1227,""[^а-яa-z0-9 ]"","" ""))")," абель      абель     2 0  ype   лина  3 м ")</f>
        <v xml:space="preserve"> абель      абель     2 0  ype   лина  3 м </v>
      </c>
      <c r="G1227" s="4" t="str">
        <f ca="1">IFERROR(__xludf.DUMMYFUNCTION("TEXTJOIN(""|"",TRUE,UNIQUE(FILTER(SPLIT(F1227,"" ""),LEN(SPLIT(F1227,"" ""))&gt;2)))"),"абель|абель|ype|лина")</f>
        <v>абель|абель|ype|лина</v>
      </c>
      <c r="I1227" s="1"/>
      <c r="J1227" s="1"/>
    </row>
    <row r="1228" spans="1:10" ht="12.75" x14ac:dyDescent="0.2">
      <c r="A1228" s="8" t="s">
        <v>17</v>
      </c>
      <c r="B1228" s="8" t="s">
        <v>16</v>
      </c>
      <c r="C1228" s="7" t="s">
        <v>15</v>
      </c>
      <c r="D1228" s="6">
        <v>670369</v>
      </c>
      <c r="E1228" s="5">
        <v>9</v>
      </c>
      <c r="F1228" s="4" t="str">
        <f ca="1">IFERROR(__xludf.DUMMYFUNCTION("LOWER(REGEXREPLACE(B1228&amp;"" ""&amp;C1228,""[^а-яa-z0-9 ]"","" ""))")," елевизор 65   оммерческий телевизор   65  640   65 дюймов типа   ")</f>
        <v xml:space="preserve"> елевизор 65   оммерческий телевизор   65  640   65 дюймов типа   </v>
      </c>
      <c r="G1228" s="4" t="str">
        <f ca="1">IFERROR(__xludf.DUMMYFUNCTION("TEXTJOIN(""|"",TRUE,UNIQUE(FILTER(SPLIT(F1228,"" ""),LEN(SPLIT(F1228,"" ""))&gt;2)))"),"елевизор|оммерческий|телевизор|640|дюймов|типа")</f>
        <v>елевизор|оммерческий|телевизор|640|дюймов|типа</v>
      </c>
      <c r="I1228" s="1"/>
      <c r="J1228" s="1"/>
    </row>
    <row r="1229" spans="1:10" ht="12.75" x14ac:dyDescent="0.2">
      <c r="A1229" s="7"/>
      <c r="B1229" s="7"/>
      <c r="C1229" s="7" t="s">
        <v>14</v>
      </c>
      <c r="D1229" s="6">
        <v>850000</v>
      </c>
      <c r="E1229" s="5">
        <v>0</v>
      </c>
      <c r="F1229" s="4" t="str">
        <f ca="1">IFERROR(__xludf.DUMMYFUNCTION("LOWER(REGEXREPLACE(B1229&amp;"" ""&amp;C1229,""[^а-яa-z0-9 ]"","" ""))"),"  елевизор      с функцией  mart     диагональ 65 дюймов   азрешение 3840 x 2160   ltra    ")</f>
        <v xml:space="preserve">  елевизор      с функцией  mart     диагональ 65 дюймов   азрешение 3840 x 2160   ltra    </v>
      </c>
      <c r="G1229" s="4" t="str">
        <f ca="1">IFERROR(__xludf.DUMMYFUNCTION("TEXTJOIN(""|"",TRUE,UNIQUE(FILTER(SPLIT(F1229,"" ""),LEN(SPLIT(F1229,"" ""))&gt;2)))"),"елевизор|функцией|mart|диагональ|дюймов|азрешение|3840|2160|ltra")</f>
        <v>елевизор|функцией|mart|диагональ|дюймов|азрешение|3840|2160|ltra</v>
      </c>
      <c r="I1229" s="1"/>
      <c r="J1229" s="1"/>
    </row>
    <row r="1230" spans="1:10" ht="12.75" x14ac:dyDescent="0.2">
      <c r="A1230" s="8" t="s">
        <v>13</v>
      </c>
      <c r="B1230" s="8" t="s">
        <v>12</v>
      </c>
      <c r="C1230" s="7" t="s">
        <v>11</v>
      </c>
      <c r="D1230" s="6">
        <v>2555</v>
      </c>
      <c r="E1230" s="5">
        <v>14</v>
      </c>
      <c r="F1230" s="4" t="str">
        <f ca="1">IFERROR(__xludf.DUMMYFUNCTION("LOWER(REGEXREPLACE(B1230&amp;"" ""&amp;C1230,""[^а-яa-z0-9 ]"","" ""))")," омпьютерная мышь  ышь    125  ired  ouse")</f>
        <v xml:space="preserve"> омпьютерная мышь  ышь    125  ired  ouse</v>
      </c>
      <c r="G1230" s="4" t="str">
        <f ca="1">IFERROR(__xludf.DUMMYFUNCTION("TEXTJOIN(""|"",TRUE,UNIQUE(FILTER(SPLIT(F1230,"" ""),LEN(SPLIT(F1230,"" ""))&gt;2)))"),"омпьютерная|мышь|ышь|125|ired|ouse")</f>
        <v>омпьютерная|мышь|ышь|125|ired|ouse</v>
      </c>
      <c r="I1230" s="1"/>
      <c r="J1230" s="1"/>
    </row>
    <row r="1231" spans="1:10" ht="12.75" x14ac:dyDescent="0.2">
      <c r="A1231" s="8" t="s">
        <v>10</v>
      </c>
      <c r="B1231" s="8" t="s">
        <v>9</v>
      </c>
      <c r="C1231" s="7" t="s">
        <v>8</v>
      </c>
      <c r="D1231" s="6">
        <v>153593</v>
      </c>
      <c r="E1231" s="5">
        <v>19</v>
      </c>
      <c r="F1231" s="4" t="str">
        <f ca="1">IFERROR(__xludf.DUMMYFUNCTION("LOWER(REGEXREPLACE(B1231&amp;"" ""&amp;C1231,""[^а-яa-z0-9 ]"","" ""))"),"    цветной         olor  aser 178nw   4  print 600x600dpi  18ppm  scan 600x600dpi                  i  i")</f>
        <v xml:space="preserve">    цветной         olor  aser 178nw   4  print 600x600dpi  18ppm  scan 600x600dpi                  i  i</v>
      </c>
      <c r="G1231" s="4" t="str">
        <f ca="1">IFERROR(__xludf.DUMMYFUNCTION("TEXTJOIN(""|"",TRUE,UNIQUE(FILTER(SPLIT(F1231,"" ""),LEN(SPLIT(F1231,"" ""))&gt;2)))"),"цветной|olor|aser|178nw|print|600x600dpi|18ppm|scan|600x600dpi")</f>
        <v>цветной|olor|aser|178nw|print|600x600dpi|18ppm|scan|600x600dpi</v>
      </c>
      <c r="I1231" s="1"/>
      <c r="J1231" s="1"/>
    </row>
    <row r="1232" spans="1:10" ht="12.75" x14ac:dyDescent="0.2">
      <c r="A1232" s="8" t="s">
        <v>7</v>
      </c>
      <c r="B1232" s="7" t="s">
        <v>6</v>
      </c>
      <c r="C1232" s="7" t="s">
        <v>5</v>
      </c>
      <c r="D1232" s="6">
        <v>674900</v>
      </c>
      <c r="E1232" s="5">
        <v>1</v>
      </c>
      <c r="F1232" s="4" t="str">
        <f ca="1">IFERROR(__xludf.DUMMYFUNCTION("LOWER(REGEXREPLACE(B1232&amp;"" ""&amp;C1232,""[^а-яa-z0-9 ]"","" ""))")," онт вытяжной вентиляционный  онт вытяжной вентиляционный размерами 1200х700мм с устройством для сбора жировых отложений")</f>
        <v xml:space="preserve"> онт вытяжной вентиляционный  онт вытяжной вентиляционный размерами 1200х700мм с устройством для сбора жировых отложений</v>
      </c>
      <c r="G1232" s="4" t="str">
        <f ca="1">IFERROR(__xludf.DUMMYFUNCTION("TEXTJOIN(""|"",TRUE,UNIQUE(FILTER(SPLIT(F1232,"" ""),LEN(SPLIT(F1232,"" ""))&gt;2)))"),"онт|вытяжной|вентиляционный|онт|вытяжной|вентиляционный|размерами|1200х700мм|устройством|для|сбора|жировых|отложений")</f>
        <v>онт|вытяжной|вентиляционный|онт|вытяжной|вентиляционный|размерами|1200х700мм|устройством|для|сбора|жировых|отложений</v>
      </c>
      <c r="I1232" s="1"/>
      <c r="J1232" s="1"/>
    </row>
    <row r="1233" spans="1:10" ht="25.5" x14ac:dyDescent="0.2">
      <c r="A1233" s="8" t="s">
        <v>4</v>
      </c>
      <c r="B1233" s="7" t="s">
        <v>1</v>
      </c>
      <c r="C1233" s="7" t="s">
        <v>3</v>
      </c>
      <c r="D1233" s="6">
        <v>381700</v>
      </c>
      <c r="E1233" s="5">
        <v>1</v>
      </c>
      <c r="F1233" s="4" t="str">
        <f ca="1">IFERROR(__xludf.DUMMYFUNCTION("LOWER(REGEXREPLACE(B1233&amp;"" ""&amp;C1233,""[^а-яa-z0-9 ]"","" ""))")," онт вытяжной вентиляционный   онт вытяжной вентиляционный размерами 1200х1200мм с устройством для сбора  жировых отложений")</f>
        <v xml:space="preserve"> онт вытяжной вентиляционный   онт вытяжной вентиляционный размерами 1200х1200мм с устройством для сбора  жировых отложений</v>
      </c>
      <c r="G1233" s="4" t="str">
        <f ca="1">IFERROR(__xludf.DUMMYFUNCTION("TEXTJOIN(""|"",TRUE,UNIQUE(FILTER(SPLIT(F1233,"" ""),LEN(SPLIT(F1233,"" ""))&gt;2)))"),"онт|вытяжной|вентиляционный|онт|вытяжной|вентиляционный|размерами|1200х1200мм|устройством|для|сбора|жировых|отложений")</f>
        <v>онт|вытяжной|вентиляционный|онт|вытяжной|вентиляционный|размерами|1200х1200мм|устройством|для|сбора|жировых|отложений</v>
      </c>
      <c r="I1233" s="1"/>
      <c r="J1233" s="1"/>
    </row>
    <row r="1234" spans="1:10" ht="25.5" x14ac:dyDescent="0.2">
      <c r="A1234" s="8" t="s">
        <v>2</v>
      </c>
      <c r="B1234" s="7" t="s">
        <v>1</v>
      </c>
      <c r="C1234" s="7" t="s">
        <v>0</v>
      </c>
      <c r="D1234" s="6">
        <v>1784700</v>
      </c>
      <c r="E1234" s="5">
        <v>1</v>
      </c>
      <c r="F1234" s="4" t="str">
        <f ca="1">IFERROR(__xludf.DUMMYFUNCTION("LOWER(REGEXREPLACE(B1234&amp;"" ""&amp;C1234,""[^а-яa-z0-9 ]"","" ""))")," онт вытяжной вентиляционный   онт вытяжной вентиляционный размерами 3200х2200мм с устройством для сбора  жировых отложений")</f>
        <v xml:space="preserve"> онт вытяжной вентиляционный   онт вытяжной вентиляционный размерами 3200х2200мм с устройством для сбора  жировых отложений</v>
      </c>
      <c r="G1234" s="4" t="str">
        <f ca="1">IFERROR(__xludf.DUMMYFUNCTION("TEXTJOIN(""|"",TRUE,UNIQUE(FILTER(SPLIT(F1234,"" ""),LEN(SPLIT(F1234,"" ""))&gt;2)))"),"онт|вытяжной|вентиляционный|онт|вытяжной|вентиляционный|размерами|3200х2200мм|устройством|для|сбора|жировых|отложений")</f>
        <v>онт|вытяжной|вентиляционный|онт|вытяжной|вентиляционный|размерами|3200х2200мм|устройством|для|сбора|жировых|отложений</v>
      </c>
      <c r="I1234" s="1"/>
      <c r="J1234" s="1"/>
    </row>
    <row r="1235" spans="1:10" ht="12.75" x14ac:dyDescent="0.2">
      <c r="A1235" s="3"/>
      <c r="B1235" s="3"/>
      <c r="C1235" s="3"/>
      <c r="D1235" s="3"/>
      <c r="E1235" s="3"/>
      <c r="F1235" s="2"/>
      <c r="G1235" s="2"/>
      <c r="I1235" s="1"/>
      <c r="J1235" s="1"/>
    </row>
    <row r="1236" spans="1:10" ht="12.75" x14ac:dyDescent="0.2">
      <c r="A1236" s="3"/>
      <c r="B1236" s="3"/>
      <c r="C1236" s="3"/>
      <c r="D1236" s="3"/>
      <c r="E1236" s="3"/>
      <c r="F1236" s="2"/>
      <c r="G1236" s="2"/>
      <c r="I1236" s="1"/>
      <c r="J1236" s="1"/>
    </row>
    <row r="1237" spans="1:10" ht="12.75" x14ac:dyDescent="0.2">
      <c r="A1237" s="3"/>
      <c r="B1237" s="3"/>
      <c r="C1237" s="3"/>
      <c r="D1237" s="3"/>
      <c r="E1237" s="3"/>
      <c r="F1237" s="2"/>
      <c r="G1237" s="2"/>
      <c r="I1237" s="1"/>
      <c r="J1237" s="1"/>
    </row>
    <row r="1238" spans="1:10" ht="12.75" x14ac:dyDescent="0.2">
      <c r="A1238" s="3"/>
      <c r="B1238" s="3"/>
      <c r="C1238" s="3"/>
      <c r="D1238" s="3"/>
      <c r="E1238" s="3"/>
      <c r="F1238" s="2"/>
      <c r="G1238" s="2"/>
      <c r="I1238" s="1"/>
      <c r="J1238" s="1"/>
    </row>
    <row r="1239" spans="1:10" ht="12.75" x14ac:dyDescent="0.2">
      <c r="A1239" s="3"/>
      <c r="B1239" s="3"/>
      <c r="C1239" s="3"/>
      <c r="D1239" s="3"/>
      <c r="E1239" s="3"/>
      <c r="F1239" s="2"/>
      <c r="G1239" s="2"/>
      <c r="I1239" s="1"/>
      <c r="J1239" s="1"/>
    </row>
    <row r="1240" spans="1:10" ht="12.75" x14ac:dyDescent="0.2">
      <c r="A1240" s="3"/>
      <c r="B1240" s="3"/>
      <c r="C1240" s="3"/>
      <c r="D1240" s="3"/>
      <c r="E1240" s="3"/>
      <c r="F1240" s="2"/>
      <c r="G1240" s="2"/>
      <c r="I1240" s="1"/>
      <c r="J1240" s="1"/>
    </row>
    <row r="1241" spans="1:10" ht="12.75" x14ac:dyDescent="0.2">
      <c r="A1241" s="3"/>
      <c r="B1241" s="3"/>
      <c r="C1241" s="3"/>
      <c r="D1241" s="3"/>
      <c r="E1241" s="3"/>
      <c r="F1241" s="2"/>
      <c r="G1241" s="2"/>
      <c r="I1241" s="1"/>
      <c r="J1241" s="1"/>
    </row>
    <row r="1242" spans="1:10" ht="12.75" x14ac:dyDescent="0.2">
      <c r="A1242" s="3"/>
      <c r="B1242" s="3"/>
      <c r="C1242" s="3"/>
      <c r="D1242" s="3"/>
      <c r="E1242" s="3"/>
      <c r="F1242" s="2"/>
      <c r="G1242" s="2"/>
      <c r="I1242" s="1"/>
      <c r="J1242" s="1"/>
    </row>
    <row r="1243" spans="1:10" ht="12.75" x14ac:dyDescent="0.2">
      <c r="A1243" s="3"/>
      <c r="B1243" s="3"/>
      <c r="C1243" s="3"/>
      <c r="D1243" s="3"/>
      <c r="E1243" s="3"/>
      <c r="F1243" s="2"/>
      <c r="G1243" s="2"/>
      <c r="I1243" s="1"/>
      <c r="J1243" s="1"/>
    </row>
    <row r="1244" spans="1:10" ht="12.75" x14ac:dyDescent="0.2">
      <c r="A1244" s="3"/>
      <c r="B1244" s="3"/>
      <c r="C1244" s="3"/>
      <c r="D1244" s="3"/>
      <c r="E1244" s="3"/>
      <c r="F1244" s="2"/>
      <c r="G1244" s="2"/>
      <c r="I1244" s="1"/>
      <c r="J1244" s="1"/>
    </row>
    <row r="1245" spans="1:10" ht="12.75" x14ac:dyDescent="0.2">
      <c r="A1245" s="3"/>
      <c r="B1245" s="3"/>
      <c r="C1245" s="3"/>
      <c r="D1245" s="3"/>
      <c r="E1245" s="3"/>
      <c r="F1245" s="2"/>
      <c r="G1245" s="2"/>
      <c r="I1245" s="1"/>
      <c r="J1245" s="1"/>
    </row>
    <row r="1246" spans="1:10" ht="12.75" x14ac:dyDescent="0.2">
      <c r="A1246" s="3"/>
      <c r="B1246" s="3"/>
      <c r="C1246" s="3"/>
      <c r="D1246" s="3"/>
      <c r="E1246" s="3"/>
      <c r="F1246" s="2"/>
      <c r="G1246" s="2"/>
      <c r="I1246" s="1"/>
      <c r="J1246" s="1"/>
    </row>
    <row r="1247" spans="1:10" ht="12.75" x14ac:dyDescent="0.2">
      <c r="A1247" s="3"/>
      <c r="B1247" s="3"/>
      <c r="C1247" s="3"/>
      <c r="D1247" s="3"/>
      <c r="E1247" s="3"/>
      <c r="F1247" s="2"/>
      <c r="G1247" s="2"/>
      <c r="I1247" s="1"/>
      <c r="J1247" s="1"/>
    </row>
    <row r="1248" spans="1:10" ht="12.75" x14ac:dyDescent="0.2">
      <c r="A1248" s="3"/>
      <c r="B1248" s="3"/>
      <c r="C1248" s="3"/>
      <c r="D1248" s="3"/>
      <c r="E1248" s="3"/>
      <c r="F1248" s="2"/>
      <c r="G1248" s="2"/>
      <c r="I1248" s="1"/>
      <c r="J1248" s="1"/>
    </row>
    <row r="1249" spans="1:10" ht="12.75" x14ac:dyDescent="0.2">
      <c r="A1249" s="3"/>
      <c r="B1249" s="3"/>
      <c r="C1249" s="3"/>
      <c r="D1249" s="3"/>
      <c r="E1249" s="3"/>
      <c r="F1249" s="2"/>
      <c r="G1249" s="2"/>
      <c r="I1249" s="1"/>
      <c r="J1249" s="1"/>
    </row>
    <row r="1250" spans="1:10" ht="12.75" x14ac:dyDescent="0.2">
      <c r="A1250" s="3"/>
      <c r="B1250" s="3"/>
      <c r="C1250" s="3"/>
      <c r="D1250" s="3"/>
      <c r="E1250" s="3"/>
      <c r="F1250" s="2"/>
      <c r="G1250" s="2"/>
      <c r="I1250" s="1"/>
      <c r="J1250" s="1"/>
    </row>
    <row r="1251" spans="1:10" ht="12.75" x14ac:dyDescent="0.2">
      <c r="A1251" s="3"/>
      <c r="B1251" s="3"/>
      <c r="C1251" s="3"/>
      <c r="D1251" s="3"/>
      <c r="E1251" s="3"/>
      <c r="F1251" s="2"/>
      <c r="G1251" s="2"/>
      <c r="I1251" s="1"/>
      <c r="J1251" s="1"/>
    </row>
    <row r="1252" spans="1:10" ht="12.75" x14ac:dyDescent="0.2">
      <c r="A1252" s="3"/>
      <c r="B1252" s="3"/>
      <c r="C1252" s="3"/>
      <c r="D1252" s="3"/>
      <c r="E1252" s="3"/>
      <c r="F1252" s="2"/>
      <c r="G1252" s="2"/>
      <c r="I1252" s="1"/>
      <c r="J1252" s="1"/>
    </row>
    <row r="1253" spans="1:10" ht="12.75" x14ac:dyDescent="0.2">
      <c r="A1253" s="3"/>
      <c r="B1253" s="3"/>
      <c r="C1253" s="3"/>
      <c r="D1253" s="3"/>
      <c r="E1253" s="3"/>
      <c r="F1253" s="2"/>
      <c r="G1253" s="2"/>
      <c r="I1253" s="1"/>
      <c r="J1253" s="1"/>
    </row>
    <row r="1254" spans="1:10" ht="12.75" x14ac:dyDescent="0.2">
      <c r="A1254" s="3"/>
      <c r="B1254" s="3"/>
      <c r="C1254" s="3"/>
      <c r="D1254" s="3"/>
      <c r="E1254" s="3"/>
      <c r="F1254" s="2"/>
      <c r="G1254" s="2"/>
      <c r="I1254" s="1"/>
      <c r="J1254" s="1"/>
    </row>
    <row r="1255" spans="1:10" ht="12.75" x14ac:dyDescent="0.2">
      <c r="A1255" s="3"/>
      <c r="B1255" s="3"/>
      <c r="C1255" s="3"/>
      <c r="D1255" s="3"/>
      <c r="E1255" s="3"/>
      <c r="F1255" s="2"/>
      <c r="G1255" s="2"/>
      <c r="I1255" s="1"/>
      <c r="J1255" s="1"/>
    </row>
    <row r="1256" spans="1:10" ht="12.75" x14ac:dyDescent="0.2">
      <c r="A1256" s="3"/>
      <c r="B1256" s="3"/>
      <c r="C1256" s="3"/>
      <c r="D1256" s="3"/>
      <c r="E1256" s="3"/>
      <c r="F1256" s="2"/>
      <c r="G1256" s="2"/>
      <c r="I1256" s="1"/>
      <c r="J1256" s="1"/>
    </row>
    <row r="1257" spans="1:10" ht="12.75" x14ac:dyDescent="0.2">
      <c r="A1257" s="3"/>
      <c r="B1257" s="3"/>
      <c r="C1257" s="3"/>
      <c r="D1257" s="3"/>
      <c r="E1257" s="3"/>
      <c r="F1257" s="2"/>
      <c r="G1257" s="2"/>
      <c r="I1257" s="1"/>
      <c r="J1257" s="1"/>
    </row>
    <row r="1258" spans="1:10" ht="12.75" x14ac:dyDescent="0.2">
      <c r="A1258" s="3"/>
      <c r="B1258" s="3"/>
      <c r="C1258" s="3"/>
      <c r="D1258" s="3"/>
      <c r="E1258" s="3"/>
      <c r="F1258" s="2"/>
      <c r="G1258" s="2"/>
      <c r="I1258" s="1"/>
      <c r="J1258" s="1"/>
    </row>
    <row r="1259" spans="1:10" ht="12.75" x14ac:dyDescent="0.2">
      <c r="A1259" s="3"/>
      <c r="B1259" s="3"/>
      <c r="C1259" s="3"/>
      <c r="D1259" s="3"/>
      <c r="E1259" s="3"/>
      <c r="F1259" s="2"/>
      <c r="G1259" s="2"/>
      <c r="I1259" s="1"/>
      <c r="J1259" s="1"/>
    </row>
    <row r="1260" spans="1:10" ht="12.75" x14ac:dyDescent="0.2">
      <c r="A1260" s="3"/>
      <c r="B1260" s="3"/>
      <c r="C1260" s="3"/>
      <c r="D1260" s="3"/>
      <c r="E1260" s="3"/>
      <c r="F1260" s="2"/>
      <c r="G1260" s="2"/>
      <c r="I1260" s="1"/>
      <c r="J1260" s="1"/>
    </row>
    <row r="1261" spans="1:10" ht="12.75" x14ac:dyDescent="0.2">
      <c r="A1261" s="3"/>
      <c r="B1261" s="3"/>
      <c r="C1261" s="3"/>
      <c r="D1261" s="3"/>
      <c r="E1261" s="3"/>
      <c r="F1261" s="2"/>
      <c r="G1261" s="2"/>
      <c r="I1261" s="1"/>
      <c r="J1261" s="1"/>
    </row>
    <row r="1262" spans="1:10" ht="12.75" x14ac:dyDescent="0.2">
      <c r="A1262" s="3"/>
      <c r="B1262" s="3"/>
      <c r="C1262" s="3"/>
      <c r="D1262" s="3"/>
      <c r="E1262" s="3"/>
      <c r="F1262" s="2"/>
      <c r="G1262" s="2"/>
      <c r="I1262" s="1"/>
      <c r="J1262" s="1"/>
    </row>
    <row r="1263" spans="1:10" ht="12.75" x14ac:dyDescent="0.2">
      <c r="A1263" s="3"/>
      <c r="B1263" s="3"/>
      <c r="C1263" s="3"/>
      <c r="D1263" s="3"/>
      <c r="E1263" s="3"/>
      <c r="F1263" s="2"/>
      <c r="G1263" s="2"/>
      <c r="I1263" s="1"/>
      <c r="J1263" s="1"/>
    </row>
    <row r="1264" spans="1:10" ht="12.75" x14ac:dyDescent="0.2">
      <c r="A1264" s="3"/>
      <c r="B1264" s="3"/>
      <c r="C1264" s="3"/>
      <c r="D1264" s="3"/>
      <c r="E1264" s="3"/>
      <c r="F1264" s="2"/>
      <c r="G1264" s="2"/>
      <c r="I1264" s="1"/>
      <c r="J1264" s="1"/>
    </row>
    <row r="1265" spans="1:10" ht="12.75" x14ac:dyDescent="0.2">
      <c r="A1265" s="3"/>
      <c r="B1265" s="3"/>
      <c r="C1265" s="3"/>
      <c r="D1265" s="3"/>
      <c r="E1265" s="3"/>
      <c r="F1265" s="2"/>
      <c r="G1265" s="2"/>
      <c r="I1265" s="1"/>
      <c r="J1265" s="1"/>
    </row>
    <row r="1266" spans="1:10" ht="12.75" x14ac:dyDescent="0.2">
      <c r="A1266" s="3"/>
      <c r="B1266" s="3"/>
      <c r="C1266" s="3"/>
      <c r="D1266" s="3"/>
      <c r="E1266" s="3"/>
      <c r="F1266" s="2"/>
      <c r="G1266" s="2"/>
      <c r="I1266" s="1"/>
      <c r="J1266" s="1"/>
    </row>
    <row r="1267" spans="1:10" ht="12.75" x14ac:dyDescent="0.2">
      <c r="A1267" s="3"/>
      <c r="B1267" s="3"/>
      <c r="C1267" s="3"/>
      <c r="D1267" s="3"/>
      <c r="E1267" s="3"/>
      <c r="F1267" s="2"/>
      <c r="G1267" s="2"/>
      <c r="I1267" s="1"/>
      <c r="J1267" s="1"/>
    </row>
    <row r="1268" spans="1:10" ht="12.75" x14ac:dyDescent="0.2">
      <c r="A1268" s="3"/>
      <c r="B1268" s="3"/>
      <c r="C1268" s="3"/>
      <c r="D1268" s="3"/>
      <c r="E1268" s="3"/>
      <c r="F1268" s="2"/>
      <c r="G1268" s="2"/>
      <c r="I1268" s="1"/>
      <c r="J1268" s="1"/>
    </row>
    <row r="1269" spans="1:10" ht="12.75" x14ac:dyDescent="0.2">
      <c r="A1269" s="3"/>
      <c r="B1269" s="3"/>
      <c r="C1269" s="3"/>
      <c r="D1269" s="3"/>
      <c r="E1269" s="3"/>
      <c r="F1269" s="2"/>
      <c r="G1269" s="2"/>
      <c r="I1269" s="1"/>
      <c r="J1269" s="1"/>
    </row>
    <row r="1270" spans="1:10" ht="12.75" x14ac:dyDescent="0.2">
      <c r="A1270" s="3"/>
      <c r="B1270" s="3"/>
      <c r="C1270" s="3"/>
      <c r="D1270" s="3"/>
      <c r="E1270" s="3"/>
      <c r="F1270" s="2"/>
      <c r="G1270" s="2"/>
      <c r="I1270" s="1"/>
      <c r="J1270" s="1"/>
    </row>
    <row r="1271" spans="1:10" ht="12.75" x14ac:dyDescent="0.2">
      <c r="A1271" s="3"/>
      <c r="B1271" s="3"/>
      <c r="C1271" s="3"/>
      <c r="D1271" s="3"/>
      <c r="E1271" s="3"/>
      <c r="F1271" s="2"/>
      <c r="G1271" s="2"/>
      <c r="I1271" s="1"/>
      <c r="J1271" s="1"/>
    </row>
    <row r="1272" spans="1:10" ht="12.75" x14ac:dyDescent="0.2">
      <c r="A1272" s="3"/>
      <c r="B1272" s="3"/>
      <c r="C1272" s="3"/>
      <c r="D1272" s="3"/>
      <c r="E1272" s="3"/>
      <c r="F1272" s="2"/>
      <c r="G1272" s="2"/>
      <c r="I1272" s="1"/>
      <c r="J1272" s="1"/>
    </row>
    <row r="1273" spans="1:10" ht="12.75" x14ac:dyDescent="0.2">
      <c r="A1273" s="3"/>
      <c r="B1273" s="3"/>
      <c r="C1273" s="3"/>
      <c r="D1273" s="3"/>
      <c r="E1273" s="3"/>
      <c r="F1273" s="2"/>
      <c r="G1273" s="2"/>
      <c r="I1273" s="1"/>
      <c r="J1273" s="1"/>
    </row>
    <row r="1274" spans="1:10" ht="12.75" x14ac:dyDescent="0.2">
      <c r="A1274" s="3"/>
      <c r="B1274" s="3"/>
      <c r="C1274" s="3"/>
      <c r="D1274" s="3"/>
      <c r="E1274" s="3"/>
      <c r="F1274" s="2"/>
      <c r="G1274" s="2"/>
      <c r="I1274" s="1"/>
      <c r="J1274" s="1"/>
    </row>
    <row r="1275" spans="1:10" ht="12.75" x14ac:dyDescent="0.2">
      <c r="A1275" s="3"/>
      <c r="B1275" s="3"/>
      <c r="C1275" s="3"/>
      <c r="D1275" s="3"/>
      <c r="E1275" s="3"/>
      <c r="F1275" s="2"/>
      <c r="G1275" s="2"/>
      <c r="I1275" s="1"/>
      <c r="J1275" s="1"/>
    </row>
    <row r="1276" spans="1:10" ht="12.75" x14ac:dyDescent="0.2">
      <c r="A1276" s="3"/>
      <c r="B1276" s="3"/>
      <c r="C1276" s="3"/>
      <c r="D1276" s="3"/>
      <c r="E1276" s="3"/>
      <c r="F1276" s="2"/>
      <c r="G1276" s="2"/>
      <c r="I1276" s="1"/>
      <c r="J1276" s="1"/>
    </row>
    <row r="1277" spans="1:10" ht="12.75" x14ac:dyDescent="0.2">
      <c r="A1277" s="3"/>
      <c r="B1277" s="3"/>
      <c r="C1277" s="3"/>
      <c r="D1277" s="3"/>
      <c r="E1277" s="3"/>
      <c r="F1277" s="2"/>
      <c r="G1277" s="2"/>
      <c r="I1277" s="1"/>
      <c r="J1277" s="1"/>
    </row>
    <row r="1278" spans="1:10" ht="12.75" x14ac:dyDescent="0.2">
      <c r="A1278" s="3"/>
      <c r="B1278" s="3"/>
      <c r="C1278" s="3"/>
      <c r="D1278" s="3"/>
      <c r="E1278" s="3"/>
      <c r="F1278" s="2"/>
      <c r="G1278" s="2"/>
      <c r="I1278" s="1"/>
      <c r="J1278" s="1"/>
    </row>
    <row r="1279" spans="1:10" ht="12.75" x14ac:dyDescent="0.2">
      <c r="A1279" s="3"/>
      <c r="B1279" s="3"/>
      <c r="C1279" s="3"/>
      <c r="D1279" s="3"/>
      <c r="E1279" s="3"/>
      <c r="F1279" s="2"/>
      <c r="G1279" s="2"/>
      <c r="I1279" s="1"/>
      <c r="J1279" s="1"/>
    </row>
    <row r="1280" spans="1:10" ht="12.75" x14ac:dyDescent="0.2">
      <c r="A1280" s="3"/>
      <c r="B1280" s="3"/>
      <c r="C1280" s="3"/>
      <c r="D1280" s="3"/>
      <c r="E1280" s="3"/>
      <c r="F1280" s="2"/>
      <c r="G1280" s="2"/>
      <c r="I1280" s="1"/>
      <c r="J1280" s="1"/>
    </row>
    <row r="1281" spans="1:10" ht="12.75" x14ac:dyDescent="0.2">
      <c r="A1281" s="3"/>
      <c r="B1281" s="3"/>
      <c r="C1281" s="3"/>
      <c r="D1281" s="3"/>
      <c r="E1281" s="3"/>
      <c r="F1281" s="2"/>
      <c r="G1281" s="2"/>
      <c r="I1281" s="1"/>
      <c r="J1281" s="1"/>
    </row>
    <row r="1282" spans="1:10" ht="12.75" x14ac:dyDescent="0.2">
      <c r="A1282" s="3"/>
      <c r="B1282" s="3"/>
      <c r="C1282" s="3"/>
      <c r="D1282" s="3"/>
      <c r="E1282" s="3"/>
      <c r="F1282" s="2"/>
      <c r="G1282" s="2"/>
      <c r="I1282" s="1"/>
      <c r="J1282" s="1"/>
    </row>
    <row r="1283" spans="1:10" ht="12.75" x14ac:dyDescent="0.2">
      <c r="A1283" s="3"/>
      <c r="B1283" s="3"/>
      <c r="C1283" s="3"/>
      <c r="D1283" s="3"/>
      <c r="E1283" s="3"/>
      <c r="F1283" s="2"/>
      <c r="G1283" s="2"/>
      <c r="I1283" s="1"/>
      <c r="J1283" s="1"/>
    </row>
    <row r="1284" spans="1:10" ht="12.75" x14ac:dyDescent="0.2">
      <c r="A1284" s="3"/>
      <c r="B1284" s="3"/>
      <c r="C1284" s="3"/>
      <c r="D1284" s="3"/>
      <c r="E1284" s="3"/>
      <c r="F1284" s="2"/>
      <c r="G1284" s="2"/>
      <c r="I1284" s="1"/>
      <c r="J1284" s="1"/>
    </row>
    <row r="1285" spans="1:10" ht="12.75" x14ac:dyDescent="0.2">
      <c r="A1285" s="3"/>
      <c r="B1285" s="3"/>
      <c r="C1285" s="3"/>
      <c r="D1285" s="3"/>
      <c r="E1285" s="3"/>
      <c r="F1285" s="2"/>
      <c r="G1285" s="2"/>
      <c r="I1285" s="1"/>
      <c r="J1285" s="1"/>
    </row>
    <row r="1286" spans="1:10" ht="12.75" x14ac:dyDescent="0.2">
      <c r="A1286" s="3"/>
      <c r="B1286" s="3"/>
      <c r="C1286" s="3"/>
      <c r="D1286" s="3"/>
      <c r="E1286" s="3"/>
      <c r="F1286" s="2"/>
      <c r="G1286" s="2"/>
      <c r="I1286" s="1"/>
      <c r="J1286" s="1"/>
    </row>
    <row r="1287" spans="1:10" ht="12.75" x14ac:dyDescent="0.2">
      <c r="A1287" s="3"/>
      <c r="B1287" s="3"/>
      <c r="C1287" s="3"/>
      <c r="D1287" s="3"/>
      <c r="E1287" s="3"/>
      <c r="F1287" s="2"/>
      <c r="G1287" s="2"/>
      <c r="I1287" s="1"/>
      <c r="J1287" s="1"/>
    </row>
    <row r="1288" spans="1:10" ht="12.75" x14ac:dyDescent="0.2">
      <c r="A1288" s="3"/>
      <c r="B1288" s="3"/>
      <c r="C1288" s="3"/>
      <c r="D1288" s="3"/>
      <c r="E1288" s="3"/>
      <c r="F1288" s="2"/>
      <c r="G1288" s="2"/>
      <c r="I1288" s="1"/>
      <c r="J1288" s="1"/>
    </row>
    <row r="1289" spans="1:10" ht="12.75" x14ac:dyDescent="0.2">
      <c r="A1289" s="3"/>
      <c r="B1289" s="3"/>
      <c r="C1289" s="3"/>
      <c r="D1289" s="3"/>
      <c r="E1289" s="3"/>
      <c r="F1289" s="2"/>
      <c r="G1289" s="2"/>
      <c r="I1289" s="1"/>
      <c r="J1289" s="1"/>
    </row>
    <row r="1290" spans="1:10" ht="12.75" x14ac:dyDescent="0.2">
      <c r="A1290" s="3"/>
      <c r="B1290" s="3"/>
      <c r="C1290" s="3"/>
      <c r="D1290" s="3"/>
      <c r="E1290" s="3"/>
      <c r="F1290" s="2"/>
      <c r="G1290" s="2"/>
      <c r="I1290" s="1"/>
      <c r="J1290" s="1"/>
    </row>
    <row r="1291" spans="1:10" ht="12.75" x14ac:dyDescent="0.2">
      <c r="A1291" s="3"/>
      <c r="B1291" s="3"/>
      <c r="C1291" s="3"/>
      <c r="D1291" s="3"/>
      <c r="E1291" s="3"/>
      <c r="F1291" s="2"/>
      <c r="G1291" s="2"/>
      <c r="I1291" s="1"/>
      <c r="J1291" s="1"/>
    </row>
    <row r="1292" spans="1:10" ht="12.75" x14ac:dyDescent="0.2">
      <c r="A1292" s="3"/>
      <c r="B1292" s="3"/>
      <c r="C1292" s="3"/>
      <c r="D1292" s="3"/>
      <c r="E1292" s="3"/>
      <c r="F1292" s="2"/>
      <c r="G1292" s="2"/>
      <c r="I1292" s="1"/>
      <c r="J1292" s="1"/>
    </row>
    <row r="1293" spans="1:10" ht="12.75" x14ac:dyDescent="0.2">
      <c r="A1293" s="3"/>
      <c r="B1293" s="3"/>
      <c r="C1293" s="3"/>
      <c r="D1293" s="3"/>
      <c r="E1293" s="3"/>
      <c r="F1293" s="2"/>
      <c r="G1293" s="2"/>
      <c r="I1293" s="1"/>
      <c r="J1293" s="1"/>
    </row>
    <row r="1294" spans="1:10" ht="12.75" x14ac:dyDescent="0.2">
      <c r="A1294" s="3"/>
      <c r="B1294" s="3"/>
      <c r="C1294" s="3"/>
      <c r="D1294" s="3"/>
      <c r="E1294" s="3"/>
      <c r="F1294" s="2"/>
      <c r="G1294" s="2"/>
      <c r="I1294" s="1"/>
      <c r="J1294" s="1"/>
    </row>
    <row r="1295" spans="1:10" ht="12.75" x14ac:dyDescent="0.2">
      <c r="A1295" s="3"/>
      <c r="B1295" s="3"/>
      <c r="C1295" s="3"/>
      <c r="D1295" s="3"/>
      <c r="E1295" s="3"/>
      <c r="F1295" s="2"/>
      <c r="G1295" s="2"/>
      <c r="I1295" s="1"/>
      <c r="J1295" s="1"/>
    </row>
    <row r="1296" spans="1:10" ht="12.75" x14ac:dyDescent="0.2">
      <c r="A1296" s="3"/>
      <c r="B1296" s="3"/>
      <c r="C1296" s="3"/>
      <c r="D1296" s="3"/>
      <c r="E1296" s="3"/>
      <c r="F1296" s="2"/>
      <c r="G1296" s="2"/>
      <c r="I1296" s="1"/>
      <c r="J1296" s="1"/>
    </row>
    <row r="1297" spans="1:10" ht="12.75" x14ac:dyDescent="0.2">
      <c r="A1297" s="3"/>
      <c r="B1297" s="3"/>
      <c r="C1297" s="3"/>
      <c r="D1297" s="3"/>
      <c r="E1297" s="3"/>
      <c r="F1297" s="2"/>
      <c r="G1297" s="2"/>
      <c r="I1297" s="1"/>
      <c r="J1297" s="1"/>
    </row>
    <row r="1298" spans="1:10" ht="12.75" x14ac:dyDescent="0.2">
      <c r="A1298" s="3"/>
      <c r="B1298" s="3"/>
      <c r="C1298" s="3"/>
      <c r="D1298" s="3"/>
      <c r="E1298" s="3"/>
      <c r="F1298" s="2"/>
      <c r="G1298" s="2"/>
      <c r="I1298" s="1"/>
      <c r="J1298" s="1"/>
    </row>
    <row r="1299" spans="1:10" ht="12.75" x14ac:dyDescent="0.2">
      <c r="A1299" s="3"/>
      <c r="B1299" s="3"/>
      <c r="C1299" s="3"/>
      <c r="D1299" s="3"/>
      <c r="E1299" s="3"/>
      <c r="F1299" s="2"/>
      <c r="G1299" s="2"/>
      <c r="I1299" s="1"/>
      <c r="J1299" s="1"/>
    </row>
    <row r="1300" spans="1:10" ht="12.75" x14ac:dyDescent="0.2">
      <c r="A1300" s="3"/>
      <c r="B1300" s="3"/>
      <c r="C1300" s="3"/>
      <c r="D1300" s="3"/>
      <c r="E1300" s="3"/>
      <c r="F1300" s="2"/>
      <c r="G1300" s="2"/>
      <c r="I1300" s="1"/>
      <c r="J1300" s="1"/>
    </row>
    <row r="1301" spans="1:10" ht="12.75" x14ac:dyDescent="0.2">
      <c r="A1301" s="3"/>
      <c r="B1301" s="3"/>
      <c r="C1301" s="3"/>
      <c r="D1301" s="3"/>
      <c r="E1301" s="3"/>
      <c r="F1301" s="2"/>
      <c r="G1301" s="2"/>
      <c r="I1301" s="1"/>
      <c r="J1301" s="1"/>
    </row>
    <row r="1302" spans="1:10" ht="12.75" x14ac:dyDescent="0.2">
      <c r="A1302" s="3"/>
      <c r="B1302" s="3"/>
      <c r="C1302" s="3"/>
      <c r="D1302" s="3"/>
      <c r="E1302" s="3"/>
      <c r="F1302" s="2"/>
      <c r="G1302" s="2"/>
      <c r="I1302" s="1"/>
      <c r="J1302" s="1"/>
    </row>
    <row r="1303" spans="1:10" ht="12.75" x14ac:dyDescent="0.2">
      <c r="A1303" s="3"/>
      <c r="B1303" s="3"/>
      <c r="C1303" s="3"/>
      <c r="D1303" s="3"/>
      <c r="E1303" s="3"/>
      <c r="F1303" s="2"/>
      <c r="G1303" s="2"/>
      <c r="I1303" s="1"/>
      <c r="J1303" s="1"/>
    </row>
    <row r="1304" spans="1:10" ht="12.75" x14ac:dyDescent="0.2">
      <c r="A1304" s="3"/>
      <c r="B1304" s="3"/>
      <c r="C1304" s="3"/>
      <c r="D1304" s="3"/>
      <c r="E1304" s="3"/>
      <c r="F1304" s="2"/>
      <c r="G1304" s="2"/>
      <c r="I1304" s="1"/>
      <c r="J1304" s="1"/>
    </row>
    <row r="1305" spans="1:10" ht="12.75" x14ac:dyDescent="0.2">
      <c r="A1305" s="3"/>
      <c r="B1305" s="3"/>
      <c r="C1305" s="3"/>
      <c r="D1305" s="3"/>
      <c r="E1305" s="3"/>
      <c r="F1305" s="2"/>
      <c r="G1305" s="2"/>
      <c r="I1305" s="1"/>
      <c r="J1305" s="1"/>
    </row>
    <row r="1306" spans="1:10" ht="12.75" x14ac:dyDescent="0.2">
      <c r="A1306" s="3"/>
      <c r="B1306" s="3"/>
      <c r="C1306" s="3"/>
      <c r="D1306" s="3"/>
      <c r="E1306" s="3"/>
      <c r="F1306" s="2"/>
      <c r="G1306" s="2"/>
      <c r="I1306" s="1"/>
      <c r="J1306" s="1"/>
    </row>
    <row r="1307" spans="1:10" ht="12.75" x14ac:dyDescent="0.2">
      <c r="A1307" s="3"/>
      <c r="B1307" s="3"/>
      <c r="C1307" s="3"/>
      <c r="D1307" s="3"/>
      <c r="E1307" s="3"/>
      <c r="F1307" s="2"/>
      <c r="G1307" s="2"/>
      <c r="I1307" s="1"/>
      <c r="J1307" s="1"/>
    </row>
    <row r="1308" spans="1:10" ht="12.75" x14ac:dyDescent="0.2">
      <c r="A1308" s="3"/>
      <c r="B1308" s="3"/>
      <c r="C1308" s="3"/>
      <c r="D1308" s="3"/>
      <c r="E1308" s="3"/>
      <c r="F1308" s="2"/>
      <c r="G1308" s="2"/>
      <c r="I1308" s="1"/>
      <c r="J1308" s="1"/>
    </row>
    <row r="1309" spans="1:10" ht="12.75" x14ac:dyDescent="0.2">
      <c r="A1309" s="3"/>
      <c r="B1309" s="3"/>
      <c r="C1309" s="3"/>
      <c r="D1309" s="3"/>
      <c r="E1309" s="3"/>
      <c r="F1309" s="2"/>
      <c r="G1309" s="2"/>
      <c r="I1309" s="1"/>
      <c r="J1309" s="1"/>
    </row>
    <row r="1310" spans="1:10" ht="12.75" x14ac:dyDescent="0.2">
      <c r="A1310" s="3"/>
      <c r="B1310" s="3"/>
      <c r="C1310" s="3"/>
      <c r="D1310" s="3"/>
      <c r="E1310" s="3"/>
      <c r="F1310" s="2"/>
      <c r="G1310" s="2"/>
      <c r="I1310" s="1"/>
      <c r="J1310" s="1"/>
    </row>
    <row r="1311" spans="1:10" ht="12.75" x14ac:dyDescent="0.2">
      <c r="A1311" s="3"/>
      <c r="B1311" s="3"/>
      <c r="C1311" s="3"/>
      <c r="D1311" s="3"/>
      <c r="E1311" s="3"/>
      <c r="F1311" s="2"/>
      <c r="G1311" s="2"/>
      <c r="I1311" s="1"/>
      <c r="J1311" s="1"/>
    </row>
    <row r="1312" spans="1:10" ht="12.75" x14ac:dyDescent="0.2">
      <c r="A1312" s="3"/>
      <c r="B1312" s="3"/>
      <c r="C1312" s="3"/>
      <c r="D1312" s="3"/>
      <c r="E1312" s="3"/>
      <c r="F1312" s="2"/>
      <c r="G1312" s="2"/>
      <c r="I1312" s="1"/>
      <c r="J1312" s="1"/>
    </row>
    <row r="1313" spans="1:10" ht="12.75" x14ac:dyDescent="0.2">
      <c r="A1313" s="3"/>
      <c r="B1313" s="3"/>
      <c r="C1313" s="3"/>
      <c r="D1313" s="3"/>
      <c r="E1313" s="3"/>
      <c r="F1313" s="2"/>
      <c r="G1313" s="2"/>
      <c r="I1313" s="1"/>
      <c r="J1313" s="1"/>
    </row>
    <row r="1314" spans="1:10" ht="12.75" x14ac:dyDescent="0.2">
      <c r="A1314" s="3"/>
      <c r="B1314" s="3"/>
      <c r="C1314" s="3"/>
      <c r="D1314" s="3"/>
      <c r="E1314" s="3"/>
      <c r="F1314" s="2"/>
      <c r="G1314" s="2"/>
      <c r="I1314" s="1"/>
      <c r="J1314" s="1"/>
    </row>
    <row r="1315" spans="1:10" ht="12.75" x14ac:dyDescent="0.2">
      <c r="A1315" s="3"/>
      <c r="B1315" s="3"/>
      <c r="C1315" s="3"/>
      <c r="D1315" s="3"/>
      <c r="E1315" s="3"/>
      <c r="F1315" s="2"/>
      <c r="G1315" s="2"/>
      <c r="I1315" s="1"/>
      <c r="J1315" s="1"/>
    </row>
    <row r="1316" spans="1:10" ht="12.75" x14ac:dyDescent="0.2">
      <c r="A1316" s="3"/>
      <c r="B1316" s="3"/>
      <c r="C1316" s="3"/>
      <c r="D1316" s="3"/>
      <c r="E1316" s="3"/>
      <c r="F1316" s="2"/>
      <c r="G1316" s="2"/>
      <c r="I1316" s="1"/>
      <c r="J1316" s="1"/>
    </row>
    <row r="1317" spans="1:10" ht="12.75" x14ac:dyDescent="0.2">
      <c r="A1317" s="3"/>
      <c r="B1317" s="3"/>
      <c r="C1317" s="3"/>
      <c r="D1317" s="3"/>
      <c r="E1317" s="3"/>
      <c r="F1317" s="2"/>
      <c r="G1317" s="2"/>
      <c r="I1317" s="1"/>
      <c r="J1317" s="1"/>
    </row>
    <row r="1318" spans="1:10" ht="12.75" x14ac:dyDescent="0.2">
      <c r="A1318" s="3"/>
      <c r="B1318" s="3"/>
      <c r="C1318" s="3"/>
      <c r="D1318" s="3"/>
      <c r="E1318" s="3"/>
      <c r="F1318" s="2"/>
      <c r="G1318" s="2"/>
      <c r="I1318" s="1"/>
      <c r="J1318" s="1"/>
    </row>
    <row r="1319" spans="1:10" ht="12.75" x14ac:dyDescent="0.2">
      <c r="A1319" s="3"/>
      <c r="B1319" s="3"/>
      <c r="C1319" s="3"/>
      <c r="D1319" s="3"/>
      <c r="E1319" s="3"/>
      <c r="F1319" s="2"/>
      <c r="G1319" s="2"/>
      <c r="I1319" s="1"/>
      <c r="J1319" s="1"/>
    </row>
    <row r="1320" spans="1:10" ht="12.75" x14ac:dyDescent="0.2">
      <c r="A1320" s="3"/>
      <c r="B1320" s="3"/>
      <c r="C1320" s="3"/>
      <c r="D1320" s="3"/>
      <c r="E1320" s="3"/>
      <c r="F1320" s="2"/>
      <c r="G1320" s="2"/>
      <c r="I1320" s="1"/>
      <c r="J1320" s="1"/>
    </row>
    <row r="1321" spans="1:10" ht="12.75" x14ac:dyDescent="0.2">
      <c r="A1321" s="3"/>
      <c r="B1321" s="3"/>
      <c r="C1321" s="3"/>
      <c r="D1321" s="3"/>
      <c r="E1321" s="3"/>
      <c r="F1321" s="2"/>
      <c r="G1321" s="2"/>
      <c r="I1321" s="1"/>
      <c r="J1321" s="1"/>
    </row>
    <row r="1322" spans="1:10" ht="12.75" x14ac:dyDescent="0.2">
      <c r="A1322" s="3"/>
      <c r="B1322" s="3"/>
      <c r="C1322" s="3"/>
      <c r="D1322" s="3"/>
      <c r="E1322" s="3"/>
      <c r="F1322" s="2"/>
      <c r="G1322" s="2"/>
      <c r="I1322" s="1"/>
      <c r="J1322" s="1"/>
    </row>
    <row r="1323" spans="1:10" ht="12.75" x14ac:dyDescent="0.2">
      <c r="A1323" s="3"/>
      <c r="B1323" s="3"/>
      <c r="C1323" s="3"/>
      <c r="D1323" s="3"/>
      <c r="E1323" s="3"/>
      <c r="F1323" s="2"/>
      <c r="G1323" s="2"/>
      <c r="I1323" s="1"/>
      <c r="J1323" s="1"/>
    </row>
    <row r="1324" spans="1:10" ht="12.75" x14ac:dyDescent="0.2">
      <c r="A1324" s="3"/>
      <c r="B1324" s="3"/>
      <c r="C1324" s="3"/>
      <c r="D1324" s="3"/>
      <c r="E1324" s="3"/>
      <c r="F1324" s="2"/>
      <c r="G1324" s="2"/>
      <c r="I1324" s="1"/>
      <c r="J1324" s="1"/>
    </row>
    <row r="1325" spans="1:10" ht="12.75" x14ac:dyDescent="0.2">
      <c r="A1325" s="3"/>
      <c r="B1325" s="3"/>
      <c r="C1325" s="3"/>
      <c r="D1325" s="3"/>
      <c r="E1325" s="3"/>
      <c r="F1325" s="2"/>
      <c r="G1325" s="2"/>
      <c r="I1325" s="1"/>
      <c r="J1325" s="1"/>
    </row>
    <row r="1326" spans="1:10" ht="12.75" x14ac:dyDescent="0.2">
      <c r="A1326" s="3"/>
      <c r="B1326" s="3"/>
      <c r="C1326" s="3"/>
      <c r="D1326" s="3"/>
      <c r="E1326" s="3"/>
      <c r="F1326" s="2"/>
      <c r="G1326" s="2"/>
      <c r="I1326" s="1"/>
      <c r="J1326" s="1"/>
    </row>
    <row r="1327" spans="1:10" ht="12.75" x14ac:dyDescent="0.2">
      <c r="A1327" s="3"/>
      <c r="B1327" s="3"/>
      <c r="C1327" s="3"/>
      <c r="D1327" s="3"/>
      <c r="E1327" s="3"/>
      <c r="F1327" s="2"/>
      <c r="G1327" s="2"/>
      <c r="I1327" s="1"/>
      <c r="J1327" s="1"/>
    </row>
    <row r="1328" spans="1:10" ht="12.75" x14ac:dyDescent="0.2">
      <c r="A1328" s="3"/>
      <c r="B1328" s="3"/>
      <c r="C1328" s="3"/>
      <c r="D1328" s="3"/>
      <c r="E1328" s="3"/>
      <c r="F1328" s="2"/>
      <c r="G1328" s="2"/>
      <c r="I1328" s="1"/>
      <c r="J1328" s="1"/>
    </row>
    <row r="1329" spans="1:10" ht="12.75" x14ac:dyDescent="0.2">
      <c r="A1329" s="3"/>
      <c r="B1329" s="3"/>
      <c r="C1329" s="3"/>
      <c r="D1329" s="3"/>
      <c r="E1329" s="3"/>
      <c r="F1329" s="2"/>
      <c r="G1329" s="2"/>
      <c r="I1329" s="1"/>
      <c r="J1329" s="1"/>
    </row>
    <row r="1330" spans="1:10" ht="12.75" x14ac:dyDescent="0.2">
      <c r="A1330" s="3"/>
      <c r="B1330" s="3"/>
      <c r="C1330" s="3"/>
      <c r="D1330" s="3"/>
      <c r="E1330" s="3"/>
      <c r="F1330" s="2"/>
      <c r="G1330" s="2"/>
      <c r="I1330" s="1"/>
      <c r="J1330" s="1"/>
    </row>
    <row r="1331" spans="1:10" ht="12.75" x14ac:dyDescent="0.2">
      <c r="A1331" s="3"/>
      <c r="B1331" s="3"/>
      <c r="C1331" s="3"/>
      <c r="D1331" s="3"/>
      <c r="E1331" s="3"/>
      <c r="F1331" s="2"/>
      <c r="G1331" s="2"/>
      <c r="I1331" s="1"/>
      <c r="J1331" s="1"/>
    </row>
    <row r="1332" spans="1:10" ht="12.75" x14ac:dyDescent="0.2">
      <c r="A1332" s="3"/>
      <c r="B1332" s="3"/>
      <c r="C1332" s="3"/>
      <c r="D1332" s="3"/>
      <c r="E1332" s="3"/>
      <c r="F1332" s="2"/>
      <c r="G1332" s="2"/>
      <c r="I1332" s="1"/>
      <c r="J1332" s="1"/>
    </row>
    <row r="1333" spans="1:10" ht="12.75" x14ac:dyDescent="0.2">
      <c r="A1333" s="3"/>
      <c r="B1333" s="3"/>
      <c r="C1333" s="3"/>
      <c r="D1333" s="3"/>
      <c r="E1333" s="3"/>
      <c r="F1333" s="2"/>
      <c r="G1333" s="2"/>
      <c r="I1333" s="1"/>
      <c r="J1333" s="1"/>
    </row>
    <row r="1334" spans="1:10" ht="12.75" x14ac:dyDescent="0.2">
      <c r="A1334" s="3"/>
      <c r="B1334" s="3"/>
      <c r="C1334" s="3"/>
      <c r="D1334" s="3"/>
      <c r="E1334" s="3"/>
      <c r="F1334" s="2"/>
      <c r="G1334" s="2"/>
      <c r="I1334" s="1"/>
      <c r="J1334" s="1"/>
    </row>
    <row r="1335" spans="1:10" ht="12.75" x14ac:dyDescent="0.2">
      <c r="A1335" s="3"/>
      <c r="B1335" s="3"/>
      <c r="C1335" s="3"/>
      <c r="D1335" s="3"/>
      <c r="E1335" s="3"/>
      <c r="F1335" s="2"/>
      <c r="G1335" s="2"/>
      <c r="I1335" s="1"/>
      <c r="J1335" s="1"/>
    </row>
    <row r="1336" spans="1:10" ht="12.75" x14ac:dyDescent="0.2">
      <c r="A1336" s="3"/>
      <c r="B1336" s="3"/>
      <c r="C1336" s="3"/>
      <c r="D1336" s="3"/>
      <c r="E1336" s="3"/>
      <c r="F1336" s="2"/>
      <c r="G1336" s="2"/>
      <c r="I1336" s="1"/>
      <c r="J1336" s="1"/>
    </row>
    <row r="1337" spans="1:10" ht="12.75" x14ac:dyDescent="0.2">
      <c r="A1337" s="3"/>
      <c r="B1337" s="3"/>
      <c r="C1337" s="3"/>
      <c r="D1337" s="3"/>
      <c r="E1337" s="3"/>
      <c r="F1337" s="2"/>
      <c r="G1337" s="2"/>
      <c r="I1337" s="1"/>
      <c r="J1337" s="1"/>
    </row>
    <row r="1338" spans="1:10" ht="12.75" x14ac:dyDescent="0.2">
      <c r="A1338" s="3"/>
      <c r="B1338" s="3"/>
      <c r="C1338" s="3"/>
      <c r="D1338" s="3"/>
      <c r="E1338" s="3"/>
      <c r="F1338" s="2"/>
      <c r="G1338" s="2"/>
      <c r="I1338" s="1"/>
      <c r="J1338" s="1"/>
    </row>
    <row r="1339" spans="1:10" ht="12.75" x14ac:dyDescent="0.2">
      <c r="A1339" s="3"/>
      <c r="B1339" s="3"/>
      <c r="C1339" s="3"/>
      <c r="D1339" s="3"/>
      <c r="E1339" s="3"/>
      <c r="F1339" s="2"/>
      <c r="G1339" s="2"/>
      <c r="I1339" s="1"/>
      <c r="J1339" s="1"/>
    </row>
    <row r="1340" spans="1:10" ht="12.75" x14ac:dyDescent="0.2">
      <c r="A1340" s="3"/>
      <c r="B1340" s="3"/>
      <c r="C1340" s="3"/>
      <c r="D1340" s="3"/>
      <c r="E1340" s="3"/>
      <c r="F1340" s="2"/>
      <c r="G1340" s="2"/>
      <c r="I1340" s="1"/>
      <c r="J1340" s="1"/>
    </row>
    <row r="1341" spans="1:10" ht="12.75" x14ac:dyDescent="0.2">
      <c r="A1341" s="3"/>
      <c r="B1341" s="3"/>
      <c r="C1341" s="3"/>
      <c r="D1341" s="3"/>
      <c r="E1341" s="3"/>
      <c r="F1341" s="2"/>
      <c r="G1341" s="2"/>
      <c r="I1341" s="1"/>
      <c r="J1341" s="1"/>
    </row>
    <row r="1342" spans="1:10" ht="12.75" x14ac:dyDescent="0.2">
      <c r="A1342" s="3"/>
      <c r="B1342" s="3"/>
      <c r="C1342" s="3"/>
      <c r="D1342" s="3"/>
      <c r="E1342" s="3"/>
      <c r="F1342" s="2"/>
      <c r="G1342" s="2"/>
      <c r="I1342" s="1"/>
      <c r="J1342" s="1"/>
    </row>
    <row r="1343" spans="1:10" ht="12.75" x14ac:dyDescent="0.2">
      <c r="A1343" s="3"/>
      <c r="B1343" s="3"/>
      <c r="C1343" s="3"/>
      <c r="D1343" s="3"/>
      <c r="E1343" s="3"/>
      <c r="F1343" s="2"/>
      <c r="G1343" s="2"/>
      <c r="I1343" s="1"/>
      <c r="J1343" s="1"/>
    </row>
    <row r="1344" spans="1:10" ht="12.75" x14ac:dyDescent="0.2">
      <c r="A1344" s="3"/>
      <c r="B1344" s="3"/>
      <c r="C1344" s="3"/>
      <c r="D1344" s="3"/>
      <c r="E1344" s="3"/>
      <c r="F1344" s="2"/>
      <c r="G1344" s="2"/>
      <c r="I1344" s="1"/>
      <c r="J1344" s="1"/>
    </row>
    <row r="1345" spans="1:10" ht="12.75" x14ac:dyDescent="0.2">
      <c r="A1345" s="3"/>
      <c r="B1345" s="3"/>
      <c r="C1345" s="3"/>
      <c r="D1345" s="3"/>
      <c r="E1345" s="3"/>
      <c r="F1345" s="2"/>
      <c r="G1345" s="2"/>
      <c r="I1345" s="1"/>
      <c r="J1345" s="1"/>
    </row>
    <row r="1346" spans="1:10" ht="12.75" x14ac:dyDescent="0.2">
      <c r="A1346" s="3"/>
      <c r="B1346" s="3"/>
      <c r="C1346" s="3"/>
      <c r="D1346" s="3"/>
      <c r="E1346" s="3"/>
      <c r="F1346" s="2"/>
      <c r="G1346" s="2"/>
      <c r="I1346" s="1"/>
      <c r="J1346" s="1"/>
    </row>
    <row r="1347" spans="1:10" ht="12.75" x14ac:dyDescent="0.2">
      <c r="A1347" s="3"/>
      <c r="B1347" s="3"/>
      <c r="C1347" s="3"/>
      <c r="D1347" s="3"/>
      <c r="E1347" s="3"/>
      <c r="F1347" s="2"/>
      <c r="G1347" s="2"/>
      <c r="I1347" s="1"/>
      <c r="J1347" s="1"/>
    </row>
    <row r="1348" spans="1:10" ht="12.75" x14ac:dyDescent="0.2">
      <c r="A1348" s="3"/>
      <c r="B1348" s="3"/>
      <c r="C1348" s="3"/>
      <c r="D1348" s="3"/>
      <c r="E1348" s="3"/>
      <c r="F1348" s="2"/>
      <c r="G1348" s="2"/>
      <c r="I1348" s="1"/>
      <c r="J1348" s="1"/>
    </row>
    <row r="1349" spans="1:10" ht="12.75" x14ac:dyDescent="0.2">
      <c r="A1349" s="3"/>
      <c r="B1349" s="3"/>
      <c r="C1349" s="3"/>
      <c r="D1349" s="3"/>
      <c r="E1349" s="3"/>
      <c r="F1349" s="2"/>
      <c r="G1349" s="2"/>
      <c r="I1349" s="1"/>
      <c r="J1349" s="1"/>
    </row>
    <row r="1350" spans="1:10" ht="12.75" x14ac:dyDescent="0.2">
      <c r="A1350" s="3"/>
      <c r="B1350" s="3"/>
      <c r="C1350" s="3"/>
      <c r="D1350" s="3"/>
      <c r="E1350" s="3"/>
      <c r="F1350" s="2"/>
      <c r="G1350" s="2"/>
      <c r="I1350" s="1"/>
      <c r="J1350" s="1"/>
    </row>
    <row r="1351" spans="1:10" ht="12.75" x14ac:dyDescent="0.2">
      <c r="A1351" s="3"/>
      <c r="B1351" s="3"/>
      <c r="C1351" s="3"/>
      <c r="D1351" s="3"/>
      <c r="E1351" s="3"/>
      <c r="F1351" s="2"/>
      <c r="G1351" s="2"/>
      <c r="I1351" s="1"/>
      <c r="J1351" s="1"/>
    </row>
    <row r="1352" spans="1:10" ht="12.75" x14ac:dyDescent="0.2">
      <c r="A1352" s="3"/>
      <c r="B1352" s="3"/>
      <c r="C1352" s="3"/>
      <c r="D1352" s="3"/>
      <c r="E1352" s="3"/>
      <c r="F1352" s="2"/>
      <c r="G1352" s="2"/>
      <c r="I1352" s="1"/>
      <c r="J1352" s="1"/>
    </row>
    <row r="1353" spans="1:10" ht="12.75" x14ac:dyDescent="0.2">
      <c r="A1353" s="3"/>
      <c r="B1353" s="3"/>
      <c r="C1353" s="3"/>
      <c r="D1353" s="3"/>
      <c r="E1353" s="3"/>
      <c r="F1353" s="2"/>
      <c r="G1353" s="2"/>
      <c r="I1353" s="1"/>
      <c r="J1353" s="1"/>
    </row>
    <row r="1354" spans="1:10" ht="12.75" x14ac:dyDescent="0.2">
      <c r="A1354" s="3"/>
      <c r="B1354" s="3"/>
      <c r="C1354" s="3"/>
      <c r="D1354" s="3"/>
      <c r="E1354" s="3"/>
      <c r="F1354" s="2"/>
      <c r="G1354" s="2"/>
      <c r="I1354" s="1"/>
      <c r="J1354" s="1"/>
    </row>
    <row r="1355" spans="1:10" ht="12.75" x14ac:dyDescent="0.2">
      <c r="A1355" s="3"/>
      <c r="B1355" s="3"/>
      <c r="C1355" s="3"/>
      <c r="D1355" s="3"/>
      <c r="E1355" s="3"/>
      <c r="F1355" s="2"/>
      <c r="G1355" s="2"/>
      <c r="I1355" s="1"/>
      <c r="J1355" s="1"/>
    </row>
    <row r="1356" spans="1:10" ht="12.75" x14ac:dyDescent="0.2">
      <c r="A1356" s="3"/>
      <c r="B1356" s="3"/>
      <c r="C1356" s="3"/>
      <c r="D1356" s="3"/>
      <c r="E1356" s="3"/>
      <c r="F1356" s="2"/>
      <c r="G1356" s="2"/>
      <c r="I1356" s="1"/>
      <c r="J1356" s="1"/>
    </row>
    <row r="1357" spans="1:10" ht="12.75" x14ac:dyDescent="0.2">
      <c r="A1357" s="3"/>
      <c r="B1357" s="3"/>
      <c r="C1357" s="3"/>
      <c r="D1357" s="3"/>
      <c r="E1357" s="3"/>
      <c r="F1357" s="2"/>
      <c r="G1357" s="2"/>
      <c r="I1357" s="1"/>
      <c r="J1357" s="1"/>
    </row>
    <row r="1358" spans="1:10" ht="12.75" x14ac:dyDescent="0.2">
      <c r="A1358" s="3"/>
      <c r="B1358" s="3"/>
      <c r="C1358" s="3"/>
      <c r="D1358" s="3"/>
      <c r="E1358" s="3"/>
      <c r="F1358" s="2"/>
      <c r="G1358" s="2"/>
      <c r="I1358" s="1"/>
      <c r="J1358" s="1"/>
    </row>
    <row r="1359" spans="1:10" ht="12.75" x14ac:dyDescent="0.2">
      <c r="A1359" s="3"/>
      <c r="B1359" s="3"/>
      <c r="C1359" s="3"/>
      <c r="D1359" s="3"/>
      <c r="E1359" s="3"/>
      <c r="F1359" s="2"/>
      <c r="G1359" s="2"/>
      <c r="I1359" s="1"/>
      <c r="J1359" s="1"/>
    </row>
    <row r="1360" spans="1:10" ht="12.75" x14ac:dyDescent="0.2">
      <c r="A1360" s="3"/>
      <c r="B1360" s="3"/>
      <c r="C1360" s="3"/>
      <c r="D1360" s="3"/>
      <c r="E1360" s="3"/>
      <c r="F1360" s="2"/>
      <c r="G1360" s="2"/>
      <c r="I1360" s="1"/>
      <c r="J1360" s="1"/>
    </row>
    <row r="1361" spans="1:10" ht="12.75" x14ac:dyDescent="0.2">
      <c r="A1361" s="3"/>
      <c r="B1361" s="3"/>
      <c r="C1361" s="3"/>
      <c r="D1361" s="3"/>
      <c r="E1361" s="3"/>
      <c r="F1361" s="2"/>
      <c r="G1361" s="2"/>
      <c r="I1361" s="1"/>
      <c r="J1361" s="1"/>
    </row>
    <row r="1362" spans="1:10" ht="12.75" x14ac:dyDescent="0.2">
      <c r="A1362" s="3"/>
      <c r="B1362" s="3"/>
      <c r="C1362" s="3"/>
      <c r="D1362" s="3"/>
      <c r="E1362" s="3"/>
      <c r="F1362" s="2"/>
      <c r="G1362" s="2"/>
      <c r="I1362" s="1"/>
      <c r="J1362" s="1"/>
    </row>
    <row r="1363" spans="1:10" ht="12.75" x14ac:dyDescent="0.2">
      <c r="A1363" s="3"/>
      <c r="B1363" s="3"/>
      <c r="C1363" s="3"/>
      <c r="D1363" s="3"/>
      <c r="E1363" s="3"/>
      <c r="F1363" s="2"/>
      <c r="G1363" s="2"/>
      <c r="I1363" s="1"/>
      <c r="J1363" s="1"/>
    </row>
    <row r="1364" spans="1:10" ht="12.75" x14ac:dyDescent="0.2">
      <c r="A1364" s="3"/>
      <c r="B1364" s="3"/>
      <c r="C1364" s="3"/>
      <c r="D1364" s="3"/>
      <c r="E1364" s="3"/>
      <c r="F1364" s="2"/>
      <c r="G1364" s="2"/>
      <c r="I1364" s="1"/>
      <c r="J1364" s="1"/>
    </row>
    <row r="1365" spans="1:10" ht="12.75" x14ac:dyDescent="0.2">
      <c r="A1365" s="3"/>
      <c r="B1365" s="3"/>
      <c r="C1365" s="3"/>
      <c r="D1365" s="3"/>
      <c r="E1365" s="3"/>
      <c r="F1365" s="2"/>
      <c r="G1365" s="2"/>
      <c r="I1365" s="1"/>
      <c r="J1365" s="1"/>
    </row>
    <row r="1366" spans="1:10" ht="12.75" x14ac:dyDescent="0.2">
      <c r="A1366" s="3"/>
      <c r="B1366" s="3"/>
      <c r="C1366" s="3"/>
      <c r="D1366" s="3"/>
      <c r="E1366" s="3"/>
      <c r="F1366" s="2"/>
      <c r="G1366" s="2"/>
      <c r="I1366" s="1"/>
      <c r="J1366" s="1"/>
    </row>
    <row r="1367" spans="1:10" ht="12.75" x14ac:dyDescent="0.2">
      <c r="A1367" s="3"/>
      <c r="B1367" s="3"/>
      <c r="C1367" s="3"/>
      <c r="D1367" s="3"/>
      <c r="E1367" s="3"/>
      <c r="F1367" s="2"/>
      <c r="G1367" s="2"/>
      <c r="I1367" s="1"/>
      <c r="J1367" s="1"/>
    </row>
    <row r="1368" spans="1:10" ht="12.75" x14ac:dyDescent="0.2">
      <c r="A1368" s="3"/>
      <c r="B1368" s="3"/>
      <c r="C1368" s="3"/>
      <c r="D1368" s="3"/>
      <c r="E1368" s="3"/>
      <c r="F1368" s="2"/>
      <c r="G1368" s="2"/>
      <c r="I1368" s="1"/>
      <c r="J1368" s="1"/>
    </row>
    <row r="1369" spans="1:10" ht="12.75" x14ac:dyDescent="0.2">
      <c r="A1369" s="3"/>
      <c r="B1369" s="3"/>
      <c r="C1369" s="3"/>
      <c r="D1369" s="3"/>
      <c r="E1369" s="3"/>
      <c r="F1369" s="2"/>
      <c r="G1369" s="2"/>
      <c r="I1369" s="1"/>
      <c r="J1369" s="1"/>
    </row>
    <row r="1370" spans="1:10" ht="12.75" x14ac:dyDescent="0.2">
      <c r="A1370" s="3"/>
      <c r="B1370" s="3"/>
      <c r="C1370" s="3"/>
      <c r="D1370" s="3"/>
      <c r="E1370" s="3"/>
      <c r="F1370" s="2"/>
      <c r="G1370" s="2"/>
      <c r="I1370" s="1"/>
      <c r="J1370" s="1"/>
    </row>
    <row r="1371" spans="1:10" ht="12.75" x14ac:dyDescent="0.2">
      <c r="A1371" s="3"/>
      <c r="B1371" s="3"/>
      <c r="C1371" s="3"/>
      <c r="D1371" s="3"/>
      <c r="E1371" s="3"/>
      <c r="F1371" s="2"/>
      <c r="G1371" s="2"/>
      <c r="I1371" s="1"/>
      <c r="J1371" s="1"/>
    </row>
    <row r="1372" spans="1:10" ht="12.75" x14ac:dyDescent="0.2">
      <c r="A1372" s="3"/>
      <c r="B1372" s="3"/>
      <c r="C1372" s="3"/>
      <c r="D1372" s="3"/>
      <c r="E1372" s="3"/>
      <c r="F1372" s="2"/>
      <c r="G1372" s="2"/>
      <c r="I1372" s="1"/>
      <c r="J1372" s="1"/>
    </row>
    <row r="1373" spans="1:10" ht="12.75" x14ac:dyDescent="0.2">
      <c r="A1373" s="3"/>
      <c r="B1373" s="3"/>
      <c r="C1373" s="3"/>
      <c r="D1373" s="3"/>
      <c r="E1373" s="3"/>
      <c r="F1373" s="2"/>
      <c r="G1373" s="2"/>
      <c r="I1373" s="1"/>
      <c r="J1373" s="1"/>
    </row>
    <row r="1374" spans="1:10" ht="12.75" x14ac:dyDescent="0.2">
      <c r="A1374" s="3"/>
      <c r="B1374" s="3"/>
      <c r="C1374" s="3"/>
      <c r="D1374" s="3"/>
      <c r="E1374" s="3"/>
      <c r="F1374" s="2"/>
      <c r="G1374" s="2"/>
      <c r="I1374" s="1"/>
      <c r="J1374" s="1"/>
    </row>
    <row r="1375" spans="1:10" ht="12.75" x14ac:dyDescent="0.2">
      <c r="A1375" s="3"/>
      <c r="B1375" s="3"/>
      <c r="C1375" s="3"/>
      <c r="D1375" s="3"/>
      <c r="E1375" s="3"/>
      <c r="F1375" s="2"/>
      <c r="G1375" s="2"/>
      <c r="I1375" s="1"/>
      <c r="J1375" s="1"/>
    </row>
    <row r="1376" spans="1:10" ht="12.75" x14ac:dyDescent="0.2">
      <c r="A1376" s="3"/>
      <c r="B1376" s="3"/>
      <c r="C1376" s="3"/>
      <c r="D1376" s="3"/>
      <c r="E1376" s="3"/>
      <c r="F1376" s="2"/>
      <c r="G1376" s="2"/>
      <c r="I1376" s="1"/>
      <c r="J1376" s="1"/>
    </row>
    <row r="1377" spans="1:10" ht="12.75" x14ac:dyDescent="0.2">
      <c r="A1377" s="3"/>
      <c r="B1377" s="3"/>
      <c r="C1377" s="3"/>
      <c r="D1377" s="3"/>
      <c r="E1377" s="3"/>
      <c r="F1377" s="2"/>
      <c r="G1377" s="2"/>
      <c r="I1377" s="1"/>
      <c r="J1377" s="1"/>
    </row>
    <row r="1378" spans="1:10" ht="12.75" x14ac:dyDescent="0.2">
      <c r="A1378" s="3"/>
      <c r="B1378" s="3"/>
      <c r="C1378" s="3"/>
      <c r="D1378" s="3"/>
      <c r="E1378" s="3"/>
      <c r="F1378" s="2"/>
      <c r="G1378" s="2"/>
      <c r="I1378" s="1"/>
      <c r="J1378" s="1"/>
    </row>
    <row r="1379" spans="1:10" ht="12.75" x14ac:dyDescent="0.2">
      <c r="A1379" s="3"/>
      <c r="B1379" s="3"/>
      <c r="C1379" s="3"/>
      <c r="D1379" s="3"/>
      <c r="E1379" s="3"/>
      <c r="F1379" s="2"/>
      <c r="G1379" s="2"/>
      <c r="I1379" s="1"/>
      <c r="J1379" s="1"/>
    </row>
    <row r="1380" spans="1:10" ht="12.75" x14ac:dyDescent="0.2">
      <c r="A1380" s="3"/>
      <c r="B1380" s="3"/>
      <c r="C1380" s="3"/>
      <c r="D1380" s="3"/>
      <c r="E1380" s="3"/>
      <c r="F1380" s="2"/>
      <c r="G1380" s="2"/>
      <c r="I1380" s="1"/>
      <c r="J1380" s="1"/>
    </row>
    <row r="1381" spans="1:10" ht="12.75" x14ac:dyDescent="0.2">
      <c r="A1381" s="3"/>
      <c r="B1381" s="3"/>
      <c r="C1381" s="3"/>
      <c r="D1381" s="3"/>
      <c r="E1381" s="3"/>
      <c r="F1381" s="2"/>
      <c r="G1381" s="2"/>
      <c r="I1381" s="1"/>
      <c r="J1381" s="1"/>
    </row>
    <row r="1382" spans="1:10" ht="12.75" x14ac:dyDescent="0.2">
      <c r="A1382" s="3"/>
      <c r="B1382" s="3"/>
      <c r="C1382" s="3"/>
      <c r="D1382" s="3"/>
      <c r="E1382" s="3"/>
      <c r="F1382" s="2"/>
      <c r="G1382" s="2"/>
      <c r="I1382" s="1"/>
      <c r="J1382" s="1"/>
    </row>
    <row r="1383" spans="1:10" ht="12.75" x14ac:dyDescent="0.2">
      <c r="A1383" s="3"/>
      <c r="B1383" s="3"/>
      <c r="C1383" s="3"/>
      <c r="D1383" s="3"/>
      <c r="E1383" s="3"/>
      <c r="F1383" s="2"/>
      <c r="G1383" s="2"/>
      <c r="I1383" s="1"/>
      <c r="J1383" s="1"/>
    </row>
    <row r="1384" spans="1:10" ht="12.75" x14ac:dyDescent="0.2">
      <c r="A1384" s="3"/>
      <c r="B1384" s="3"/>
      <c r="C1384" s="3"/>
      <c r="D1384" s="3"/>
      <c r="E1384" s="3"/>
      <c r="F1384" s="2"/>
      <c r="G1384" s="2"/>
      <c r="I1384" s="1"/>
      <c r="J1384" s="1"/>
    </row>
    <row r="1385" spans="1:10" ht="12.75" x14ac:dyDescent="0.2">
      <c r="A1385" s="3"/>
      <c r="B1385" s="3"/>
      <c r="C1385" s="3"/>
      <c r="D1385" s="3"/>
      <c r="E1385" s="3"/>
      <c r="F1385" s="2"/>
      <c r="G1385" s="2"/>
      <c r="I1385" s="1"/>
      <c r="J1385" s="1"/>
    </row>
    <row r="1386" spans="1:10" ht="12.75" x14ac:dyDescent="0.2">
      <c r="A1386" s="3"/>
      <c r="B1386" s="3"/>
      <c r="C1386" s="3"/>
      <c r="D1386" s="3"/>
      <c r="E1386" s="3"/>
      <c r="F1386" s="2"/>
      <c r="G1386" s="2"/>
      <c r="I1386" s="1"/>
      <c r="J1386" s="1"/>
    </row>
    <row r="1387" spans="1:10" ht="12.75" x14ac:dyDescent="0.2">
      <c r="A1387" s="3"/>
      <c r="B1387" s="3"/>
      <c r="C1387" s="3"/>
      <c r="D1387" s="3"/>
      <c r="E1387" s="3"/>
      <c r="F1387" s="2"/>
      <c r="G1387" s="2"/>
      <c r="I1387" s="1"/>
      <c r="J1387" s="1"/>
    </row>
    <row r="1388" spans="1:10" ht="12.75" x14ac:dyDescent="0.2">
      <c r="A1388" s="3"/>
      <c r="B1388" s="3"/>
      <c r="C1388" s="3"/>
      <c r="D1388" s="3"/>
      <c r="E1388" s="3"/>
      <c r="F1388" s="2"/>
      <c r="G1388" s="2"/>
      <c r="I1388" s="1"/>
      <c r="J1388" s="1"/>
    </row>
    <row r="1389" spans="1:10" ht="12.75" x14ac:dyDescent="0.2">
      <c r="A1389" s="3"/>
      <c r="B1389" s="3"/>
      <c r="C1389" s="3"/>
      <c r="D1389" s="3"/>
      <c r="E1389" s="3"/>
      <c r="F1389" s="2"/>
      <c r="G1389" s="2"/>
      <c r="I1389" s="1"/>
      <c r="J1389" s="1"/>
    </row>
    <row r="1390" spans="1:10" ht="12.75" x14ac:dyDescent="0.2">
      <c r="A1390" s="3"/>
      <c r="B1390" s="3"/>
      <c r="C1390" s="3"/>
      <c r="D1390" s="3"/>
      <c r="E1390" s="3"/>
      <c r="F1390" s="2"/>
      <c r="G1390" s="2"/>
      <c r="I1390" s="1"/>
      <c r="J1390" s="1"/>
    </row>
    <row r="1391" spans="1:10" ht="12.75" x14ac:dyDescent="0.2">
      <c r="A1391" s="3"/>
      <c r="B1391" s="3"/>
      <c r="C1391" s="3"/>
      <c r="D1391" s="3"/>
      <c r="E1391" s="3"/>
      <c r="F1391" s="2"/>
      <c r="G1391" s="2"/>
      <c r="I1391" s="1"/>
      <c r="J1391" s="1"/>
    </row>
    <row r="1392" spans="1:10" ht="12.75" x14ac:dyDescent="0.2">
      <c r="A1392" s="3"/>
      <c r="B1392" s="3"/>
      <c r="C1392" s="3"/>
      <c r="D1392" s="3"/>
      <c r="E1392" s="3"/>
      <c r="F1392" s="2"/>
      <c r="G1392" s="2"/>
      <c r="I1392" s="1"/>
      <c r="J1392" s="1"/>
    </row>
    <row r="1393" spans="1:10" ht="12.75" x14ac:dyDescent="0.2">
      <c r="A1393" s="3"/>
      <c r="B1393" s="3"/>
      <c r="C1393" s="3"/>
      <c r="D1393" s="3"/>
      <c r="E1393" s="3"/>
      <c r="F1393" s="2"/>
      <c r="G1393" s="2"/>
      <c r="I1393" s="1"/>
      <c r="J1393" s="1"/>
    </row>
    <row r="1394" spans="1:10" ht="12.75" x14ac:dyDescent="0.2">
      <c r="A1394" s="3"/>
      <c r="B1394" s="3"/>
      <c r="C1394" s="3"/>
      <c r="D1394" s="3"/>
      <c r="E1394" s="3"/>
      <c r="F1394" s="2"/>
      <c r="G1394" s="2"/>
      <c r="I1394" s="1"/>
      <c r="J1394" s="1"/>
    </row>
    <row r="1395" spans="1:10" ht="12.75" x14ac:dyDescent="0.2">
      <c r="A1395" s="3"/>
      <c r="B1395" s="3"/>
      <c r="C1395" s="3"/>
      <c r="D1395" s="3"/>
      <c r="E1395" s="3"/>
      <c r="F1395" s="2"/>
      <c r="G1395" s="2"/>
      <c r="I1395" s="1"/>
      <c r="J1395" s="1"/>
    </row>
    <row r="1396" spans="1:10" ht="12.75" x14ac:dyDescent="0.2">
      <c r="A1396" s="3"/>
      <c r="B1396" s="3"/>
      <c r="C1396" s="3"/>
      <c r="D1396" s="3"/>
      <c r="E1396" s="3"/>
      <c r="F1396" s="2"/>
      <c r="G1396" s="2"/>
      <c r="I1396" s="1"/>
      <c r="J1396" s="1"/>
    </row>
    <row r="1397" spans="1:10" ht="12.75" x14ac:dyDescent="0.2">
      <c r="A1397" s="3"/>
      <c r="B1397" s="3"/>
      <c r="C1397" s="3"/>
      <c r="D1397" s="3"/>
      <c r="E1397" s="3"/>
      <c r="F1397" s="2"/>
      <c r="G1397" s="2"/>
      <c r="I1397" s="1"/>
      <c r="J1397" s="1"/>
    </row>
    <row r="1398" spans="1:10" ht="12.75" x14ac:dyDescent="0.2">
      <c r="A1398" s="3"/>
      <c r="B1398" s="3"/>
      <c r="C1398" s="3"/>
      <c r="D1398" s="3"/>
      <c r="E1398" s="3"/>
      <c r="F1398" s="2"/>
      <c r="G1398" s="2"/>
      <c r="I1398" s="1"/>
      <c r="J1398" s="1"/>
    </row>
    <row r="1399" spans="1:10" ht="12.75" x14ac:dyDescent="0.2">
      <c r="A1399" s="3"/>
      <c r="B1399" s="3"/>
      <c r="C1399" s="3"/>
      <c r="D1399" s="3"/>
      <c r="E1399" s="3"/>
      <c r="F1399" s="2"/>
      <c r="G1399" s="2"/>
      <c r="I1399" s="1"/>
      <c r="J1399" s="1"/>
    </row>
    <row r="1400" spans="1:10" ht="12.75" x14ac:dyDescent="0.2">
      <c r="A1400" s="3"/>
      <c r="B1400" s="3"/>
      <c r="C1400" s="3"/>
      <c r="D1400" s="3"/>
      <c r="E1400" s="3"/>
      <c r="F1400" s="2"/>
      <c r="G1400" s="2"/>
      <c r="I1400" s="1"/>
      <c r="J1400" s="1"/>
    </row>
    <row r="1401" spans="1:10" ht="12.75" x14ac:dyDescent="0.2">
      <c r="A1401" s="3"/>
      <c r="B1401" s="3"/>
      <c r="C1401" s="3"/>
      <c r="D1401" s="3"/>
      <c r="E1401" s="3"/>
      <c r="F1401" s="2"/>
      <c r="G1401" s="2"/>
      <c r="I1401" s="1"/>
      <c r="J1401" s="1"/>
    </row>
    <row r="1402" spans="1:10" ht="12.75" x14ac:dyDescent="0.2">
      <c r="A1402" s="3"/>
      <c r="B1402" s="3"/>
      <c r="C1402" s="3"/>
      <c r="D1402" s="3"/>
      <c r="E1402" s="3"/>
      <c r="F1402" s="2"/>
      <c r="G1402" s="2"/>
      <c r="I1402" s="1"/>
      <c r="J1402" s="1"/>
    </row>
    <row r="1403" spans="1:10" ht="12.75" x14ac:dyDescent="0.2">
      <c r="A1403" s="3"/>
      <c r="B1403" s="3"/>
      <c r="C1403" s="3"/>
      <c r="D1403" s="3"/>
      <c r="E1403" s="3"/>
      <c r="F1403" s="2"/>
      <c r="G1403" s="2"/>
      <c r="I1403" s="1"/>
      <c r="J1403" s="1"/>
    </row>
    <row r="1404" spans="1:10" ht="12.75" x14ac:dyDescent="0.2">
      <c r="A1404" s="3"/>
      <c r="B1404" s="3"/>
      <c r="C1404" s="3"/>
      <c r="D1404" s="3"/>
      <c r="E1404" s="3"/>
      <c r="F1404" s="2"/>
      <c r="G1404" s="2"/>
      <c r="I1404" s="1"/>
      <c r="J1404" s="1"/>
    </row>
    <row r="1405" spans="1:10" ht="12.75" x14ac:dyDescent="0.2">
      <c r="A1405" s="3"/>
      <c r="B1405" s="3"/>
      <c r="C1405" s="3"/>
      <c r="D1405" s="3"/>
      <c r="E1405" s="3"/>
      <c r="F1405" s="2"/>
      <c r="G1405" s="2"/>
      <c r="I1405" s="1"/>
      <c r="J1405" s="1"/>
    </row>
    <row r="1406" spans="1:10" ht="12.75" x14ac:dyDescent="0.2">
      <c r="A1406" s="3"/>
      <c r="B1406" s="3"/>
      <c r="C1406" s="3"/>
      <c r="D1406" s="3"/>
      <c r="E1406" s="3"/>
      <c r="F1406" s="2"/>
      <c r="G1406" s="2"/>
      <c r="I1406" s="1"/>
      <c r="J1406" s="1"/>
    </row>
    <row r="1407" spans="1:10" ht="12.75" x14ac:dyDescent="0.2">
      <c r="A1407" s="3"/>
      <c r="B1407" s="3"/>
      <c r="C1407" s="3"/>
      <c r="D1407" s="3"/>
      <c r="E1407" s="3"/>
      <c r="F1407" s="2"/>
      <c r="G1407" s="2"/>
      <c r="I1407" s="1"/>
      <c r="J1407" s="1"/>
    </row>
    <row r="1408" spans="1:10" ht="12.75" x14ac:dyDescent="0.2">
      <c r="A1408" s="3"/>
      <c r="B1408" s="3"/>
      <c r="C1408" s="3"/>
      <c r="D1408" s="3"/>
      <c r="E1408" s="3"/>
      <c r="F1408" s="2"/>
      <c r="G1408" s="2"/>
      <c r="I1408" s="1"/>
      <c r="J1408" s="1"/>
    </row>
    <row r="1409" spans="1:10" ht="12.75" x14ac:dyDescent="0.2">
      <c r="A1409" s="3"/>
      <c r="B1409" s="3"/>
      <c r="C1409" s="3"/>
      <c r="D1409" s="3"/>
      <c r="E1409" s="3"/>
      <c r="F1409" s="2"/>
      <c r="G1409" s="2"/>
      <c r="I1409" s="1"/>
      <c r="J1409" s="1"/>
    </row>
    <row r="1410" spans="1:10" ht="12.75" x14ac:dyDescent="0.2">
      <c r="A1410" s="3"/>
      <c r="B1410" s="3"/>
      <c r="C1410" s="3"/>
      <c r="D1410" s="3"/>
      <c r="E1410" s="3"/>
      <c r="F1410" s="2"/>
      <c r="G1410" s="2"/>
      <c r="I1410" s="1"/>
      <c r="J1410" s="1"/>
    </row>
    <row r="1411" spans="1:10" ht="12.75" x14ac:dyDescent="0.2">
      <c r="A1411" s="3"/>
      <c r="B1411" s="3"/>
      <c r="C1411" s="3"/>
      <c r="D1411" s="3"/>
      <c r="E1411" s="3"/>
      <c r="F1411" s="2"/>
      <c r="G1411" s="2"/>
      <c r="I1411" s="1"/>
      <c r="J1411" s="1"/>
    </row>
    <row r="1412" spans="1:10" ht="12.75" x14ac:dyDescent="0.2">
      <c r="A1412" s="3"/>
      <c r="B1412" s="3"/>
      <c r="C1412" s="3"/>
      <c r="D1412" s="3"/>
      <c r="E1412" s="3"/>
      <c r="F1412" s="2"/>
      <c r="G1412" s="2"/>
      <c r="I1412" s="1"/>
      <c r="J1412" s="1"/>
    </row>
    <row r="1413" spans="1:10" ht="12.75" x14ac:dyDescent="0.2">
      <c r="A1413" s="3"/>
      <c r="B1413" s="3"/>
      <c r="C1413" s="3"/>
      <c r="D1413" s="3"/>
      <c r="E1413" s="3"/>
      <c r="F1413" s="2"/>
      <c r="G1413" s="2"/>
      <c r="I1413" s="1"/>
      <c r="J1413" s="1"/>
    </row>
    <row r="1414" spans="1:10" ht="12.75" x14ac:dyDescent="0.2">
      <c r="A1414" s="3"/>
      <c r="B1414" s="3"/>
      <c r="C1414" s="3"/>
      <c r="D1414" s="3"/>
      <c r="E1414" s="3"/>
      <c r="F1414" s="2"/>
      <c r="G1414" s="2"/>
      <c r="I1414" s="1"/>
      <c r="J1414" s="1"/>
    </row>
    <row r="1415" spans="1:10" ht="12.75" x14ac:dyDescent="0.2">
      <c r="A1415" s="3"/>
      <c r="B1415" s="3"/>
      <c r="C1415" s="3"/>
      <c r="D1415" s="3"/>
      <c r="E1415" s="3"/>
      <c r="F1415" s="2"/>
      <c r="G1415" s="2"/>
      <c r="I1415" s="1"/>
      <c r="J1415" s="1"/>
    </row>
    <row r="1416" spans="1:10" ht="12.75" x14ac:dyDescent="0.2">
      <c r="A1416" s="3"/>
      <c r="B1416" s="3"/>
      <c r="C1416" s="3"/>
      <c r="D1416" s="3"/>
      <c r="E1416" s="3"/>
      <c r="F1416" s="2"/>
      <c r="G1416" s="2"/>
      <c r="I1416" s="1"/>
      <c r="J1416" s="1"/>
    </row>
    <row r="1417" spans="1:10" ht="12.75" x14ac:dyDescent="0.2">
      <c r="A1417" s="3"/>
      <c r="B1417" s="3"/>
      <c r="C1417" s="3"/>
      <c r="D1417" s="3"/>
      <c r="E1417" s="3"/>
      <c r="F1417" s="2"/>
      <c r="G1417" s="2"/>
      <c r="I1417" s="1"/>
      <c r="J1417" s="1"/>
    </row>
    <row r="1418" spans="1:10" ht="12.75" x14ac:dyDescent="0.2">
      <c r="A1418" s="3"/>
      <c r="B1418" s="3"/>
      <c r="C1418" s="3"/>
      <c r="D1418" s="3"/>
      <c r="E1418" s="3"/>
      <c r="F1418" s="2"/>
      <c r="G1418" s="2"/>
      <c r="I1418" s="1"/>
      <c r="J1418" s="1"/>
    </row>
    <row r="1419" spans="1:10" ht="12.75" x14ac:dyDescent="0.2">
      <c r="A1419" s="3"/>
      <c r="B1419" s="3"/>
      <c r="C1419" s="3"/>
      <c r="D1419" s="3"/>
      <c r="E1419" s="3"/>
      <c r="F1419" s="2"/>
      <c r="G1419" s="2"/>
      <c r="I1419" s="1"/>
      <c r="J1419" s="1"/>
    </row>
    <row r="1420" spans="1:10" ht="12.75" x14ac:dyDescent="0.2">
      <c r="A1420" s="3"/>
      <c r="B1420" s="3"/>
      <c r="C1420" s="3"/>
      <c r="D1420" s="3"/>
      <c r="E1420" s="3"/>
      <c r="F1420" s="2"/>
      <c r="G1420" s="2"/>
      <c r="I1420" s="1"/>
      <c r="J1420" s="1"/>
    </row>
    <row r="1421" spans="1:10" ht="12.75" x14ac:dyDescent="0.2">
      <c r="A1421" s="3"/>
      <c r="B1421" s="3"/>
      <c r="C1421" s="3"/>
      <c r="D1421" s="3"/>
      <c r="E1421" s="3"/>
      <c r="F1421" s="2"/>
      <c r="G1421" s="2"/>
      <c r="I1421" s="1"/>
      <c r="J1421" s="1"/>
    </row>
    <row r="1422" spans="1:10" ht="12.75" x14ac:dyDescent="0.2">
      <c r="A1422" s="3"/>
      <c r="B1422" s="3"/>
      <c r="C1422" s="3"/>
      <c r="D1422" s="3"/>
      <c r="E1422" s="3"/>
      <c r="F1422" s="2"/>
      <c r="G1422" s="2"/>
      <c r="I1422" s="1"/>
      <c r="J1422" s="1"/>
    </row>
    <row r="1423" spans="1:10" ht="12.75" x14ac:dyDescent="0.2">
      <c r="A1423" s="3"/>
      <c r="B1423" s="3"/>
      <c r="C1423" s="3"/>
      <c r="D1423" s="3"/>
      <c r="E1423" s="3"/>
      <c r="F1423" s="2"/>
      <c r="G1423" s="2"/>
      <c r="I1423" s="1"/>
      <c r="J1423" s="1"/>
    </row>
    <row r="1424" spans="1:10" ht="12.75" x14ac:dyDescent="0.2">
      <c r="A1424" s="3"/>
      <c r="B1424" s="3"/>
      <c r="C1424" s="3"/>
      <c r="D1424" s="3"/>
      <c r="E1424" s="3"/>
      <c r="F1424" s="2"/>
      <c r="G1424" s="2"/>
      <c r="I1424" s="1"/>
      <c r="J1424" s="1"/>
    </row>
    <row r="1425" spans="1:10" ht="12.75" x14ac:dyDescent="0.2">
      <c r="A1425" s="3"/>
      <c r="B1425" s="3"/>
      <c r="C1425" s="3"/>
      <c r="D1425" s="3"/>
      <c r="E1425" s="3"/>
      <c r="F1425" s="2"/>
      <c r="G1425" s="2"/>
      <c r="I1425" s="1"/>
      <c r="J1425" s="1"/>
    </row>
    <row r="1426" spans="1:10" ht="12.75" x14ac:dyDescent="0.2">
      <c r="A1426" s="3"/>
      <c r="B1426" s="3"/>
      <c r="C1426" s="3"/>
      <c r="D1426" s="3"/>
      <c r="E1426" s="3"/>
      <c r="F1426" s="2"/>
      <c r="G1426" s="2"/>
      <c r="I1426" s="1"/>
      <c r="J1426" s="1"/>
    </row>
    <row r="1427" spans="1:10" ht="12.75" x14ac:dyDescent="0.2">
      <c r="A1427" s="3"/>
      <c r="B1427" s="3"/>
      <c r="C1427" s="3"/>
      <c r="D1427" s="3"/>
      <c r="E1427" s="3"/>
      <c r="F1427" s="2"/>
      <c r="G1427" s="2"/>
      <c r="I1427" s="1"/>
      <c r="J1427" s="1"/>
    </row>
    <row r="1428" spans="1:10" ht="12.75" x14ac:dyDescent="0.2">
      <c r="A1428" s="3"/>
      <c r="B1428" s="3"/>
      <c r="C1428" s="3"/>
      <c r="D1428" s="3"/>
      <c r="E1428" s="3"/>
      <c r="F1428" s="2"/>
      <c r="G1428" s="2"/>
      <c r="I1428" s="1"/>
      <c r="J1428" s="1"/>
    </row>
    <row r="1429" spans="1:10" ht="12.75" x14ac:dyDescent="0.2">
      <c r="A1429" s="3"/>
      <c r="B1429" s="3"/>
      <c r="C1429" s="3"/>
      <c r="D1429" s="3"/>
      <c r="E1429" s="3"/>
      <c r="F1429" s="2"/>
      <c r="G1429" s="2"/>
      <c r="I1429" s="1"/>
      <c r="J1429" s="1"/>
    </row>
    <row r="1430" spans="1:10" ht="12.75" x14ac:dyDescent="0.2">
      <c r="A1430" s="3"/>
      <c r="B1430" s="3"/>
      <c r="C1430" s="3"/>
      <c r="D1430" s="3"/>
      <c r="E1430" s="3"/>
      <c r="F1430" s="2"/>
      <c r="G1430" s="2"/>
      <c r="I1430" s="1"/>
      <c r="J1430" s="1"/>
    </row>
    <row r="1431" spans="1:10" ht="12.75" x14ac:dyDescent="0.2">
      <c r="A1431" s="3"/>
      <c r="B1431" s="3"/>
      <c r="C1431" s="3"/>
      <c r="D1431" s="3"/>
      <c r="E1431" s="3"/>
      <c r="F1431" s="2"/>
      <c r="G1431" s="2"/>
      <c r="I1431" s="1"/>
      <c r="J1431" s="1"/>
    </row>
    <row r="1432" spans="1:10" ht="12.75" x14ac:dyDescent="0.2">
      <c r="A1432" s="3"/>
      <c r="B1432" s="3"/>
      <c r="C1432" s="3"/>
      <c r="D1432" s="3"/>
      <c r="E1432" s="3"/>
      <c r="F1432" s="2"/>
      <c r="G1432" s="2"/>
      <c r="I1432" s="1"/>
      <c r="J1432" s="1"/>
    </row>
    <row r="1433" spans="1:10" ht="12.75" x14ac:dyDescent="0.2">
      <c r="A1433" s="3"/>
      <c r="B1433" s="3"/>
      <c r="C1433" s="3"/>
      <c r="D1433" s="3"/>
      <c r="E1433" s="3"/>
      <c r="F1433" s="2"/>
      <c r="G1433" s="2"/>
      <c r="I1433" s="1"/>
      <c r="J1433" s="1"/>
    </row>
    <row r="1434" spans="1:10" ht="12.75" x14ac:dyDescent="0.2">
      <c r="A1434" s="3"/>
      <c r="B1434" s="3"/>
      <c r="C1434" s="3"/>
      <c r="D1434" s="3"/>
      <c r="E1434" s="3"/>
      <c r="F1434" s="2"/>
      <c r="G1434" s="2"/>
      <c r="I1434" s="1"/>
      <c r="J1434" s="1"/>
    </row>
    <row r="1435" spans="1:10" ht="12.75" x14ac:dyDescent="0.2">
      <c r="A1435" s="3"/>
      <c r="B1435" s="3"/>
      <c r="C1435" s="3"/>
      <c r="D1435" s="3"/>
      <c r="E1435" s="3"/>
      <c r="F1435" s="2"/>
      <c r="G1435" s="2"/>
      <c r="I1435" s="1"/>
      <c r="J1435" s="1"/>
    </row>
    <row r="1436" spans="1:10" ht="12.75" x14ac:dyDescent="0.2">
      <c r="A1436" s="3"/>
      <c r="B1436" s="3"/>
      <c r="C1436" s="3"/>
      <c r="D1436" s="3"/>
      <c r="E1436" s="3"/>
      <c r="F1436" s="2"/>
      <c r="G1436" s="2"/>
      <c r="I1436" s="1"/>
      <c r="J1436" s="1"/>
    </row>
    <row r="1437" spans="1:10" ht="12.75" x14ac:dyDescent="0.2">
      <c r="A1437" s="3"/>
      <c r="B1437" s="3"/>
      <c r="C1437" s="3"/>
      <c r="D1437" s="3"/>
      <c r="E1437" s="3"/>
      <c r="F1437" s="2"/>
      <c r="G1437" s="2"/>
      <c r="I1437" s="1"/>
      <c r="J1437" s="1"/>
    </row>
    <row r="1438" spans="1:10" ht="12.75" x14ac:dyDescent="0.2">
      <c r="A1438" s="3"/>
      <c r="B1438" s="3"/>
      <c r="C1438" s="3"/>
      <c r="D1438" s="3"/>
      <c r="E1438" s="3"/>
      <c r="F1438" s="2"/>
      <c r="G1438" s="2"/>
      <c r="I1438" s="1"/>
      <c r="J1438" s="1"/>
    </row>
    <row r="1439" spans="1:10" ht="12.75" x14ac:dyDescent="0.2">
      <c r="A1439" s="3"/>
      <c r="B1439" s="3"/>
      <c r="C1439" s="3"/>
      <c r="D1439" s="3"/>
      <c r="E1439" s="3"/>
      <c r="F1439" s="2"/>
      <c r="G1439" s="2"/>
      <c r="I1439" s="1"/>
      <c r="J1439" s="1"/>
    </row>
    <row r="1440" spans="1:10" ht="12.75" x14ac:dyDescent="0.2">
      <c r="A1440" s="3"/>
      <c r="B1440" s="3"/>
      <c r="C1440" s="3"/>
      <c r="D1440" s="3"/>
      <c r="E1440" s="3"/>
      <c r="F1440" s="2"/>
      <c r="G1440" s="2"/>
      <c r="I1440" s="1"/>
      <c r="J1440" s="1"/>
    </row>
    <row r="1441" spans="1:10" ht="12.75" x14ac:dyDescent="0.2">
      <c r="A1441" s="3"/>
      <c r="B1441" s="3"/>
      <c r="C1441" s="3"/>
      <c r="D1441" s="3"/>
      <c r="E1441" s="3"/>
      <c r="F1441" s="2"/>
      <c r="G1441" s="2"/>
      <c r="I1441" s="1"/>
      <c r="J1441" s="1"/>
    </row>
    <row r="1442" spans="1:10" ht="12.75" x14ac:dyDescent="0.2">
      <c r="A1442" s="3"/>
      <c r="B1442" s="3"/>
      <c r="C1442" s="3"/>
      <c r="D1442" s="3"/>
      <c r="E1442" s="3"/>
      <c r="F1442" s="2"/>
      <c r="G1442" s="2"/>
      <c r="I1442" s="1"/>
      <c r="J1442" s="1"/>
    </row>
    <row r="1443" spans="1:10" ht="12.75" x14ac:dyDescent="0.2">
      <c r="A1443" s="3"/>
      <c r="B1443" s="3"/>
      <c r="C1443" s="3"/>
      <c r="D1443" s="3"/>
      <c r="E1443" s="3"/>
      <c r="F1443" s="2"/>
      <c r="G1443" s="2"/>
      <c r="I1443" s="1"/>
      <c r="J1443" s="1"/>
    </row>
    <row r="1444" spans="1:10" ht="12.75" x14ac:dyDescent="0.2">
      <c r="A1444" s="3"/>
      <c r="B1444" s="3"/>
      <c r="C1444" s="3"/>
      <c r="D1444" s="3"/>
      <c r="E1444" s="3"/>
      <c r="F1444" s="2"/>
      <c r="G1444" s="2"/>
      <c r="I1444" s="1"/>
      <c r="J1444" s="1"/>
    </row>
    <row r="1445" spans="1:10" ht="12.75" x14ac:dyDescent="0.2">
      <c r="A1445" s="3"/>
      <c r="B1445" s="3"/>
      <c r="C1445" s="3"/>
      <c r="D1445" s="3"/>
      <c r="E1445" s="3"/>
      <c r="F1445" s="2"/>
      <c r="G1445" s="2"/>
      <c r="I1445" s="1"/>
      <c r="J1445" s="1"/>
    </row>
    <row r="1446" spans="1:10" ht="12.75" x14ac:dyDescent="0.2">
      <c r="A1446" s="3"/>
      <c r="B1446" s="3"/>
      <c r="C1446" s="3"/>
      <c r="D1446" s="3"/>
      <c r="E1446" s="3"/>
      <c r="F1446" s="2"/>
      <c r="G1446" s="2"/>
      <c r="I1446" s="1"/>
      <c r="J1446" s="1"/>
    </row>
    <row r="1447" spans="1:10" ht="12.75" x14ac:dyDescent="0.2">
      <c r="A1447" s="3"/>
      <c r="B1447" s="3"/>
      <c r="C1447" s="3"/>
      <c r="D1447" s="3"/>
      <c r="E1447" s="3"/>
      <c r="F1447" s="2"/>
      <c r="G1447" s="2"/>
      <c r="I1447" s="1"/>
      <c r="J1447" s="1"/>
    </row>
    <row r="1448" spans="1:10" ht="12.75" x14ac:dyDescent="0.2">
      <c r="A1448" s="3"/>
      <c r="B1448" s="3"/>
      <c r="C1448" s="3"/>
      <c r="D1448" s="3"/>
      <c r="E1448" s="3"/>
      <c r="F1448" s="2"/>
      <c r="G1448" s="2"/>
      <c r="I1448" s="1"/>
      <c r="J1448" s="1"/>
    </row>
    <row r="1449" spans="1:10" ht="12.75" x14ac:dyDescent="0.2">
      <c r="A1449" s="3"/>
      <c r="B1449" s="3"/>
      <c r="C1449" s="3"/>
      <c r="D1449" s="3"/>
      <c r="E1449" s="3"/>
      <c r="F1449" s="2"/>
      <c r="G1449" s="2"/>
      <c r="I1449" s="1"/>
      <c r="J1449" s="1"/>
    </row>
    <row r="1450" spans="1:10" ht="12.75" x14ac:dyDescent="0.2">
      <c r="A1450" s="3"/>
      <c r="B1450" s="3"/>
      <c r="C1450" s="3"/>
      <c r="D1450" s="3"/>
      <c r="E1450" s="3"/>
      <c r="F1450" s="2"/>
      <c r="G1450" s="2"/>
      <c r="I1450" s="1"/>
      <c r="J1450" s="1"/>
    </row>
    <row r="1451" spans="1:10" ht="12.75" x14ac:dyDescent="0.2">
      <c r="A1451" s="3"/>
      <c r="B1451" s="3"/>
      <c r="C1451" s="3"/>
      <c r="D1451" s="3"/>
      <c r="E1451" s="3"/>
      <c r="F1451" s="2"/>
      <c r="G1451" s="2"/>
      <c r="I1451" s="1"/>
      <c r="J1451" s="1"/>
    </row>
    <row r="1452" spans="1:10" ht="12.75" x14ac:dyDescent="0.2">
      <c r="A1452" s="3"/>
      <c r="B1452" s="3"/>
      <c r="C1452" s="3"/>
      <c r="D1452" s="3"/>
      <c r="E1452" s="3"/>
      <c r="F1452" s="2"/>
      <c r="G1452" s="2"/>
      <c r="I1452" s="1"/>
      <c r="J1452" s="1"/>
    </row>
    <row r="1453" spans="1:10" ht="12.75" x14ac:dyDescent="0.2">
      <c r="A1453" s="3"/>
      <c r="B1453" s="3"/>
      <c r="C1453" s="3"/>
      <c r="D1453" s="3"/>
      <c r="E1453" s="3"/>
      <c r="F1453" s="2"/>
      <c r="G1453" s="2"/>
      <c r="I1453" s="1"/>
      <c r="J1453" s="1"/>
    </row>
    <row r="1454" spans="1:10" ht="12.75" x14ac:dyDescent="0.2">
      <c r="A1454" s="3"/>
      <c r="B1454" s="3"/>
      <c r="C1454" s="3"/>
      <c r="D1454" s="3"/>
      <c r="E1454" s="3"/>
      <c r="F1454" s="2"/>
      <c r="G1454" s="2"/>
      <c r="I1454" s="1"/>
      <c r="J1454" s="1"/>
    </row>
    <row r="1455" spans="1:10" ht="12.75" x14ac:dyDescent="0.2">
      <c r="A1455" s="3"/>
      <c r="B1455" s="3"/>
      <c r="C1455" s="3"/>
      <c r="D1455" s="3"/>
      <c r="E1455" s="3"/>
      <c r="F1455" s="2"/>
      <c r="G1455" s="2"/>
      <c r="I1455" s="1"/>
      <c r="J1455" s="1"/>
    </row>
    <row r="1456" spans="1:10" ht="12.75" x14ac:dyDescent="0.2">
      <c r="A1456" s="3"/>
      <c r="B1456" s="3"/>
      <c r="C1456" s="3"/>
      <c r="D1456" s="3"/>
      <c r="E1456" s="3"/>
      <c r="F1456" s="2"/>
      <c r="G1456" s="2"/>
      <c r="I1456" s="1"/>
      <c r="J1456" s="1"/>
    </row>
    <row r="1457" spans="1:10" ht="12.75" x14ac:dyDescent="0.2">
      <c r="A1457" s="3"/>
      <c r="B1457" s="3"/>
      <c r="C1457" s="3"/>
      <c r="D1457" s="3"/>
      <c r="E1457" s="3"/>
      <c r="F1457" s="2"/>
      <c r="G1457" s="2"/>
      <c r="I1457" s="1"/>
      <c r="J1457" s="1"/>
    </row>
    <row r="1458" spans="1:10" ht="12.75" x14ac:dyDescent="0.2">
      <c r="A1458" s="3"/>
      <c r="B1458" s="3"/>
      <c r="C1458" s="3"/>
      <c r="D1458" s="3"/>
      <c r="E1458" s="3"/>
      <c r="F1458" s="2"/>
      <c r="G1458" s="2"/>
      <c r="I1458" s="1"/>
      <c r="J1458" s="1"/>
    </row>
    <row r="1459" spans="1:10" ht="12.75" x14ac:dyDescent="0.2">
      <c r="A1459" s="3"/>
      <c r="B1459" s="3"/>
      <c r="C1459" s="3"/>
      <c r="D1459" s="3"/>
      <c r="E1459" s="3"/>
      <c r="F1459" s="2"/>
      <c r="G1459" s="2"/>
      <c r="I1459" s="1"/>
      <c r="J1459" s="1"/>
    </row>
    <row r="1460" spans="1:10" ht="12.75" x14ac:dyDescent="0.2">
      <c r="A1460" s="3"/>
      <c r="B1460" s="3"/>
      <c r="C1460" s="3"/>
      <c r="D1460" s="3"/>
      <c r="E1460" s="3"/>
      <c r="F1460" s="2"/>
      <c r="G1460" s="2"/>
      <c r="I1460" s="1"/>
      <c r="J1460" s="1"/>
    </row>
    <row r="1461" spans="1:10" ht="12.75" x14ac:dyDescent="0.2">
      <c r="A1461" s="3"/>
      <c r="B1461" s="3"/>
      <c r="C1461" s="3"/>
      <c r="D1461" s="3"/>
      <c r="E1461" s="3"/>
      <c r="F1461" s="2"/>
      <c r="G1461" s="2"/>
      <c r="I1461" s="1"/>
      <c r="J1461" s="1"/>
    </row>
    <row r="1462" spans="1:10" ht="12.75" x14ac:dyDescent="0.2">
      <c r="A1462" s="3"/>
      <c r="B1462" s="3"/>
      <c r="C1462" s="3"/>
      <c r="D1462" s="3"/>
      <c r="E1462" s="3"/>
      <c r="F1462" s="2"/>
      <c r="G1462" s="2"/>
      <c r="I1462" s="1"/>
      <c r="J1462" s="1"/>
    </row>
    <row r="1463" spans="1:10" ht="12.75" x14ac:dyDescent="0.2">
      <c r="A1463" s="3"/>
      <c r="B1463" s="3"/>
      <c r="C1463" s="3"/>
      <c r="D1463" s="3"/>
      <c r="E1463" s="3"/>
      <c r="F1463" s="2"/>
      <c r="G1463" s="2"/>
      <c r="I1463" s="1"/>
      <c r="J1463" s="1"/>
    </row>
    <row r="1464" spans="1:10" ht="12.75" x14ac:dyDescent="0.2">
      <c r="A1464" s="3"/>
      <c r="B1464" s="3"/>
      <c r="C1464" s="3"/>
      <c r="D1464" s="3"/>
      <c r="E1464" s="3"/>
      <c r="F1464" s="2"/>
      <c r="G1464" s="2"/>
      <c r="I1464" s="1"/>
      <c r="J1464" s="1"/>
    </row>
    <row r="1465" spans="1:10" ht="12.75" x14ac:dyDescent="0.2">
      <c r="A1465" s="3"/>
      <c r="B1465" s="3"/>
      <c r="C1465" s="3"/>
      <c r="D1465" s="3"/>
      <c r="E1465" s="3"/>
      <c r="F1465" s="2"/>
      <c r="G1465" s="2"/>
      <c r="I1465" s="1"/>
      <c r="J1465" s="1"/>
    </row>
    <row r="1466" spans="1:10" ht="12.75" x14ac:dyDescent="0.2">
      <c r="A1466" s="3"/>
      <c r="B1466" s="3"/>
      <c r="C1466" s="3"/>
      <c r="D1466" s="3"/>
      <c r="E1466" s="3"/>
      <c r="F1466" s="2"/>
      <c r="G1466" s="2"/>
      <c r="I1466" s="1"/>
      <c r="J1466" s="1"/>
    </row>
    <row r="1467" spans="1:10" ht="12.75" x14ac:dyDescent="0.2">
      <c r="A1467" s="3"/>
      <c r="B1467" s="3"/>
      <c r="C1467" s="3"/>
      <c r="D1467" s="3"/>
      <c r="E1467" s="3"/>
      <c r="F1467" s="2"/>
      <c r="G1467" s="2"/>
      <c r="I1467" s="1"/>
      <c r="J1467" s="1"/>
    </row>
    <row r="1468" spans="1:10" ht="12.75" x14ac:dyDescent="0.2">
      <c r="A1468" s="3"/>
      <c r="B1468" s="3"/>
      <c r="C1468" s="3"/>
      <c r="D1468" s="3"/>
      <c r="E1468" s="3"/>
      <c r="F1468" s="2"/>
      <c r="G1468" s="2"/>
      <c r="I1468" s="1"/>
      <c r="J1468" s="1"/>
    </row>
    <row r="1469" spans="1:10" ht="12.75" x14ac:dyDescent="0.2">
      <c r="A1469" s="3"/>
      <c r="B1469" s="3"/>
      <c r="C1469" s="3"/>
      <c r="D1469" s="3"/>
      <c r="E1469" s="3"/>
      <c r="F1469" s="2"/>
      <c r="G1469" s="2"/>
      <c r="I1469" s="1"/>
      <c r="J1469" s="1"/>
    </row>
    <row r="1470" spans="1:10" ht="12.75" x14ac:dyDescent="0.2">
      <c r="A1470" s="3"/>
      <c r="B1470" s="3"/>
      <c r="C1470" s="3"/>
      <c r="D1470" s="3"/>
      <c r="E1470" s="3"/>
      <c r="F1470" s="2"/>
      <c r="G1470" s="2"/>
      <c r="I1470" s="1"/>
      <c r="J1470" s="1"/>
    </row>
    <row r="1471" spans="1:10" ht="12.75" x14ac:dyDescent="0.2">
      <c r="A1471" s="3"/>
      <c r="B1471" s="3"/>
      <c r="C1471" s="3"/>
      <c r="D1471" s="3"/>
      <c r="E1471" s="3"/>
      <c r="F1471" s="2"/>
      <c r="G1471" s="2"/>
      <c r="I1471" s="1"/>
      <c r="J1471" s="1"/>
    </row>
    <row r="1472" spans="1:10" ht="12.75" x14ac:dyDescent="0.2">
      <c r="A1472" s="3"/>
      <c r="B1472" s="3"/>
      <c r="C1472" s="3"/>
      <c r="D1472" s="3"/>
      <c r="E1472" s="3"/>
      <c r="F1472" s="2"/>
      <c r="G1472" s="2"/>
      <c r="I1472" s="1"/>
      <c r="J1472" s="1"/>
    </row>
    <row r="1473" spans="1:10" ht="12.75" x14ac:dyDescent="0.2">
      <c r="A1473" s="3"/>
      <c r="B1473" s="3"/>
      <c r="C1473" s="3"/>
      <c r="D1473" s="3"/>
      <c r="E1473" s="3"/>
      <c r="F1473" s="2"/>
      <c r="G1473" s="2"/>
      <c r="I1473" s="1"/>
      <c r="J1473" s="1"/>
    </row>
    <row r="1474" spans="1:10" ht="12.75" x14ac:dyDescent="0.2">
      <c r="A1474" s="3"/>
      <c r="B1474" s="3"/>
      <c r="C1474" s="3"/>
      <c r="D1474" s="3"/>
      <c r="E1474" s="3"/>
      <c r="F1474" s="2"/>
      <c r="G1474" s="2"/>
      <c r="I1474" s="1"/>
      <c r="J1474" s="1"/>
    </row>
    <row r="1475" spans="1:10" ht="12.75" x14ac:dyDescent="0.2">
      <c r="A1475" s="3"/>
      <c r="B1475" s="3"/>
      <c r="C1475" s="3"/>
      <c r="D1475" s="3"/>
      <c r="E1475" s="3"/>
      <c r="F1475" s="2"/>
      <c r="G1475" s="2"/>
      <c r="I1475" s="1"/>
      <c r="J1475" s="1"/>
    </row>
    <row r="1476" spans="1:10" ht="12.75" x14ac:dyDescent="0.2">
      <c r="A1476" s="3"/>
      <c r="B1476" s="3"/>
      <c r="C1476" s="3"/>
      <c r="D1476" s="3"/>
      <c r="E1476" s="3"/>
      <c r="F1476" s="2"/>
      <c r="G1476" s="2"/>
      <c r="I1476" s="1"/>
      <c r="J1476" s="1"/>
    </row>
    <row r="1477" spans="1:10" ht="12.75" x14ac:dyDescent="0.2">
      <c r="A1477" s="3"/>
      <c r="B1477" s="3"/>
      <c r="C1477" s="3"/>
      <c r="D1477" s="3"/>
      <c r="E1477" s="3"/>
      <c r="F1477" s="2"/>
      <c r="G1477" s="2"/>
      <c r="I1477" s="1"/>
      <c r="J1477" s="1"/>
    </row>
    <row r="1478" spans="1:10" ht="12.75" x14ac:dyDescent="0.2">
      <c r="A1478" s="3"/>
      <c r="B1478" s="3"/>
      <c r="C1478" s="3"/>
      <c r="D1478" s="3"/>
      <c r="E1478" s="3"/>
      <c r="F1478" s="2"/>
      <c r="G1478" s="2"/>
      <c r="I1478" s="1"/>
      <c r="J1478" s="1"/>
    </row>
    <row r="1479" spans="1:10" ht="12.75" x14ac:dyDescent="0.2">
      <c r="A1479" s="3"/>
      <c r="B1479" s="3"/>
      <c r="C1479" s="3"/>
      <c r="D1479" s="3"/>
      <c r="E1479" s="3"/>
      <c r="F1479" s="2"/>
      <c r="G1479" s="2"/>
      <c r="I1479" s="1"/>
      <c r="J1479" s="1"/>
    </row>
    <row r="1480" spans="1:10" ht="12.75" x14ac:dyDescent="0.2">
      <c r="A1480" s="3"/>
      <c r="B1480" s="3"/>
      <c r="C1480" s="3"/>
      <c r="D1480" s="3"/>
      <c r="E1480" s="3"/>
      <c r="F1480" s="2"/>
      <c r="G1480" s="2"/>
      <c r="I1480" s="1"/>
      <c r="J1480" s="1"/>
    </row>
    <row r="1481" spans="1:10" ht="12.75" x14ac:dyDescent="0.2">
      <c r="A1481" s="3"/>
      <c r="B1481" s="3"/>
      <c r="C1481" s="3"/>
      <c r="D1481" s="3"/>
      <c r="E1481" s="3"/>
      <c r="F1481" s="2"/>
      <c r="G1481" s="2"/>
      <c r="I1481" s="1"/>
      <c r="J1481" s="1"/>
    </row>
    <row r="1482" spans="1:10" ht="12.75" x14ac:dyDescent="0.2">
      <c r="A1482" s="3"/>
      <c r="B1482" s="3"/>
      <c r="C1482" s="3"/>
      <c r="D1482" s="3"/>
      <c r="E1482" s="3"/>
      <c r="F1482" s="2"/>
      <c r="G1482" s="2"/>
      <c r="I1482" s="1"/>
      <c r="J1482" s="1"/>
    </row>
    <row r="1483" spans="1:10" ht="12.75" x14ac:dyDescent="0.2">
      <c r="A1483" s="3"/>
      <c r="B1483" s="3"/>
      <c r="C1483" s="3"/>
      <c r="D1483" s="3"/>
      <c r="E1483" s="3"/>
      <c r="F1483" s="2"/>
      <c r="G1483" s="2"/>
      <c r="I1483" s="1"/>
      <c r="J1483" s="1"/>
    </row>
    <row r="1484" spans="1:10" ht="12.75" x14ac:dyDescent="0.2">
      <c r="A1484" s="3"/>
      <c r="B1484" s="3"/>
      <c r="C1484" s="3"/>
      <c r="D1484" s="3"/>
      <c r="E1484" s="3"/>
      <c r="F1484" s="2"/>
      <c r="G1484" s="2"/>
      <c r="I1484" s="1"/>
      <c r="J1484" s="1"/>
    </row>
    <row r="1485" spans="1:10" ht="12.75" x14ac:dyDescent="0.2">
      <c r="A1485" s="3"/>
      <c r="B1485" s="3"/>
      <c r="C1485" s="3"/>
      <c r="D1485" s="3"/>
      <c r="E1485" s="3"/>
      <c r="F1485" s="2"/>
      <c r="G1485" s="2"/>
      <c r="I1485" s="1"/>
      <c r="J1485" s="1"/>
    </row>
    <row r="1486" spans="1:10" ht="12.75" x14ac:dyDescent="0.2">
      <c r="A1486" s="3"/>
      <c r="B1486" s="3"/>
      <c r="C1486" s="3"/>
      <c r="D1486" s="3"/>
      <c r="E1486" s="3"/>
      <c r="F1486" s="2"/>
      <c r="G1486" s="2"/>
      <c r="I1486" s="1"/>
      <c r="J1486" s="1"/>
    </row>
    <row r="1487" spans="1:10" ht="12.75" x14ac:dyDescent="0.2">
      <c r="A1487" s="3"/>
      <c r="B1487" s="3"/>
      <c r="C1487" s="3"/>
      <c r="D1487" s="3"/>
      <c r="E1487" s="3"/>
      <c r="F1487" s="2"/>
      <c r="G1487" s="2"/>
      <c r="I1487" s="1"/>
      <c r="J1487" s="1"/>
    </row>
    <row r="1488" spans="1:10" ht="12.75" x14ac:dyDescent="0.2">
      <c r="A1488" s="3"/>
      <c r="B1488" s="3"/>
      <c r="C1488" s="3"/>
      <c r="D1488" s="3"/>
      <c r="E1488" s="3"/>
      <c r="F1488" s="2"/>
      <c r="G1488" s="2"/>
      <c r="I1488" s="1"/>
      <c r="J1488" s="1"/>
    </row>
    <row r="1489" spans="1:10" ht="12.75" x14ac:dyDescent="0.2">
      <c r="A1489" s="3"/>
      <c r="B1489" s="3"/>
      <c r="C1489" s="3"/>
      <c r="D1489" s="3"/>
      <c r="E1489" s="3"/>
      <c r="F1489" s="2"/>
      <c r="G1489" s="2"/>
      <c r="I1489" s="1"/>
      <c r="J1489" s="1"/>
    </row>
    <row r="1490" spans="1:10" ht="12.75" x14ac:dyDescent="0.2">
      <c r="A1490" s="3"/>
      <c r="B1490" s="3"/>
      <c r="C1490" s="3"/>
      <c r="D1490" s="3"/>
      <c r="E1490" s="3"/>
      <c r="F1490" s="2"/>
      <c r="G1490" s="2"/>
      <c r="I1490" s="1"/>
      <c r="J1490" s="1"/>
    </row>
    <row r="1491" spans="1:10" ht="12.75" x14ac:dyDescent="0.2">
      <c r="A1491" s="3"/>
      <c r="B1491" s="3"/>
      <c r="C1491" s="3"/>
      <c r="D1491" s="3"/>
      <c r="E1491" s="3"/>
      <c r="F1491" s="2"/>
      <c r="G1491" s="2"/>
      <c r="I1491" s="1"/>
      <c r="J1491" s="1"/>
    </row>
    <row r="1492" spans="1:10" ht="12.75" x14ac:dyDescent="0.2">
      <c r="A1492" s="3"/>
      <c r="B1492" s="3"/>
      <c r="C1492" s="3"/>
      <c r="D1492" s="3"/>
      <c r="E1492" s="3"/>
      <c r="F1492" s="2"/>
      <c r="G1492" s="2"/>
      <c r="I1492" s="1"/>
      <c r="J1492" s="1"/>
    </row>
    <row r="1493" spans="1:10" ht="12.75" x14ac:dyDescent="0.2">
      <c r="A1493" s="3"/>
      <c r="B1493" s="3"/>
      <c r="C1493" s="3"/>
      <c r="D1493" s="3"/>
      <c r="E1493" s="3"/>
      <c r="F1493" s="2"/>
      <c r="G1493" s="2"/>
      <c r="I1493" s="1"/>
      <c r="J1493" s="1"/>
    </row>
    <row r="1494" spans="1:10" ht="12.75" x14ac:dyDescent="0.2">
      <c r="A1494" s="3"/>
      <c r="B1494" s="3"/>
      <c r="C1494" s="3"/>
      <c r="D1494" s="3"/>
      <c r="E1494" s="3"/>
      <c r="F1494" s="2"/>
      <c r="G1494" s="2"/>
      <c r="I1494" s="1"/>
      <c r="J1494" s="1"/>
    </row>
    <row r="1495" spans="1:10" ht="12.75" x14ac:dyDescent="0.2">
      <c r="A1495" s="3"/>
      <c r="B1495" s="3"/>
      <c r="C1495" s="3"/>
      <c r="D1495" s="3"/>
      <c r="E1495" s="3"/>
      <c r="F1495" s="2"/>
      <c r="G1495" s="2"/>
      <c r="I1495" s="1"/>
      <c r="J1495" s="1"/>
    </row>
    <row r="1496" spans="1:10" ht="12.75" x14ac:dyDescent="0.2">
      <c r="A1496" s="3"/>
      <c r="B1496" s="3"/>
      <c r="C1496" s="3"/>
      <c r="D1496" s="3"/>
      <c r="E1496" s="3"/>
      <c r="F1496" s="2"/>
      <c r="G1496" s="2"/>
      <c r="I1496" s="1"/>
      <c r="J1496" s="1"/>
    </row>
    <row r="1497" spans="1:10" ht="12.75" x14ac:dyDescent="0.2">
      <c r="A1497" s="3"/>
      <c r="B1497" s="3"/>
      <c r="C1497" s="3"/>
      <c r="D1497" s="3"/>
      <c r="E1497" s="3"/>
      <c r="F1497" s="2"/>
      <c r="G1497" s="2"/>
      <c r="I1497" s="1"/>
      <c r="J1497" s="1"/>
    </row>
    <row r="1498" spans="1:10" ht="12.75" x14ac:dyDescent="0.2">
      <c r="A1498" s="3"/>
      <c r="B1498" s="3"/>
      <c r="C1498" s="3"/>
      <c r="D1498" s="3"/>
      <c r="E1498" s="3"/>
      <c r="F1498" s="2"/>
      <c r="G1498" s="2"/>
      <c r="I1498" s="1"/>
      <c r="J1498" s="1"/>
    </row>
    <row r="1499" spans="1:10" ht="12.75" x14ac:dyDescent="0.2">
      <c r="A1499" s="3"/>
      <c r="B1499" s="3"/>
      <c r="C1499" s="3"/>
      <c r="D1499" s="3"/>
      <c r="E1499" s="3"/>
      <c r="F1499" s="2"/>
      <c r="G1499" s="2"/>
      <c r="I1499" s="1"/>
      <c r="J1499" s="1"/>
    </row>
    <row r="1500" spans="1:10" ht="12.75" x14ac:dyDescent="0.2">
      <c r="A1500" s="3"/>
      <c r="B1500" s="3"/>
      <c r="C1500" s="3"/>
      <c r="D1500" s="3"/>
      <c r="E1500" s="3"/>
      <c r="F1500" s="2"/>
      <c r="G1500" s="2"/>
      <c r="I1500" s="1"/>
      <c r="J1500" s="1"/>
    </row>
    <row r="1501" spans="1:10" ht="12.75" x14ac:dyDescent="0.2">
      <c r="A1501" s="3"/>
      <c r="B1501" s="3"/>
      <c r="C1501" s="3"/>
      <c r="D1501" s="3"/>
      <c r="E1501" s="3"/>
      <c r="F1501" s="2"/>
      <c r="G1501" s="2"/>
      <c r="I1501" s="1"/>
      <c r="J1501" s="1"/>
    </row>
    <row r="1502" spans="1:10" ht="12.75" x14ac:dyDescent="0.2">
      <c r="A1502" s="3"/>
      <c r="B1502" s="3"/>
      <c r="C1502" s="3"/>
      <c r="D1502" s="3"/>
      <c r="E1502" s="3"/>
      <c r="F1502" s="2"/>
      <c r="G1502" s="2"/>
      <c r="I1502" s="1"/>
      <c r="J1502" s="1"/>
    </row>
    <row r="1503" spans="1:10" ht="12.75" x14ac:dyDescent="0.2">
      <c r="A1503" s="3"/>
      <c r="B1503" s="3"/>
      <c r="C1503" s="3"/>
      <c r="D1503" s="3"/>
      <c r="E1503" s="3"/>
      <c r="F1503" s="2"/>
      <c r="G1503" s="2"/>
      <c r="I1503" s="1"/>
      <c r="J1503" s="1"/>
    </row>
    <row r="1504" spans="1:10" ht="12.75" x14ac:dyDescent="0.2">
      <c r="A1504" s="3"/>
      <c r="B1504" s="3"/>
      <c r="C1504" s="3"/>
      <c r="D1504" s="3"/>
      <c r="E1504" s="3"/>
      <c r="F1504" s="2"/>
      <c r="G1504" s="2"/>
      <c r="I1504" s="1"/>
      <c r="J1504" s="1"/>
    </row>
    <row r="1505" spans="1:10" ht="12.75" x14ac:dyDescent="0.2">
      <c r="A1505" s="3"/>
      <c r="B1505" s="3"/>
      <c r="C1505" s="3"/>
      <c r="D1505" s="3"/>
      <c r="E1505" s="3"/>
      <c r="F1505" s="2"/>
      <c r="G1505" s="2"/>
      <c r="I1505" s="1"/>
      <c r="J1505" s="1"/>
    </row>
    <row r="1506" spans="1:10" ht="12.75" x14ac:dyDescent="0.2">
      <c r="A1506" s="3"/>
      <c r="B1506" s="3"/>
      <c r="C1506" s="3"/>
      <c r="D1506" s="3"/>
      <c r="E1506" s="3"/>
      <c r="F1506" s="2"/>
      <c r="G1506" s="2"/>
      <c r="I1506" s="1"/>
      <c r="J1506" s="1"/>
    </row>
    <row r="1507" spans="1:10" ht="12.75" x14ac:dyDescent="0.2">
      <c r="A1507" s="3"/>
      <c r="B1507" s="3"/>
      <c r="C1507" s="3"/>
      <c r="D1507" s="3"/>
      <c r="E1507" s="3"/>
      <c r="F1507" s="2"/>
      <c r="G1507" s="2"/>
      <c r="I1507" s="1"/>
      <c r="J1507" s="1"/>
    </row>
    <row r="1508" spans="1:10" ht="12.75" x14ac:dyDescent="0.2">
      <c r="A1508" s="3"/>
      <c r="B1508" s="3"/>
      <c r="C1508" s="3"/>
      <c r="D1508" s="3"/>
      <c r="E1508" s="3"/>
      <c r="F1508" s="2"/>
      <c r="G1508" s="2"/>
      <c r="I1508" s="1"/>
      <c r="J1508" s="1"/>
    </row>
    <row r="1509" spans="1:10" ht="12.75" x14ac:dyDescent="0.2">
      <c r="A1509" s="3"/>
      <c r="B1509" s="3"/>
      <c r="C1509" s="3"/>
      <c r="D1509" s="3"/>
      <c r="E1509" s="3"/>
      <c r="F1509" s="2"/>
      <c r="G1509" s="2"/>
      <c r="I1509" s="1"/>
      <c r="J1509" s="1"/>
    </row>
    <row r="1510" spans="1:10" ht="12.75" x14ac:dyDescent="0.2">
      <c r="A1510" s="3"/>
      <c r="B1510" s="3"/>
      <c r="C1510" s="3"/>
      <c r="D1510" s="3"/>
      <c r="E1510" s="3"/>
      <c r="F1510" s="2"/>
      <c r="G1510" s="2"/>
      <c r="I1510" s="1"/>
      <c r="J1510" s="1"/>
    </row>
    <row r="1511" spans="1:10" ht="12.75" x14ac:dyDescent="0.2">
      <c r="A1511" s="3"/>
      <c r="B1511" s="3"/>
      <c r="C1511" s="3"/>
      <c r="D1511" s="3"/>
      <c r="E1511" s="3"/>
      <c r="F1511" s="2"/>
      <c r="G1511" s="2"/>
      <c r="I1511" s="1"/>
      <c r="J1511" s="1"/>
    </row>
    <row r="1512" spans="1:10" ht="12.75" x14ac:dyDescent="0.2">
      <c r="A1512" s="3"/>
      <c r="B1512" s="3"/>
      <c r="C1512" s="3"/>
      <c r="D1512" s="3"/>
      <c r="E1512" s="3"/>
      <c r="F1512" s="2"/>
      <c r="G1512" s="2"/>
      <c r="I1512" s="1"/>
      <c r="J1512" s="1"/>
    </row>
    <row r="1513" spans="1:10" ht="12.75" x14ac:dyDescent="0.2">
      <c r="A1513" s="3"/>
      <c r="B1513" s="3"/>
      <c r="C1513" s="3"/>
      <c r="D1513" s="3"/>
      <c r="E1513" s="3"/>
      <c r="F1513" s="2"/>
      <c r="G1513" s="2"/>
      <c r="I1513" s="1"/>
      <c r="J1513" s="1"/>
    </row>
    <row r="1514" spans="1:10" ht="12.75" x14ac:dyDescent="0.2">
      <c r="A1514" s="3"/>
      <c r="B1514" s="3"/>
      <c r="C1514" s="3"/>
      <c r="D1514" s="3"/>
      <c r="E1514" s="3"/>
      <c r="F1514" s="2"/>
      <c r="G1514" s="2"/>
      <c r="I1514" s="1"/>
      <c r="J1514" s="1"/>
    </row>
    <row r="1515" spans="1:10" ht="12.75" x14ac:dyDescent="0.2">
      <c r="A1515" s="3"/>
      <c r="B1515" s="3"/>
      <c r="C1515" s="3"/>
      <c r="D1515" s="3"/>
      <c r="E1515" s="3"/>
      <c r="F1515" s="2"/>
      <c r="G1515" s="2"/>
      <c r="I1515" s="1"/>
      <c r="J1515" s="1"/>
    </row>
    <row r="1516" spans="1:10" ht="12.75" x14ac:dyDescent="0.2">
      <c r="A1516" s="3"/>
      <c r="B1516" s="3"/>
      <c r="C1516" s="3"/>
      <c r="D1516" s="3"/>
      <c r="E1516" s="3"/>
      <c r="F1516" s="2"/>
      <c r="G1516" s="2"/>
      <c r="I1516" s="1"/>
      <c r="J1516" s="1"/>
    </row>
    <row r="1517" spans="1:10" ht="12.75" x14ac:dyDescent="0.2">
      <c r="A1517" s="3"/>
      <c r="B1517" s="3"/>
      <c r="C1517" s="3"/>
      <c r="D1517" s="3"/>
      <c r="E1517" s="3"/>
      <c r="F1517" s="2"/>
      <c r="G1517" s="2"/>
      <c r="I1517" s="1"/>
      <c r="J1517" s="1"/>
    </row>
    <row r="1518" spans="1:10" ht="12.75" x14ac:dyDescent="0.2">
      <c r="A1518" s="3"/>
      <c r="B1518" s="3"/>
      <c r="C1518" s="3"/>
      <c r="D1518" s="3"/>
      <c r="E1518" s="3"/>
      <c r="F1518" s="2"/>
      <c r="G1518" s="2"/>
      <c r="I1518" s="1"/>
      <c r="J1518" s="1"/>
    </row>
    <row r="1519" spans="1:10" ht="12.75" x14ac:dyDescent="0.2">
      <c r="A1519" s="3"/>
      <c r="B1519" s="3"/>
      <c r="C1519" s="3"/>
      <c r="D1519" s="3"/>
      <c r="E1519" s="3"/>
      <c r="F1519" s="2"/>
      <c r="G1519" s="2"/>
      <c r="I1519" s="1"/>
      <c r="J1519" s="1"/>
    </row>
    <row r="1520" spans="1:10" ht="12.75" x14ac:dyDescent="0.2">
      <c r="A1520" s="3"/>
      <c r="B1520" s="3"/>
      <c r="C1520" s="3"/>
      <c r="D1520" s="3"/>
      <c r="E1520" s="3"/>
      <c r="F1520" s="2"/>
      <c r="G1520" s="2"/>
      <c r="I1520" s="1"/>
      <c r="J1520" s="1"/>
    </row>
    <row r="1521" spans="1:10" ht="12.75" x14ac:dyDescent="0.2">
      <c r="A1521" s="3"/>
      <c r="B1521" s="3"/>
      <c r="C1521" s="3"/>
      <c r="D1521" s="3"/>
      <c r="E1521" s="3"/>
      <c r="F1521" s="2"/>
      <c r="G1521" s="2"/>
      <c r="I1521" s="1"/>
      <c r="J1521" s="1"/>
    </row>
    <row r="1522" spans="1:10" ht="12.75" x14ac:dyDescent="0.2">
      <c r="A1522" s="3"/>
      <c r="B1522" s="3"/>
      <c r="C1522" s="3"/>
      <c r="D1522" s="3"/>
      <c r="E1522" s="3"/>
      <c r="F1522" s="2"/>
      <c r="G1522" s="2"/>
      <c r="I1522" s="1"/>
      <c r="J1522" s="1"/>
    </row>
    <row r="1523" spans="1:10" ht="12.75" x14ac:dyDescent="0.2">
      <c r="A1523" s="3"/>
      <c r="B1523" s="3"/>
      <c r="C1523" s="3"/>
      <c r="D1523" s="3"/>
      <c r="E1523" s="3"/>
      <c r="F1523" s="2"/>
      <c r="G1523" s="2"/>
      <c r="I1523" s="1"/>
      <c r="J1523" s="1"/>
    </row>
    <row r="1524" spans="1:10" ht="12.75" x14ac:dyDescent="0.2">
      <c r="A1524" s="3"/>
      <c r="B1524" s="3"/>
      <c r="C1524" s="3"/>
      <c r="D1524" s="3"/>
      <c r="E1524" s="3"/>
      <c r="F1524" s="2"/>
      <c r="G1524" s="2"/>
      <c r="I1524" s="1"/>
      <c r="J1524" s="1"/>
    </row>
    <row r="1525" spans="1:10" ht="12.75" x14ac:dyDescent="0.2">
      <c r="A1525" s="3"/>
      <c r="B1525" s="3"/>
      <c r="C1525" s="3"/>
      <c r="D1525" s="3"/>
      <c r="E1525" s="3"/>
      <c r="F1525" s="2"/>
      <c r="G1525" s="2"/>
      <c r="I1525" s="1"/>
      <c r="J1525" s="1"/>
    </row>
    <row r="1526" spans="1:10" ht="12.75" x14ac:dyDescent="0.2">
      <c r="A1526" s="3"/>
      <c r="B1526" s="3"/>
      <c r="C1526" s="3"/>
      <c r="D1526" s="3"/>
      <c r="E1526" s="3"/>
      <c r="F1526" s="2"/>
      <c r="G1526" s="2"/>
      <c r="I1526" s="1"/>
      <c r="J1526" s="1"/>
    </row>
    <row r="1527" spans="1:10" ht="12.75" x14ac:dyDescent="0.2">
      <c r="A1527" s="3"/>
      <c r="B1527" s="3"/>
      <c r="C1527" s="3"/>
      <c r="D1527" s="3"/>
      <c r="E1527" s="3"/>
      <c r="F1527" s="2"/>
      <c r="G1527" s="2"/>
      <c r="I1527" s="1"/>
      <c r="J1527" s="1"/>
    </row>
    <row r="1528" spans="1:10" ht="12.75" x14ac:dyDescent="0.2">
      <c r="A1528" s="3"/>
      <c r="B1528" s="3"/>
      <c r="C1528" s="3"/>
      <c r="D1528" s="3"/>
      <c r="E1528" s="3"/>
      <c r="F1528" s="2"/>
      <c r="G1528" s="2"/>
      <c r="I1528" s="1"/>
      <c r="J1528" s="1"/>
    </row>
    <row r="1529" spans="1:10" ht="12.75" x14ac:dyDescent="0.2">
      <c r="A1529" s="3"/>
      <c r="B1529" s="3"/>
      <c r="C1529" s="3"/>
      <c r="D1529" s="3"/>
      <c r="E1529" s="3"/>
      <c r="F1529" s="2"/>
      <c r="G1529" s="2"/>
      <c r="I1529" s="1"/>
      <c r="J1529" s="1"/>
    </row>
    <row r="1530" spans="1:10" ht="12.75" x14ac:dyDescent="0.2">
      <c r="A1530" s="3"/>
      <c r="B1530" s="3"/>
      <c r="C1530" s="3"/>
      <c r="D1530" s="3"/>
      <c r="E1530" s="3"/>
      <c r="F1530" s="2"/>
      <c r="G1530" s="2"/>
      <c r="I1530" s="1"/>
      <c r="J1530" s="1"/>
    </row>
    <row r="1531" spans="1:10" ht="12.75" x14ac:dyDescent="0.2">
      <c r="A1531" s="3"/>
      <c r="B1531" s="3"/>
      <c r="C1531" s="3"/>
      <c r="D1531" s="3"/>
      <c r="E1531" s="3"/>
      <c r="F1531" s="2"/>
      <c r="G1531" s="2"/>
      <c r="I1531" s="1"/>
      <c r="J1531" s="1"/>
    </row>
    <row r="1532" spans="1:10" ht="12.75" x14ac:dyDescent="0.2">
      <c r="A1532" s="3"/>
      <c r="B1532" s="3"/>
      <c r="C1532" s="3"/>
      <c r="D1532" s="3"/>
      <c r="E1532" s="3"/>
      <c r="F1532" s="2"/>
      <c r="G1532" s="2"/>
      <c r="I1532" s="1"/>
      <c r="J1532" s="1"/>
    </row>
    <row r="1533" spans="1:10" ht="12.75" x14ac:dyDescent="0.2">
      <c r="A1533" s="3"/>
      <c r="B1533" s="3"/>
      <c r="C1533" s="3"/>
      <c r="D1533" s="3"/>
      <c r="E1533" s="3"/>
      <c r="F1533" s="2"/>
      <c r="G1533" s="2"/>
      <c r="I1533" s="1"/>
      <c r="J1533" s="1"/>
    </row>
    <row r="1534" spans="1:10" ht="12.75" x14ac:dyDescent="0.2">
      <c r="A1534" s="3"/>
      <c r="B1534" s="3"/>
      <c r="C1534" s="3"/>
      <c r="D1534" s="3"/>
      <c r="E1534" s="3"/>
      <c r="F1534" s="2"/>
      <c r="G1534" s="2"/>
      <c r="I1534" s="1"/>
      <c r="J1534" s="1"/>
    </row>
    <row r="1535" spans="1:10" ht="12.75" x14ac:dyDescent="0.2">
      <c r="A1535" s="3"/>
      <c r="B1535" s="3"/>
      <c r="C1535" s="3"/>
      <c r="D1535" s="3"/>
      <c r="E1535" s="3"/>
      <c r="F1535" s="2"/>
      <c r="G1535" s="2"/>
      <c r="I1535" s="1"/>
      <c r="J1535" s="1"/>
    </row>
    <row r="1536" spans="1:10" ht="12.75" x14ac:dyDescent="0.2">
      <c r="A1536" s="3"/>
      <c r="B1536" s="3"/>
      <c r="C1536" s="3"/>
      <c r="D1536" s="3"/>
      <c r="E1536" s="3"/>
      <c r="F1536" s="2"/>
      <c r="G1536" s="2"/>
      <c r="I1536" s="1"/>
      <c r="J1536" s="1"/>
    </row>
    <row r="1537" spans="1:10" ht="12.75" x14ac:dyDescent="0.2">
      <c r="A1537" s="3"/>
      <c r="B1537" s="3"/>
      <c r="C1537" s="3"/>
      <c r="D1537" s="3"/>
      <c r="E1537" s="3"/>
      <c r="F1537" s="2"/>
      <c r="G1537" s="2"/>
      <c r="I1537" s="1"/>
      <c r="J1537" s="1"/>
    </row>
    <row r="1538" spans="1:10" ht="12.75" x14ac:dyDescent="0.2">
      <c r="A1538" s="3"/>
      <c r="B1538" s="3"/>
      <c r="C1538" s="3"/>
      <c r="D1538" s="3"/>
      <c r="E1538" s="3"/>
      <c r="F1538" s="2"/>
      <c r="G1538" s="2"/>
      <c r="I1538" s="1"/>
      <c r="J1538" s="1"/>
    </row>
    <row r="1539" spans="1:10" ht="12.75" x14ac:dyDescent="0.2">
      <c r="A1539" s="3"/>
      <c r="B1539" s="3"/>
      <c r="C1539" s="3"/>
      <c r="D1539" s="3"/>
      <c r="E1539" s="3"/>
      <c r="F1539" s="2"/>
      <c r="G1539" s="2"/>
      <c r="I1539" s="1"/>
      <c r="J1539" s="1"/>
    </row>
    <row r="1540" spans="1:10" ht="12.75" x14ac:dyDescent="0.2">
      <c r="A1540" s="3"/>
      <c r="B1540" s="3"/>
      <c r="C1540" s="3"/>
      <c r="D1540" s="3"/>
      <c r="E1540" s="3"/>
      <c r="F1540" s="2"/>
      <c r="G1540" s="2"/>
      <c r="I1540" s="1"/>
      <c r="J1540" s="1"/>
    </row>
    <row r="1541" spans="1:10" ht="12.75" x14ac:dyDescent="0.2">
      <c r="A1541" s="3"/>
      <c r="B1541" s="3"/>
      <c r="C1541" s="3"/>
      <c r="D1541" s="3"/>
      <c r="E1541" s="3"/>
      <c r="F1541" s="2"/>
      <c r="G1541" s="2"/>
      <c r="I1541" s="1"/>
      <c r="J1541" s="1"/>
    </row>
    <row r="1542" spans="1:10" ht="12.75" x14ac:dyDescent="0.2">
      <c r="A1542" s="3"/>
      <c r="B1542" s="3"/>
      <c r="C1542" s="3"/>
      <c r="D1542" s="3"/>
      <c r="E1542" s="3"/>
      <c r="F1542" s="2"/>
      <c r="G1542" s="2"/>
      <c r="I1542" s="1"/>
      <c r="J1542" s="1"/>
    </row>
    <row r="1543" spans="1:10" ht="12.75" x14ac:dyDescent="0.2">
      <c r="A1543" s="3"/>
      <c r="B1543" s="3"/>
      <c r="C1543" s="3"/>
      <c r="D1543" s="3"/>
      <c r="E1543" s="3"/>
      <c r="F1543" s="2"/>
      <c r="G1543" s="2"/>
      <c r="I1543" s="1"/>
      <c r="J1543" s="1"/>
    </row>
    <row r="1544" spans="1:10" ht="12.75" x14ac:dyDescent="0.2">
      <c r="A1544" s="3"/>
      <c r="B1544" s="3"/>
      <c r="C1544" s="3"/>
      <c r="D1544" s="3"/>
      <c r="E1544" s="3"/>
      <c r="F1544" s="2"/>
      <c r="G1544" s="2"/>
      <c r="I1544" s="1"/>
      <c r="J1544" s="1"/>
    </row>
    <row r="1545" spans="1:10" ht="12.75" x14ac:dyDescent="0.2">
      <c r="A1545" s="3"/>
      <c r="B1545" s="3"/>
      <c r="C1545" s="3"/>
      <c r="D1545" s="3"/>
      <c r="E1545" s="3"/>
      <c r="F1545" s="2"/>
      <c r="G1545" s="2"/>
      <c r="I1545" s="1"/>
      <c r="J1545" s="1"/>
    </row>
    <row r="1546" spans="1:10" ht="12.75" x14ac:dyDescent="0.2">
      <c r="A1546" s="3"/>
      <c r="B1546" s="3"/>
      <c r="C1546" s="3"/>
      <c r="D1546" s="3"/>
      <c r="E1546" s="3"/>
      <c r="F1546" s="2"/>
      <c r="G1546" s="2"/>
      <c r="I1546" s="1"/>
      <c r="J1546" s="1"/>
    </row>
    <row r="1547" spans="1:10" ht="12.75" x14ac:dyDescent="0.2">
      <c r="A1547" s="3"/>
      <c r="B1547" s="3"/>
      <c r="C1547" s="3"/>
      <c r="D1547" s="3"/>
      <c r="E1547" s="3"/>
      <c r="F1547" s="2"/>
      <c r="G1547" s="2"/>
      <c r="I1547" s="1"/>
      <c r="J1547" s="1"/>
    </row>
    <row r="1548" spans="1:10" ht="12.75" x14ac:dyDescent="0.2">
      <c r="A1548" s="3"/>
      <c r="B1548" s="3"/>
      <c r="C1548" s="3"/>
      <c r="D1548" s="3"/>
      <c r="E1548" s="3"/>
      <c r="F1548" s="2"/>
      <c r="G1548" s="2"/>
      <c r="I1548" s="1"/>
      <c r="J1548" s="1"/>
    </row>
    <row r="1549" spans="1:10" ht="12.75" x14ac:dyDescent="0.2">
      <c r="A1549" s="3"/>
      <c r="B1549" s="3"/>
      <c r="C1549" s="3"/>
      <c r="D1549" s="3"/>
      <c r="E1549" s="3"/>
      <c r="F1549" s="2"/>
      <c r="G1549" s="2"/>
      <c r="I1549" s="1"/>
      <c r="J1549" s="1"/>
    </row>
    <row r="1550" spans="1:10" ht="12.75" x14ac:dyDescent="0.2">
      <c r="A1550" s="3"/>
      <c r="B1550" s="3"/>
      <c r="C1550" s="3"/>
      <c r="D1550" s="3"/>
      <c r="E1550" s="3"/>
      <c r="F1550" s="2"/>
      <c r="G1550" s="2"/>
      <c r="I1550" s="1"/>
      <c r="J1550" s="1"/>
    </row>
    <row r="1551" spans="1:10" ht="12.75" x14ac:dyDescent="0.2">
      <c r="A1551" s="3"/>
      <c r="B1551" s="3"/>
      <c r="C1551" s="3"/>
      <c r="D1551" s="3"/>
      <c r="E1551" s="3"/>
      <c r="F1551" s="2"/>
      <c r="G1551" s="2"/>
      <c r="I1551" s="1"/>
      <c r="J1551" s="1"/>
    </row>
    <row r="1552" spans="1:10" ht="12.75" x14ac:dyDescent="0.2">
      <c r="A1552" s="3"/>
      <c r="B1552" s="3"/>
      <c r="C1552" s="3"/>
      <c r="D1552" s="3"/>
      <c r="E1552" s="3"/>
      <c r="F1552" s="2"/>
      <c r="G1552" s="2"/>
      <c r="I1552" s="1"/>
      <c r="J1552" s="1"/>
    </row>
    <row r="1553" spans="1:10" ht="12.75" x14ac:dyDescent="0.2">
      <c r="A1553" s="3"/>
      <c r="B1553" s="3"/>
      <c r="C1553" s="3"/>
      <c r="D1553" s="3"/>
      <c r="E1553" s="3"/>
      <c r="F1553" s="2"/>
      <c r="G1553" s="2"/>
      <c r="I1553" s="1"/>
      <c r="J1553" s="1"/>
    </row>
    <row r="1554" spans="1:10" ht="12.75" x14ac:dyDescent="0.2">
      <c r="A1554" s="3"/>
      <c r="B1554" s="3"/>
      <c r="C1554" s="3"/>
      <c r="D1554" s="3"/>
      <c r="E1554" s="3"/>
      <c r="F1554" s="2"/>
      <c r="G1554" s="2"/>
      <c r="I1554" s="1"/>
      <c r="J1554" s="1"/>
    </row>
    <row r="1555" spans="1:10" ht="12.75" x14ac:dyDescent="0.2">
      <c r="A1555" s="3"/>
      <c r="B1555" s="3"/>
      <c r="C1555" s="3"/>
      <c r="D1555" s="3"/>
      <c r="E1555" s="3"/>
      <c r="F1555" s="2"/>
      <c r="G1555" s="2"/>
      <c r="I1555" s="1"/>
      <c r="J1555" s="1"/>
    </row>
    <row r="1556" spans="1:10" ht="12.75" x14ac:dyDescent="0.2">
      <c r="A1556" s="3"/>
      <c r="B1556" s="3"/>
      <c r="C1556" s="3"/>
      <c r="D1556" s="3"/>
      <c r="E1556" s="3"/>
      <c r="F1556" s="2"/>
      <c r="G1556" s="2"/>
      <c r="I1556" s="1"/>
      <c r="J1556" s="1"/>
    </row>
    <row r="1557" spans="1:10" ht="12.75" x14ac:dyDescent="0.2">
      <c r="A1557" s="3"/>
      <c r="B1557" s="3"/>
      <c r="C1557" s="3"/>
      <c r="D1557" s="3"/>
      <c r="E1557" s="3"/>
      <c r="F1557" s="2"/>
      <c r="G1557" s="2"/>
      <c r="I1557" s="1"/>
      <c r="J1557" s="1"/>
    </row>
    <row r="1558" spans="1:10" ht="12.75" x14ac:dyDescent="0.2">
      <c r="A1558" s="3"/>
      <c r="B1558" s="3"/>
      <c r="C1558" s="3"/>
      <c r="D1558" s="3"/>
      <c r="E1558" s="3"/>
      <c r="F1558" s="2"/>
      <c r="G1558" s="2"/>
      <c r="I1558" s="1"/>
      <c r="J1558" s="1"/>
    </row>
    <row r="1559" spans="1:10" ht="12.75" x14ac:dyDescent="0.2">
      <c r="A1559" s="3"/>
      <c r="B1559" s="3"/>
      <c r="C1559" s="3"/>
      <c r="D1559" s="3"/>
      <c r="E1559" s="3"/>
      <c r="F1559" s="2"/>
      <c r="G1559" s="2"/>
      <c r="I1559" s="1"/>
      <c r="J1559" s="1"/>
    </row>
    <row r="1560" spans="1:10" ht="12.75" x14ac:dyDescent="0.2">
      <c r="A1560" s="3"/>
      <c r="B1560" s="3"/>
      <c r="C1560" s="3"/>
      <c r="D1560" s="3"/>
      <c r="E1560" s="3"/>
      <c r="F1560" s="2"/>
      <c r="G1560" s="2"/>
      <c r="I1560" s="1"/>
      <c r="J1560" s="1"/>
    </row>
    <row r="1561" spans="1:10" ht="12.75" x14ac:dyDescent="0.2">
      <c r="A1561" s="3"/>
      <c r="B1561" s="3"/>
      <c r="C1561" s="3"/>
      <c r="D1561" s="3"/>
      <c r="E1561" s="3"/>
      <c r="F1561" s="2"/>
      <c r="G1561" s="2"/>
      <c r="I1561" s="1"/>
      <c r="J1561" s="1"/>
    </row>
    <row r="1562" spans="1:10" ht="12.75" x14ac:dyDescent="0.2">
      <c r="A1562" s="3"/>
      <c r="B1562" s="3"/>
      <c r="C1562" s="3"/>
      <c r="D1562" s="3"/>
      <c r="E1562" s="3"/>
      <c r="F1562" s="2"/>
      <c r="G1562" s="2"/>
      <c r="I1562" s="1"/>
      <c r="J1562" s="1"/>
    </row>
    <row r="1563" spans="1:10" ht="12.75" x14ac:dyDescent="0.2">
      <c r="A1563" s="3"/>
      <c r="B1563" s="3"/>
      <c r="C1563" s="3"/>
      <c r="D1563" s="3"/>
      <c r="E1563" s="3"/>
      <c r="F1563" s="2"/>
      <c r="G1563" s="2"/>
      <c r="I1563" s="1"/>
      <c r="J1563" s="1"/>
    </row>
    <row r="1564" spans="1:10" ht="12.75" x14ac:dyDescent="0.2">
      <c r="A1564" s="3"/>
      <c r="B1564" s="3"/>
      <c r="C1564" s="3"/>
      <c r="D1564" s="3"/>
      <c r="E1564" s="3"/>
      <c r="F1564" s="2"/>
      <c r="G1564" s="2"/>
      <c r="I1564" s="1"/>
      <c r="J1564" s="1"/>
    </row>
    <row r="1565" spans="1:10" ht="12.75" x14ac:dyDescent="0.2">
      <c r="A1565" s="3"/>
      <c r="B1565" s="3"/>
      <c r="C1565" s="3"/>
      <c r="D1565" s="3"/>
      <c r="E1565" s="3"/>
      <c r="F1565" s="2"/>
      <c r="G1565" s="2"/>
      <c r="I1565" s="1"/>
      <c r="J1565" s="1"/>
    </row>
    <row r="1566" spans="1:10" ht="12.75" x14ac:dyDescent="0.2">
      <c r="A1566" s="3"/>
      <c r="B1566" s="3"/>
      <c r="C1566" s="3"/>
      <c r="D1566" s="3"/>
      <c r="E1566" s="3"/>
      <c r="F1566" s="2"/>
      <c r="G1566" s="2"/>
      <c r="I1566" s="1"/>
      <c r="J1566" s="1"/>
    </row>
    <row r="1567" spans="1:10" ht="12.75" x14ac:dyDescent="0.2">
      <c r="A1567" s="3"/>
      <c r="B1567" s="3"/>
      <c r="C1567" s="3"/>
      <c r="D1567" s="3"/>
      <c r="E1567" s="3"/>
      <c r="F1567" s="2"/>
      <c r="G1567" s="2"/>
      <c r="I1567" s="1"/>
      <c r="J1567" s="1"/>
    </row>
    <row r="1568" spans="1:10" ht="12.75" x14ac:dyDescent="0.2">
      <c r="A1568" s="3"/>
      <c r="B1568" s="3"/>
      <c r="C1568" s="3"/>
      <c r="D1568" s="3"/>
      <c r="E1568" s="3"/>
      <c r="F1568" s="2"/>
      <c r="G1568" s="2"/>
      <c r="I1568" s="1"/>
      <c r="J1568" s="1"/>
    </row>
    <row r="1569" spans="1:10" ht="12.75" x14ac:dyDescent="0.2">
      <c r="A1569" s="3"/>
      <c r="B1569" s="3"/>
      <c r="C1569" s="3"/>
      <c r="D1569" s="3"/>
      <c r="E1569" s="3"/>
      <c r="F1569" s="2"/>
      <c r="G1569" s="2"/>
      <c r="I1569" s="1"/>
      <c r="J1569" s="1"/>
    </row>
    <row r="1570" spans="1:10" ht="12.75" x14ac:dyDescent="0.2">
      <c r="A1570" s="3"/>
      <c r="B1570" s="3"/>
      <c r="C1570" s="3"/>
      <c r="D1570" s="3"/>
      <c r="E1570" s="3"/>
      <c r="F1570" s="2"/>
      <c r="G1570" s="2"/>
      <c r="I1570" s="1"/>
      <c r="J1570" s="1"/>
    </row>
    <row r="1571" spans="1:10" ht="12.75" x14ac:dyDescent="0.2">
      <c r="A1571" s="3"/>
      <c r="B1571" s="3"/>
      <c r="C1571" s="3"/>
      <c r="D1571" s="3"/>
      <c r="E1571" s="3"/>
      <c r="F1571" s="2"/>
      <c r="G1571" s="2"/>
      <c r="I1571" s="1"/>
      <c r="J1571" s="1"/>
    </row>
    <row r="1572" spans="1:10" ht="12.75" x14ac:dyDescent="0.2">
      <c r="A1572" s="3"/>
      <c r="B1572" s="3"/>
      <c r="C1572" s="3"/>
      <c r="D1572" s="3"/>
      <c r="E1572" s="3"/>
      <c r="F1572" s="2"/>
      <c r="G1572" s="2"/>
      <c r="I1572" s="1"/>
      <c r="J1572" s="1"/>
    </row>
    <row r="1573" spans="1:10" ht="12.75" x14ac:dyDescent="0.2">
      <c r="A1573" s="3"/>
      <c r="B1573" s="3"/>
      <c r="C1573" s="3"/>
      <c r="D1573" s="3"/>
      <c r="E1573" s="3"/>
      <c r="F1573" s="2"/>
      <c r="G1573" s="2"/>
      <c r="I1573" s="1"/>
      <c r="J1573" s="1"/>
    </row>
    <row r="1574" spans="1:10" ht="12.75" x14ac:dyDescent="0.2">
      <c r="A1574" s="3"/>
      <c r="B1574" s="3"/>
      <c r="C1574" s="3"/>
      <c r="D1574" s="3"/>
      <c r="E1574" s="3"/>
      <c r="F1574" s="2"/>
      <c r="G1574" s="2"/>
      <c r="I1574" s="1"/>
      <c r="J1574" s="1"/>
    </row>
    <row r="1575" spans="1:10" ht="12.75" x14ac:dyDescent="0.2">
      <c r="A1575" s="3"/>
      <c r="B1575" s="3"/>
      <c r="C1575" s="3"/>
      <c r="D1575" s="3"/>
      <c r="E1575" s="3"/>
      <c r="F1575" s="2"/>
      <c r="G1575" s="2"/>
      <c r="I1575" s="1"/>
      <c r="J1575" s="1"/>
    </row>
    <row r="1576" spans="1:10" ht="12.75" x14ac:dyDescent="0.2">
      <c r="A1576" s="3"/>
      <c r="B1576" s="3"/>
      <c r="C1576" s="3"/>
      <c r="D1576" s="3"/>
      <c r="E1576" s="3"/>
      <c r="F1576" s="2"/>
      <c r="G1576" s="2"/>
      <c r="I1576" s="1"/>
      <c r="J1576" s="1"/>
    </row>
    <row r="1577" spans="1:10" ht="12.75" x14ac:dyDescent="0.2">
      <c r="A1577" s="3"/>
      <c r="B1577" s="3"/>
      <c r="C1577" s="3"/>
      <c r="D1577" s="3"/>
      <c r="E1577" s="3"/>
      <c r="F1577" s="2"/>
      <c r="G1577" s="2"/>
      <c r="I1577" s="1"/>
      <c r="J1577" s="1"/>
    </row>
    <row r="1578" spans="1:10" ht="12.75" x14ac:dyDescent="0.2">
      <c r="A1578" s="3"/>
      <c r="B1578" s="3"/>
      <c r="C1578" s="3"/>
      <c r="D1578" s="3"/>
      <c r="E1578" s="3"/>
      <c r="F1578" s="2"/>
      <c r="G1578" s="2"/>
      <c r="I1578" s="1"/>
      <c r="J1578" s="1"/>
    </row>
    <row r="1579" spans="1:10" ht="12.75" x14ac:dyDescent="0.2">
      <c r="A1579" s="3"/>
      <c r="B1579" s="3"/>
      <c r="C1579" s="3"/>
      <c r="D1579" s="3"/>
      <c r="E1579" s="3"/>
      <c r="F1579" s="2"/>
      <c r="G1579" s="2"/>
      <c r="I1579" s="1"/>
      <c r="J1579" s="1"/>
    </row>
    <row r="1580" spans="1:10" ht="12.75" x14ac:dyDescent="0.2">
      <c r="A1580" s="3"/>
      <c r="B1580" s="3"/>
      <c r="C1580" s="3"/>
      <c r="D1580" s="3"/>
      <c r="E1580" s="3"/>
      <c r="F1580" s="2"/>
      <c r="G1580" s="2"/>
      <c r="I1580" s="1"/>
      <c r="J1580" s="1"/>
    </row>
    <row r="1581" spans="1:10" ht="12.75" x14ac:dyDescent="0.2">
      <c r="A1581" s="3"/>
      <c r="B1581" s="3"/>
      <c r="C1581" s="3"/>
      <c r="D1581" s="3"/>
      <c r="E1581" s="3"/>
      <c r="F1581" s="2"/>
      <c r="G1581" s="2"/>
      <c r="I1581" s="1"/>
      <c r="J1581" s="1"/>
    </row>
    <row r="1582" spans="1:10" ht="12.75" x14ac:dyDescent="0.2">
      <c r="A1582" s="3"/>
      <c r="B1582" s="3"/>
      <c r="C1582" s="3"/>
      <c r="D1582" s="3"/>
      <c r="E1582" s="3"/>
      <c r="F1582" s="2"/>
      <c r="G1582" s="2"/>
      <c r="I1582" s="1"/>
      <c r="J1582" s="1"/>
    </row>
    <row r="1583" spans="1:10" ht="12.75" x14ac:dyDescent="0.2">
      <c r="A1583" s="3"/>
      <c r="B1583" s="3"/>
      <c r="C1583" s="3"/>
      <c r="D1583" s="3"/>
      <c r="E1583" s="3"/>
      <c r="F1583" s="2"/>
      <c r="G1583" s="2"/>
      <c r="I1583" s="1"/>
      <c r="J1583" s="1"/>
    </row>
    <row r="1584" spans="1:10" ht="12.75" x14ac:dyDescent="0.2">
      <c r="A1584" s="3"/>
      <c r="B1584" s="3"/>
      <c r="C1584" s="3"/>
      <c r="D1584" s="3"/>
      <c r="E1584" s="3"/>
      <c r="F1584" s="2"/>
      <c r="G1584" s="2"/>
      <c r="I1584" s="1"/>
      <c r="J1584" s="1"/>
    </row>
    <row r="1585" spans="1:10" ht="12.75" x14ac:dyDescent="0.2">
      <c r="A1585" s="3"/>
      <c r="B1585" s="3"/>
      <c r="C1585" s="3"/>
      <c r="D1585" s="3"/>
      <c r="E1585" s="3"/>
      <c r="F1585" s="2"/>
      <c r="G1585" s="2"/>
      <c r="I1585" s="1"/>
      <c r="J1585" s="1"/>
    </row>
    <row r="1586" spans="1:10" ht="12.75" x14ac:dyDescent="0.2">
      <c r="A1586" s="3"/>
      <c r="B1586" s="3"/>
      <c r="C1586" s="3"/>
      <c r="D1586" s="3"/>
      <c r="E1586" s="3"/>
      <c r="F1586" s="2"/>
      <c r="G1586" s="2"/>
      <c r="I1586" s="1"/>
      <c r="J1586" s="1"/>
    </row>
    <row r="1587" spans="1:10" ht="12.75" x14ac:dyDescent="0.2">
      <c r="A1587" s="3"/>
      <c r="B1587" s="3"/>
      <c r="C1587" s="3"/>
      <c r="D1587" s="3"/>
      <c r="E1587" s="3"/>
      <c r="F1587" s="2"/>
      <c r="G1587" s="2"/>
      <c r="I1587" s="1"/>
      <c r="J1587" s="1"/>
    </row>
    <row r="1588" spans="1:10" ht="12.75" x14ac:dyDescent="0.2">
      <c r="A1588" s="3"/>
      <c r="B1588" s="3"/>
      <c r="C1588" s="3"/>
      <c r="D1588" s="3"/>
      <c r="E1588" s="3"/>
      <c r="F1588" s="2"/>
      <c r="G1588" s="2"/>
      <c r="I1588" s="1"/>
      <c r="J1588" s="1"/>
    </row>
    <row r="1589" spans="1:10" ht="12.75" x14ac:dyDescent="0.2">
      <c r="A1589" s="3"/>
      <c r="B1589" s="3"/>
      <c r="C1589" s="3"/>
      <c r="D1589" s="3"/>
      <c r="E1589" s="3"/>
      <c r="F1589" s="2"/>
      <c r="G1589" s="2"/>
      <c r="I1589" s="1"/>
      <c r="J1589" s="1"/>
    </row>
    <row r="1590" spans="1:10" ht="12.75" x14ac:dyDescent="0.2">
      <c r="A1590" s="3"/>
      <c r="B1590" s="3"/>
      <c r="C1590" s="3"/>
      <c r="D1590" s="3"/>
      <c r="E1590" s="3"/>
      <c r="F1590" s="2"/>
      <c r="G1590" s="2"/>
      <c r="I1590" s="1"/>
      <c r="J1590" s="1"/>
    </row>
    <row r="1591" spans="1:10" ht="12.75" x14ac:dyDescent="0.2">
      <c r="A1591" s="3"/>
      <c r="B1591" s="3"/>
      <c r="C1591" s="3"/>
      <c r="D1591" s="3"/>
      <c r="E1591" s="3"/>
      <c r="F1591" s="2"/>
      <c r="G1591" s="2"/>
      <c r="I1591" s="1"/>
      <c r="J1591" s="1"/>
    </row>
    <row r="1592" spans="1:10" ht="12.75" x14ac:dyDescent="0.2">
      <c r="A1592" s="3"/>
      <c r="B1592" s="3"/>
      <c r="C1592" s="3"/>
      <c r="D1592" s="3"/>
      <c r="E1592" s="3"/>
      <c r="F1592" s="2"/>
      <c r="G1592" s="2"/>
      <c r="I1592" s="1"/>
      <c r="J1592" s="1"/>
    </row>
    <row r="1593" spans="1:10" ht="12.75" x14ac:dyDescent="0.2">
      <c r="A1593" s="3"/>
      <c r="B1593" s="3"/>
      <c r="C1593" s="3"/>
      <c r="D1593" s="3"/>
      <c r="E1593" s="3"/>
      <c r="F1593" s="2"/>
      <c r="G1593" s="2"/>
      <c r="I1593" s="1"/>
      <c r="J1593" s="1"/>
    </row>
    <row r="1594" spans="1:10" ht="12.75" x14ac:dyDescent="0.2">
      <c r="A1594" s="3"/>
      <c r="B1594" s="3"/>
      <c r="C1594" s="3"/>
      <c r="D1594" s="3"/>
      <c r="E1594" s="3"/>
      <c r="F1594" s="2"/>
      <c r="G1594" s="2"/>
      <c r="I1594" s="1"/>
      <c r="J1594" s="1"/>
    </row>
    <row r="1595" spans="1:10" ht="12.75" x14ac:dyDescent="0.2">
      <c r="A1595" s="3"/>
      <c r="B1595" s="3"/>
      <c r="C1595" s="3"/>
      <c r="D1595" s="3"/>
      <c r="E1595" s="3"/>
      <c r="F1595" s="2"/>
      <c r="G1595" s="2"/>
      <c r="I1595" s="1"/>
      <c r="J1595" s="1"/>
    </row>
    <row r="1596" spans="1:10" ht="12.75" x14ac:dyDescent="0.2">
      <c r="A1596" s="3"/>
      <c r="B1596" s="3"/>
      <c r="C1596" s="3"/>
      <c r="D1596" s="3"/>
      <c r="E1596" s="3"/>
      <c r="F1596" s="2"/>
      <c r="G1596" s="2"/>
      <c r="I1596" s="1"/>
      <c r="J1596" s="1"/>
    </row>
    <row r="1597" spans="1:10" ht="12.75" x14ac:dyDescent="0.2">
      <c r="A1597" s="3"/>
      <c r="B1597" s="3"/>
      <c r="C1597" s="3"/>
      <c r="D1597" s="3"/>
      <c r="E1597" s="3"/>
      <c r="F1597" s="2"/>
      <c r="G1597" s="2"/>
      <c r="I1597" s="1"/>
      <c r="J1597" s="1"/>
    </row>
    <row r="1598" spans="1:10" ht="12.75" x14ac:dyDescent="0.2">
      <c r="A1598" s="3"/>
      <c r="B1598" s="3"/>
      <c r="C1598" s="3"/>
      <c r="D1598" s="3"/>
      <c r="E1598" s="3"/>
      <c r="F1598" s="2"/>
      <c r="G1598" s="2"/>
      <c r="I1598" s="1"/>
      <c r="J1598" s="1"/>
    </row>
    <row r="1599" spans="1:10" ht="12.75" x14ac:dyDescent="0.2">
      <c r="A1599" s="3"/>
      <c r="B1599" s="3"/>
      <c r="C1599" s="3"/>
      <c r="D1599" s="3"/>
      <c r="E1599" s="3"/>
      <c r="F1599" s="2"/>
      <c r="G1599" s="2"/>
      <c r="I1599" s="1"/>
      <c r="J1599" s="1"/>
    </row>
    <row r="1600" spans="1:10" ht="12.75" x14ac:dyDescent="0.2">
      <c r="A1600" s="3"/>
      <c r="B1600" s="3"/>
      <c r="C1600" s="3"/>
      <c r="D1600" s="3"/>
      <c r="E1600" s="3"/>
      <c r="F1600" s="2"/>
      <c r="G1600" s="2"/>
      <c r="I1600" s="1"/>
      <c r="J1600" s="1"/>
    </row>
    <row r="1601" spans="1:10" ht="12.75" x14ac:dyDescent="0.2">
      <c r="A1601" s="3"/>
      <c r="B1601" s="3"/>
      <c r="C1601" s="3"/>
      <c r="D1601" s="3"/>
      <c r="E1601" s="3"/>
      <c r="F1601" s="2"/>
      <c r="G1601" s="2"/>
      <c r="I1601" s="1"/>
      <c r="J1601" s="1"/>
    </row>
    <row r="1602" spans="1:10" ht="12.75" x14ac:dyDescent="0.2">
      <c r="A1602" s="3"/>
      <c r="B1602" s="3"/>
      <c r="C1602" s="3"/>
      <c r="D1602" s="3"/>
      <c r="E1602" s="3"/>
      <c r="F1602" s="2"/>
      <c r="G1602" s="2"/>
      <c r="I1602" s="1"/>
      <c r="J1602" s="1"/>
    </row>
    <row r="1603" spans="1:10" ht="12.75" x14ac:dyDescent="0.2">
      <c r="A1603" s="3"/>
      <c r="B1603" s="3"/>
      <c r="C1603" s="3"/>
      <c r="D1603" s="3"/>
      <c r="E1603" s="3"/>
      <c r="F1603" s="2"/>
      <c r="G1603" s="2"/>
      <c r="I1603" s="1"/>
      <c r="J1603" s="1"/>
    </row>
    <row r="1604" spans="1:10" ht="12.75" x14ac:dyDescent="0.2">
      <c r="A1604" s="3"/>
      <c r="B1604" s="3"/>
      <c r="C1604" s="3"/>
      <c r="D1604" s="3"/>
      <c r="E1604" s="3"/>
      <c r="F1604" s="2"/>
      <c r="G1604" s="2"/>
      <c r="I1604" s="1"/>
      <c r="J1604" s="1"/>
    </row>
    <row r="1605" spans="1:10" ht="12.75" x14ac:dyDescent="0.2">
      <c r="A1605" s="3"/>
      <c r="B1605" s="3"/>
      <c r="C1605" s="3"/>
      <c r="D1605" s="3"/>
      <c r="E1605" s="3"/>
      <c r="F1605" s="2"/>
      <c r="G1605" s="2"/>
      <c r="I1605" s="1"/>
      <c r="J1605" s="1"/>
    </row>
    <row r="1606" spans="1:10" ht="12.75" x14ac:dyDescent="0.2">
      <c r="A1606" s="3"/>
      <c r="B1606" s="3"/>
      <c r="C1606" s="3"/>
      <c r="D1606" s="3"/>
      <c r="E1606" s="3"/>
      <c r="F1606" s="2"/>
      <c r="G1606" s="2"/>
      <c r="I1606" s="1"/>
      <c r="J1606" s="1"/>
    </row>
    <row r="1607" spans="1:10" ht="12.75" x14ac:dyDescent="0.2">
      <c r="A1607" s="3"/>
      <c r="B1607" s="3"/>
      <c r="C1607" s="3"/>
      <c r="D1607" s="3"/>
      <c r="E1607" s="3"/>
      <c r="F1607" s="2"/>
      <c r="G1607" s="2"/>
      <c r="I1607" s="1"/>
      <c r="J1607" s="1"/>
    </row>
    <row r="1608" spans="1:10" ht="12.75" x14ac:dyDescent="0.2">
      <c r="A1608" s="3"/>
      <c r="B1608" s="3"/>
      <c r="C1608" s="3"/>
      <c r="D1608" s="3"/>
      <c r="E1608" s="3"/>
      <c r="F1608" s="2"/>
      <c r="G1608" s="2"/>
      <c r="I1608" s="1"/>
      <c r="J1608" s="1"/>
    </row>
    <row r="1609" spans="1:10" ht="12.75" x14ac:dyDescent="0.2">
      <c r="A1609" s="3"/>
      <c r="B1609" s="3"/>
      <c r="C1609" s="3"/>
      <c r="D1609" s="3"/>
      <c r="E1609" s="3"/>
      <c r="F1609" s="2"/>
      <c r="G1609" s="2"/>
      <c r="I1609" s="1"/>
      <c r="J1609" s="1"/>
    </row>
    <row r="1610" spans="1:10" ht="12.75" x14ac:dyDescent="0.2">
      <c r="A1610" s="3"/>
      <c r="B1610" s="3"/>
      <c r="C1610" s="3"/>
      <c r="D1610" s="3"/>
      <c r="E1610" s="3"/>
      <c r="F1610" s="2"/>
      <c r="G1610" s="2"/>
      <c r="I1610" s="1"/>
      <c r="J1610" s="1"/>
    </row>
    <row r="1611" spans="1:10" ht="12.75" x14ac:dyDescent="0.2">
      <c r="A1611" s="3"/>
      <c r="B1611" s="3"/>
      <c r="C1611" s="3"/>
      <c r="D1611" s="3"/>
      <c r="E1611" s="3"/>
      <c r="F1611" s="2"/>
      <c r="G1611" s="2"/>
      <c r="I1611" s="1"/>
      <c r="J1611" s="1"/>
    </row>
    <row r="1612" spans="1:10" ht="12.75" x14ac:dyDescent="0.2">
      <c r="A1612" s="3"/>
      <c r="B1612" s="3"/>
      <c r="C1612" s="3"/>
      <c r="D1612" s="3"/>
      <c r="E1612" s="3"/>
      <c r="F1612" s="2"/>
      <c r="G1612" s="2"/>
      <c r="I1612" s="1"/>
      <c r="J1612" s="1"/>
    </row>
    <row r="1613" spans="1:10" ht="12.75" x14ac:dyDescent="0.2">
      <c r="A1613" s="3"/>
      <c r="B1613" s="3"/>
      <c r="C1613" s="3"/>
      <c r="D1613" s="3"/>
      <c r="E1613" s="3"/>
      <c r="F1613" s="2"/>
      <c r="G1613" s="2"/>
      <c r="I1613" s="1"/>
      <c r="J1613" s="1"/>
    </row>
    <row r="1614" spans="1:10" ht="12.75" x14ac:dyDescent="0.2">
      <c r="A1614" s="3"/>
      <c r="B1614" s="3"/>
      <c r="C1614" s="3"/>
      <c r="D1614" s="3"/>
      <c r="E1614" s="3"/>
      <c r="F1614" s="2"/>
      <c r="G1614" s="2"/>
      <c r="I1614" s="1"/>
      <c r="J1614" s="1"/>
    </row>
    <row r="1615" spans="1:10" ht="12.75" x14ac:dyDescent="0.2">
      <c r="A1615" s="3"/>
      <c r="B1615" s="3"/>
      <c r="C1615" s="3"/>
      <c r="D1615" s="3"/>
      <c r="E1615" s="3"/>
      <c r="F1615" s="2"/>
      <c r="G1615" s="2"/>
      <c r="I1615" s="1"/>
      <c r="J1615" s="1"/>
    </row>
    <row r="1616" spans="1:10" ht="12.75" x14ac:dyDescent="0.2">
      <c r="A1616" s="3"/>
      <c r="B1616" s="3"/>
      <c r="C1616" s="3"/>
      <c r="D1616" s="3"/>
      <c r="E1616" s="3"/>
      <c r="F1616" s="2"/>
      <c r="G1616" s="2"/>
      <c r="I1616" s="1"/>
      <c r="J1616" s="1"/>
    </row>
    <row r="1617" spans="1:10" ht="12.75" x14ac:dyDescent="0.2">
      <c r="A1617" s="3"/>
      <c r="B1617" s="3"/>
      <c r="C1617" s="3"/>
      <c r="D1617" s="3"/>
      <c r="E1617" s="3"/>
      <c r="F1617" s="2"/>
      <c r="G1617" s="2"/>
      <c r="I1617" s="1"/>
      <c r="J1617" s="1"/>
    </row>
    <row r="1618" spans="1:10" ht="12.75" x14ac:dyDescent="0.2">
      <c r="A1618" s="3"/>
      <c r="B1618" s="3"/>
      <c r="C1618" s="3"/>
      <c r="D1618" s="3"/>
      <c r="E1618" s="3"/>
      <c r="F1618" s="2"/>
      <c r="G1618" s="2"/>
      <c r="I1618" s="1"/>
      <c r="J1618" s="1"/>
    </row>
    <row r="1619" spans="1:10" ht="12.75" x14ac:dyDescent="0.2">
      <c r="A1619" s="3"/>
      <c r="B1619" s="3"/>
      <c r="C1619" s="3"/>
      <c r="D1619" s="3"/>
      <c r="E1619" s="3"/>
      <c r="F1619" s="2"/>
      <c r="G1619" s="2"/>
      <c r="I1619" s="1"/>
      <c r="J1619" s="1"/>
    </row>
    <row r="1620" spans="1:10" ht="12.75" x14ac:dyDescent="0.2">
      <c r="A1620" s="3"/>
      <c r="B1620" s="3"/>
      <c r="C1620" s="3"/>
      <c r="D1620" s="3"/>
      <c r="E1620" s="3"/>
      <c r="F1620" s="2"/>
      <c r="G1620" s="2"/>
      <c r="I1620" s="1"/>
      <c r="J1620" s="1"/>
    </row>
    <row r="1621" spans="1:10" ht="12.75" x14ac:dyDescent="0.2">
      <c r="A1621" s="3"/>
      <c r="B1621" s="3"/>
      <c r="C1621" s="3"/>
      <c r="D1621" s="3"/>
      <c r="E1621" s="3"/>
      <c r="F1621" s="2"/>
      <c r="G1621" s="2"/>
      <c r="I1621" s="1"/>
      <c r="J1621" s="1"/>
    </row>
    <row r="1622" spans="1:10" ht="12.75" x14ac:dyDescent="0.2">
      <c r="A1622" s="3"/>
      <c r="B1622" s="3"/>
      <c r="C1622" s="3"/>
      <c r="D1622" s="3"/>
      <c r="E1622" s="3"/>
      <c r="F1622" s="2"/>
      <c r="G1622" s="2"/>
      <c r="I1622" s="1"/>
      <c r="J1622" s="1"/>
    </row>
    <row r="1623" spans="1:10" ht="12.75" x14ac:dyDescent="0.2">
      <c r="A1623" s="3"/>
      <c r="B1623" s="3"/>
      <c r="C1623" s="3"/>
      <c r="D1623" s="3"/>
      <c r="E1623" s="3"/>
      <c r="F1623" s="2"/>
      <c r="G1623" s="2"/>
      <c r="I1623" s="1"/>
      <c r="J1623" s="1"/>
    </row>
    <row r="1624" spans="1:10" ht="12.75" x14ac:dyDescent="0.2">
      <c r="A1624" s="3"/>
      <c r="B1624" s="3"/>
      <c r="C1624" s="3"/>
      <c r="D1624" s="3"/>
      <c r="E1624" s="3"/>
      <c r="F1624" s="2"/>
      <c r="G1624" s="2"/>
      <c r="I1624" s="1"/>
      <c r="J1624" s="1"/>
    </row>
    <row r="1625" spans="1:10" ht="12.75" x14ac:dyDescent="0.2">
      <c r="A1625" s="3"/>
      <c r="B1625" s="3"/>
      <c r="C1625" s="3"/>
      <c r="D1625" s="3"/>
      <c r="E1625" s="3"/>
      <c r="F1625" s="2"/>
      <c r="G1625" s="2"/>
      <c r="I1625" s="1"/>
      <c r="J1625" s="1"/>
    </row>
    <row r="1626" spans="1:10" ht="12.75" x14ac:dyDescent="0.2">
      <c r="A1626" s="3"/>
      <c r="B1626" s="3"/>
      <c r="C1626" s="3"/>
      <c r="D1626" s="3"/>
      <c r="E1626" s="3"/>
      <c r="F1626" s="2"/>
      <c r="G1626" s="2"/>
      <c r="I1626" s="1"/>
      <c r="J1626" s="1"/>
    </row>
    <row r="1627" spans="1:10" ht="12.75" x14ac:dyDescent="0.2">
      <c r="A1627" s="3"/>
      <c r="B1627" s="3"/>
      <c r="C1627" s="3"/>
      <c r="D1627" s="3"/>
      <c r="E1627" s="3"/>
      <c r="F1627" s="2"/>
      <c r="G1627" s="2"/>
      <c r="I1627" s="1"/>
      <c r="J1627" s="1"/>
    </row>
    <row r="1628" spans="1:10" ht="12.75" x14ac:dyDescent="0.2">
      <c r="A1628" s="3"/>
      <c r="B1628" s="3"/>
      <c r="C1628" s="3"/>
      <c r="D1628" s="3"/>
      <c r="E1628" s="3"/>
      <c r="F1628" s="2"/>
      <c r="G1628" s="2"/>
      <c r="I1628" s="1"/>
      <c r="J1628" s="1"/>
    </row>
    <row r="1629" spans="1:10" ht="12.75" x14ac:dyDescent="0.2">
      <c r="A1629" s="3"/>
      <c r="B1629" s="3"/>
      <c r="C1629" s="3"/>
      <c r="D1629" s="3"/>
      <c r="E1629" s="3"/>
      <c r="F1629" s="2"/>
      <c r="G1629" s="2"/>
      <c r="I1629" s="1"/>
      <c r="J1629" s="1"/>
    </row>
    <row r="1630" spans="1:10" ht="12.75" x14ac:dyDescent="0.2">
      <c r="A1630" s="3"/>
      <c r="B1630" s="3"/>
      <c r="C1630" s="3"/>
      <c r="D1630" s="3"/>
      <c r="E1630" s="3"/>
      <c r="F1630" s="2"/>
      <c r="G1630" s="2"/>
      <c r="I1630" s="1"/>
      <c r="J1630" s="1"/>
    </row>
    <row r="1631" spans="1:10" ht="12.75" x14ac:dyDescent="0.2">
      <c r="A1631" s="3"/>
      <c r="B1631" s="3"/>
      <c r="C1631" s="3"/>
      <c r="D1631" s="3"/>
      <c r="E1631" s="3"/>
      <c r="F1631" s="2"/>
      <c r="G1631" s="2"/>
      <c r="I1631" s="1"/>
      <c r="J1631" s="1"/>
    </row>
    <row r="1632" spans="1:10" ht="12.75" x14ac:dyDescent="0.2">
      <c r="A1632" s="3"/>
      <c r="B1632" s="3"/>
      <c r="C1632" s="3"/>
      <c r="D1632" s="3"/>
      <c r="E1632" s="3"/>
      <c r="F1632" s="2"/>
      <c r="G1632" s="2"/>
      <c r="I1632" s="1"/>
      <c r="J1632" s="1"/>
    </row>
    <row r="1633" spans="1:10" ht="12.75" x14ac:dyDescent="0.2">
      <c r="A1633" s="3"/>
      <c r="B1633" s="3"/>
      <c r="C1633" s="3"/>
      <c r="D1633" s="3"/>
      <c r="E1633" s="3"/>
      <c r="F1633" s="2"/>
      <c r="G1633" s="2"/>
      <c r="I1633" s="1"/>
      <c r="J1633" s="1"/>
    </row>
    <row r="1634" spans="1:10" ht="12.75" x14ac:dyDescent="0.2">
      <c r="A1634" s="3"/>
      <c r="B1634" s="3"/>
      <c r="C1634" s="3"/>
      <c r="D1634" s="3"/>
      <c r="E1634" s="3"/>
      <c r="F1634" s="2"/>
      <c r="G1634" s="2"/>
      <c r="I1634" s="1"/>
      <c r="J1634" s="1"/>
    </row>
    <row r="1635" spans="1:10" ht="12.75" x14ac:dyDescent="0.2">
      <c r="A1635" s="3"/>
      <c r="B1635" s="3"/>
      <c r="C1635" s="3"/>
      <c r="D1635" s="3"/>
      <c r="E1635" s="3"/>
      <c r="F1635" s="2"/>
      <c r="G1635" s="2"/>
      <c r="I1635" s="1"/>
      <c r="J1635" s="1"/>
    </row>
    <row r="1636" spans="1:10" ht="12.75" x14ac:dyDescent="0.2">
      <c r="A1636" s="3"/>
      <c r="B1636" s="3"/>
      <c r="C1636" s="3"/>
      <c r="D1636" s="3"/>
      <c r="E1636" s="3"/>
      <c r="F1636" s="2"/>
      <c r="G1636" s="2"/>
      <c r="I1636" s="1"/>
      <c r="J1636" s="1"/>
    </row>
    <row r="1637" spans="1:10" ht="12.75" x14ac:dyDescent="0.2">
      <c r="A1637" s="3"/>
      <c r="B1637" s="3"/>
      <c r="C1637" s="3"/>
      <c r="D1637" s="3"/>
      <c r="E1637" s="3"/>
      <c r="F1637" s="2"/>
      <c r="G1637" s="2"/>
      <c r="I1637" s="1"/>
      <c r="J1637" s="1"/>
    </row>
    <row r="1638" spans="1:10" ht="12.75" x14ac:dyDescent="0.2">
      <c r="A1638" s="3"/>
      <c r="B1638" s="3"/>
      <c r="C1638" s="3"/>
      <c r="D1638" s="3"/>
      <c r="E1638" s="3"/>
      <c r="F1638" s="2"/>
      <c r="G1638" s="2"/>
      <c r="I1638" s="1"/>
      <c r="J1638" s="1"/>
    </row>
    <row r="1639" spans="1:10" ht="12.75" x14ac:dyDescent="0.2">
      <c r="A1639" s="3"/>
      <c r="B1639" s="3"/>
      <c r="C1639" s="3"/>
      <c r="D1639" s="3"/>
      <c r="E1639" s="3"/>
      <c r="F1639" s="2"/>
      <c r="G1639" s="2"/>
      <c r="I1639" s="1"/>
      <c r="J1639" s="1"/>
    </row>
    <row r="1640" spans="1:10" ht="12.75" x14ac:dyDescent="0.2">
      <c r="A1640" s="3"/>
      <c r="B1640" s="3"/>
      <c r="C1640" s="3"/>
      <c r="D1640" s="3"/>
      <c r="E1640" s="3"/>
      <c r="F1640" s="2"/>
      <c r="G1640" s="2"/>
      <c r="I1640" s="1"/>
      <c r="J1640" s="1"/>
    </row>
    <row r="1641" spans="1:10" ht="12.75" x14ac:dyDescent="0.2">
      <c r="A1641" s="3"/>
      <c r="B1641" s="3"/>
      <c r="C1641" s="3"/>
      <c r="D1641" s="3"/>
      <c r="E1641" s="3"/>
      <c r="F1641" s="2"/>
      <c r="G1641" s="2"/>
      <c r="I1641" s="1"/>
      <c r="J1641" s="1"/>
    </row>
    <row r="1642" spans="1:10" ht="12.75" x14ac:dyDescent="0.2">
      <c r="A1642" s="3"/>
      <c r="B1642" s="3"/>
      <c r="C1642" s="3"/>
      <c r="D1642" s="3"/>
      <c r="E1642" s="3"/>
      <c r="F1642" s="2"/>
      <c r="G1642" s="2"/>
      <c r="I1642" s="1"/>
      <c r="J1642" s="1"/>
    </row>
    <row r="1643" spans="1:10" ht="12.75" x14ac:dyDescent="0.2">
      <c r="A1643" s="3"/>
      <c r="B1643" s="3"/>
      <c r="C1643" s="3"/>
      <c r="D1643" s="3"/>
      <c r="E1643" s="3"/>
      <c r="F1643" s="2"/>
      <c r="G1643" s="2"/>
      <c r="I1643" s="1"/>
      <c r="J1643" s="1"/>
    </row>
    <row r="1644" spans="1:10" ht="12.75" x14ac:dyDescent="0.2">
      <c r="A1644" s="3"/>
      <c r="B1644" s="3"/>
      <c r="C1644" s="3"/>
      <c r="D1644" s="3"/>
      <c r="E1644" s="3"/>
      <c r="F1644" s="2"/>
      <c r="G1644" s="2"/>
      <c r="I1644" s="1"/>
      <c r="J1644" s="1"/>
    </row>
    <row r="1645" spans="1:10" ht="12.75" x14ac:dyDescent="0.2">
      <c r="A1645" s="3"/>
      <c r="B1645" s="3"/>
      <c r="C1645" s="3"/>
      <c r="D1645" s="3"/>
      <c r="E1645" s="3"/>
      <c r="F1645" s="2"/>
      <c r="G1645" s="2"/>
      <c r="I1645" s="1"/>
      <c r="J1645" s="1"/>
    </row>
    <row r="1646" spans="1:10" ht="12.75" x14ac:dyDescent="0.2">
      <c r="A1646" s="3"/>
      <c r="B1646" s="3"/>
      <c r="C1646" s="3"/>
      <c r="D1646" s="3"/>
      <c r="E1646" s="3"/>
      <c r="F1646" s="2"/>
      <c r="G1646" s="2"/>
      <c r="I1646" s="1"/>
      <c r="J1646" s="1"/>
    </row>
    <row r="1647" spans="1:10" ht="12.75" x14ac:dyDescent="0.2">
      <c r="A1647" s="3"/>
      <c r="B1647" s="3"/>
      <c r="C1647" s="3"/>
      <c r="D1647" s="3"/>
      <c r="E1647" s="3"/>
      <c r="F1647" s="2"/>
      <c r="G1647" s="2"/>
      <c r="I1647" s="1"/>
      <c r="J1647" s="1"/>
    </row>
    <row r="1648" spans="1:10" ht="12.75" x14ac:dyDescent="0.2">
      <c r="A1648" s="3"/>
      <c r="B1648" s="3"/>
      <c r="C1648" s="3"/>
      <c r="D1648" s="3"/>
      <c r="E1648" s="3"/>
      <c r="F1648" s="2"/>
      <c r="G1648" s="2"/>
      <c r="I1648" s="1"/>
      <c r="J1648" s="1"/>
    </row>
    <row r="1649" spans="1:10" ht="12.75" x14ac:dyDescent="0.2">
      <c r="A1649" s="3"/>
      <c r="B1649" s="3"/>
      <c r="C1649" s="3"/>
      <c r="D1649" s="3"/>
      <c r="E1649" s="3"/>
      <c r="F1649" s="2"/>
      <c r="G1649" s="2"/>
      <c r="I1649" s="1"/>
      <c r="J1649" s="1"/>
    </row>
    <row r="1650" spans="1:10" ht="12.75" x14ac:dyDescent="0.2">
      <c r="A1650" s="3"/>
      <c r="B1650" s="3"/>
      <c r="C1650" s="3"/>
      <c r="D1650" s="3"/>
      <c r="E1650" s="3"/>
      <c r="F1650" s="2"/>
      <c r="G1650" s="2"/>
      <c r="I1650" s="1"/>
      <c r="J1650" s="1"/>
    </row>
    <row r="1651" spans="1:10" ht="12.75" x14ac:dyDescent="0.2">
      <c r="A1651" s="3"/>
      <c r="B1651" s="3"/>
      <c r="C1651" s="3"/>
      <c r="D1651" s="3"/>
      <c r="E1651" s="3"/>
      <c r="F1651" s="2"/>
      <c r="G1651" s="2"/>
      <c r="I1651" s="1"/>
      <c r="J1651" s="1"/>
    </row>
    <row r="1652" spans="1:10" ht="12.75" x14ac:dyDescent="0.2">
      <c r="A1652" s="3"/>
      <c r="B1652" s="3"/>
      <c r="C1652" s="3"/>
      <c r="D1652" s="3"/>
      <c r="E1652" s="3"/>
      <c r="F1652" s="2"/>
      <c r="G1652" s="2"/>
      <c r="I1652" s="1"/>
      <c r="J1652" s="1"/>
    </row>
    <row r="1653" spans="1:10" ht="12.75" x14ac:dyDescent="0.2">
      <c r="A1653" s="3"/>
      <c r="B1653" s="3"/>
      <c r="C1653" s="3"/>
      <c r="D1653" s="3"/>
      <c r="E1653" s="3"/>
      <c r="F1653" s="2"/>
      <c r="G1653" s="2"/>
      <c r="I1653" s="1"/>
      <c r="J1653" s="1"/>
    </row>
    <row r="1654" spans="1:10" ht="12.75" x14ac:dyDescent="0.2">
      <c r="A1654" s="3"/>
      <c r="B1654" s="3"/>
      <c r="C1654" s="3"/>
      <c r="D1654" s="3"/>
      <c r="E1654" s="3"/>
      <c r="F1654" s="2"/>
      <c r="G1654" s="2"/>
      <c r="I1654" s="1"/>
      <c r="J1654" s="1"/>
    </row>
    <row r="1655" spans="1:10" ht="12.75" x14ac:dyDescent="0.2">
      <c r="A1655" s="3"/>
      <c r="B1655" s="3"/>
      <c r="C1655" s="3"/>
      <c r="D1655" s="3"/>
      <c r="E1655" s="3"/>
      <c r="F1655" s="2"/>
      <c r="G1655" s="2"/>
      <c r="I1655" s="1"/>
      <c r="J1655" s="1"/>
    </row>
    <row r="1656" spans="1:10" ht="12.75" x14ac:dyDescent="0.2">
      <c r="A1656" s="3"/>
      <c r="B1656" s="3"/>
      <c r="C1656" s="3"/>
      <c r="D1656" s="3"/>
      <c r="E1656" s="3"/>
      <c r="F1656" s="2"/>
      <c r="G1656" s="2"/>
      <c r="I1656" s="1"/>
      <c r="J1656" s="1"/>
    </row>
    <row r="1657" spans="1:10" ht="12.75" x14ac:dyDescent="0.2">
      <c r="A1657" s="3"/>
      <c r="B1657" s="3"/>
      <c r="C1657" s="3"/>
      <c r="D1657" s="3"/>
      <c r="E1657" s="3"/>
      <c r="F1657" s="2"/>
      <c r="G1657" s="2"/>
      <c r="I1657" s="1"/>
      <c r="J1657" s="1"/>
    </row>
    <row r="1658" spans="1:10" ht="12.75" x14ac:dyDescent="0.2">
      <c r="A1658" s="3"/>
      <c r="B1658" s="3"/>
      <c r="C1658" s="3"/>
      <c r="D1658" s="3"/>
      <c r="E1658" s="3"/>
      <c r="F1658" s="2"/>
      <c r="G1658" s="2"/>
      <c r="I1658" s="1"/>
      <c r="J1658" s="1"/>
    </row>
    <row r="1659" spans="1:10" ht="12.75" x14ac:dyDescent="0.2">
      <c r="A1659" s="3"/>
      <c r="B1659" s="3"/>
      <c r="C1659" s="3"/>
      <c r="D1659" s="3"/>
      <c r="E1659" s="3"/>
      <c r="F1659" s="2"/>
      <c r="G1659" s="2"/>
      <c r="I1659" s="1"/>
      <c r="J1659" s="1"/>
    </row>
    <row r="1660" spans="1:10" ht="12.75" x14ac:dyDescent="0.2">
      <c r="A1660" s="3"/>
      <c r="B1660" s="3"/>
      <c r="C1660" s="3"/>
      <c r="D1660" s="3"/>
      <c r="E1660" s="3"/>
      <c r="F1660" s="2"/>
      <c r="G1660" s="2"/>
      <c r="I1660" s="1"/>
      <c r="J1660" s="1"/>
    </row>
    <row r="1661" spans="1:10" ht="12.75" x14ac:dyDescent="0.2">
      <c r="A1661" s="3"/>
      <c r="B1661" s="3"/>
      <c r="C1661" s="3"/>
      <c r="D1661" s="3"/>
      <c r="E1661" s="3"/>
      <c r="F1661" s="2"/>
      <c r="G1661" s="2"/>
      <c r="I1661" s="1"/>
      <c r="J1661" s="1"/>
    </row>
    <row r="1662" spans="1:10" ht="12.75" x14ac:dyDescent="0.2">
      <c r="A1662" s="3"/>
      <c r="B1662" s="3"/>
      <c r="C1662" s="3"/>
      <c r="D1662" s="3"/>
      <c r="E1662" s="3"/>
      <c r="F1662" s="2"/>
      <c r="G1662" s="2"/>
      <c r="I1662" s="1"/>
      <c r="J1662" s="1"/>
    </row>
    <row r="1663" spans="1:10" ht="12.75" x14ac:dyDescent="0.2">
      <c r="A1663" s="3"/>
      <c r="B1663" s="3"/>
      <c r="C1663" s="3"/>
      <c r="D1663" s="3"/>
      <c r="E1663" s="3"/>
      <c r="F1663" s="2"/>
      <c r="G1663" s="2"/>
      <c r="I1663" s="1"/>
      <c r="J1663" s="1"/>
    </row>
    <row r="1664" spans="1:10" ht="12.75" x14ac:dyDescent="0.2">
      <c r="A1664" s="3"/>
      <c r="B1664" s="3"/>
      <c r="C1664" s="3"/>
      <c r="D1664" s="3"/>
      <c r="E1664" s="3"/>
      <c r="F1664" s="2"/>
      <c r="G1664" s="2"/>
      <c r="I1664" s="1"/>
      <c r="J1664" s="1"/>
    </row>
    <row r="1665" spans="1:10" ht="12.75" x14ac:dyDescent="0.2">
      <c r="A1665" s="3"/>
      <c r="B1665" s="3"/>
      <c r="C1665" s="3"/>
      <c r="D1665" s="3"/>
      <c r="E1665" s="3"/>
      <c r="F1665" s="2"/>
      <c r="G1665" s="2"/>
      <c r="I1665" s="1"/>
      <c r="J1665" s="1"/>
    </row>
    <row r="1666" spans="1:10" ht="12.75" x14ac:dyDescent="0.2">
      <c r="A1666" s="3"/>
      <c r="B1666" s="3"/>
      <c r="C1666" s="3"/>
      <c r="D1666" s="3"/>
      <c r="E1666" s="3"/>
      <c r="F1666" s="2"/>
      <c r="G1666" s="2"/>
      <c r="I1666" s="1"/>
      <c r="J1666" s="1"/>
    </row>
    <row r="1667" spans="1:10" ht="12.75" x14ac:dyDescent="0.2">
      <c r="A1667" s="3"/>
      <c r="B1667" s="3"/>
      <c r="C1667" s="3"/>
      <c r="D1667" s="3"/>
      <c r="E1667" s="3"/>
      <c r="F1667" s="2"/>
      <c r="G1667" s="2"/>
      <c r="I1667" s="1"/>
      <c r="J1667" s="1"/>
    </row>
    <row r="1668" spans="1:10" ht="12.75" x14ac:dyDescent="0.2">
      <c r="A1668" s="3"/>
      <c r="B1668" s="3"/>
      <c r="C1668" s="3"/>
      <c r="D1668" s="3"/>
      <c r="E1668" s="3"/>
      <c r="F1668" s="2"/>
      <c r="G1668" s="2"/>
      <c r="I1668" s="1"/>
      <c r="J1668" s="1"/>
    </row>
    <row r="1669" spans="1:10" ht="12.75" x14ac:dyDescent="0.2">
      <c r="A1669" s="3"/>
      <c r="B1669" s="3"/>
      <c r="C1669" s="3"/>
      <c r="D1669" s="3"/>
      <c r="E1669" s="3"/>
      <c r="F1669" s="2"/>
      <c r="G1669" s="2"/>
      <c r="I1669" s="1"/>
      <c r="J1669" s="1"/>
    </row>
    <row r="1670" spans="1:10" ht="12.75" x14ac:dyDescent="0.2">
      <c r="A1670" s="3"/>
      <c r="B1670" s="3"/>
      <c r="C1670" s="3"/>
      <c r="D1670" s="3"/>
      <c r="E1670" s="3"/>
      <c r="F1670" s="2"/>
      <c r="G1670" s="2"/>
      <c r="I1670" s="1"/>
      <c r="J1670" s="1"/>
    </row>
    <row r="1671" spans="1:10" ht="12.75" x14ac:dyDescent="0.2">
      <c r="A1671" s="3"/>
      <c r="B1671" s="3"/>
      <c r="C1671" s="3"/>
      <c r="D1671" s="3"/>
      <c r="E1671" s="3"/>
      <c r="F1671" s="2"/>
      <c r="G1671" s="2"/>
      <c r="I1671" s="1"/>
      <c r="J1671" s="1"/>
    </row>
    <row r="1672" spans="1:10" ht="12.75" x14ac:dyDescent="0.2">
      <c r="A1672" s="3"/>
      <c r="B1672" s="3"/>
      <c r="C1672" s="3"/>
      <c r="D1672" s="3"/>
      <c r="E1672" s="3"/>
      <c r="F1672" s="2"/>
      <c r="G1672" s="2"/>
      <c r="I1672" s="1"/>
      <c r="J1672" s="1"/>
    </row>
    <row r="1673" spans="1:10" ht="12.75" x14ac:dyDescent="0.2">
      <c r="A1673" s="3"/>
      <c r="B1673" s="3"/>
      <c r="C1673" s="3"/>
      <c r="D1673" s="3"/>
      <c r="E1673" s="3"/>
      <c r="F1673" s="2"/>
      <c r="G1673" s="2"/>
      <c r="I1673" s="1"/>
      <c r="J1673" s="1"/>
    </row>
    <row r="1674" spans="1:10" ht="12.75" x14ac:dyDescent="0.2">
      <c r="A1674" s="3"/>
      <c r="B1674" s="3"/>
      <c r="C1674" s="3"/>
      <c r="D1674" s="3"/>
      <c r="E1674" s="3"/>
      <c r="F1674" s="2"/>
      <c r="G1674" s="2"/>
      <c r="I1674" s="1"/>
      <c r="J1674" s="1"/>
    </row>
    <row r="1675" spans="1:10" ht="12.75" x14ac:dyDescent="0.2">
      <c r="A1675" s="3"/>
      <c r="B1675" s="3"/>
      <c r="C1675" s="3"/>
      <c r="D1675" s="3"/>
      <c r="E1675" s="3"/>
      <c r="F1675" s="2"/>
      <c r="G1675" s="2"/>
      <c r="I1675" s="1"/>
      <c r="J1675" s="1"/>
    </row>
    <row r="1676" spans="1:10" ht="12.75" x14ac:dyDescent="0.2">
      <c r="A1676" s="3"/>
      <c r="B1676" s="3"/>
      <c r="C1676" s="3"/>
      <c r="D1676" s="3"/>
      <c r="E1676" s="3"/>
      <c r="F1676" s="2"/>
      <c r="G1676" s="2"/>
      <c r="I1676" s="1"/>
      <c r="J1676" s="1"/>
    </row>
    <row r="1677" spans="1:10" ht="12.75" x14ac:dyDescent="0.2">
      <c r="A1677" s="3"/>
      <c r="B1677" s="3"/>
      <c r="C1677" s="3"/>
      <c r="D1677" s="3"/>
      <c r="E1677" s="3"/>
      <c r="F1677" s="2"/>
      <c r="G1677" s="2"/>
      <c r="I1677" s="1"/>
      <c r="J1677" s="1"/>
    </row>
    <row r="1678" spans="1:10" ht="12.75" x14ac:dyDescent="0.2">
      <c r="A1678" s="3"/>
      <c r="B1678" s="3"/>
      <c r="C1678" s="3"/>
      <c r="D1678" s="3"/>
      <c r="E1678" s="3"/>
      <c r="F1678" s="2"/>
      <c r="G1678" s="2"/>
      <c r="I1678" s="1"/>
      <c r="J1678" s="1"/>
    </row>
    <row r="1679" spans="1:10" ht="12.75" x14ac:dyDescent="0.2">
      <c r="A1679" s="3"/>
      <c r="B1679" s="3"/>
      <c r="C1679" s="3"/>
      <c r="D1679" s="3"/>
      <c r="E1679" s="3"/>
      <c r="F1679" s="2"/>
      <c r="G1679" s="2"/>
      <c r="I1679" s="1"/>
      <c r="J1679" s="1"/>
    </row>
    <row r="1680" spans="1:10" ht="12.75" x14ac:dyDescent="0.2">
      <c r="A1680" s="3"/>
      <c r="B1680" s="3"/>
      <c r="C1680" s="3"/>
      <c r="D1680" s="3"/>
      <c r="E1680" s="3"/>
      <c r="F1680" s="2"/>
      <c r="G1680" s="2"/>
      <c r="I1680" s="1"/>
      <c r="J1680" s="1"/>
    </row>
    <row r="1681" spans="1:10" ht="12.75" x14ac:dyDescent="0.2">
      <c r="A1681" s="3"/>
      <c r="B1681" s="3"/>
      <c r="C1681" s="3"/>
      <c r="D1681" s="3"/>
      <c r="E1681" s="3"/>
      <c r="F1681" s="2"/>
      <c r="G1681" s="2"/>
      <c r="I1681" s="1"/>
      <c r="J1681" s="1"/>
    </row>
    <row r="1682" spans="1:10" ht="12.75" x14ac:dyDescent="0.2">
      <c r="A1682" s="3"/>
      <c r="B1682" s="3"/>
      <c r="C1682" s="3"/>
      <c r="D1682" s="3"/>
      <c r="E1682" s="3"/>
      <c r="F1682" s="2"/>
      <c r="G1682" s="2"/>
      <c r="I1682" s="1"/>
      <c r="J1682" s="1"/>
    </row>
    <row r="1683" spans="1:10" ht="12.75" x14ac:dyDescent="0.2">
      <c r="A1683" s="3"/>
      <c r="B1683" s="3"/>
      <c r="C1683" s="3"/>
      <c r="D1683" s="3"/>
      <c r="E1683" s="3"/>
      <c r="F1683" s="2"/>
      <c r="G1683" s="2"/>
      <c r="I1683" s="1"/>
      <c r="J1683" s="1"/>
    </row>
    <row r="1684" spans="1:10" ht="12.75" x14ac:dyDescent="0.2">
      <c r="A1684" s="3"/>
      <c r="B1684" s="3"/>
      <c r="C1684" s="3"/>
      <c r="D1684" s="3"/>
      <c r="E1684" s="3"/>
      <c r="F1684" s="2"/>
      <c r="G1684" s="2"/>
      <c r="I1684" s="1"/>
      <c r="J1684" s="1"/>
    </row>
    <row r="1685" spans="1:10" ht="12.75" x14ac:dyDescent="0.2">
      <c r="A1685" s="3"/>
      <c r="B1685" s="3"/>
      <c r="C1685" s="3"/>
      <c r="D1685" s="3"/>
      <c r="E1685" s="3"/>
      <c r="F1685" s="2"/>
      <c r="G1685" s="2"/>
      <c r="I1685" s="1"/>
      <c r="J1685" s="1"/>
    </row>
    <row r="1686" spans="1:10" ht="12.75" x14ac:dyDescent="0.2">
      <c r="A1686" s="3"/>
      <c r="B1686" s="3"/>
      <c r="C1686" s="3"/>
      <c r="D1686" s="3"/>
      <c r="E1686" s="3"/>
      <c r="F1686" s="2"/>
      <c r="G1686" s="2"/>
      <c r="I1686" s="1"/>
      <c r="J1686" s="1"/>
    </row>
    <row r="1687" spans="1:10" ht="12.75" x14ac:dyDescent="0.2">
      <c r="A1687" s="3"/>
      <c r="B1687" s="3"/>
      <c r="C1687" s="3"/>
      <c r="D1687" s="3"/>
      <c r="E1687" s="3"/>
      <c r="F1687" s="2"/>
      <c r="G1687" s="2"/>
      <c r="I1687" s="1"/>
      <c r="J1687" s="1"/>
    </row>
    <row r="1688" spans="1:10" ht="12.75" x14ac:dyDescent="0.2">
      <c r="A1688" s="3"/>
      <c r="B1688" s="3"/>
      <c r="C1688" s="3"/>
      <c r="D1688" s="3"/>
      <c r="E1688" s="3"/>
      <c r="F1688" s="2"/>
      <c r="G1688" s="2"/>
      <c r="I1688" s="1"/>
      <c r="J1688" s="1"/>
    </row>
    <row r="1689" spans="1:10" ht="12.75" x14ac:dyDescent="0.2">
      <c r="A1689" s="3"/>
      <c r="B1689" s="3"/>
      <c r="C1689" s="3"/>
      <c r="D1689" s="3"/>
      <c r="E1689" s="3"/>
      <c r="F1689" s="2"/>
      <c r="G1689" s="2"/>
      <c r="I1689" s="1"/>
      <c r="J1689" s="1"/>
    </row>
    <row r="1690" spans="1:10" ht="12.75" x14ac:dyDescent="0.2">
      <c r="A1690" s="3"/>
      <c r="B1690" s="3"/>
      <c r="C1690" s="3"/>
      <c r="D1690" s="3"/>
      <c r="E1690" s="3"/>
      <c r="F1690" s="2"/>
      <c r="G1690" s="2"/>
      <c r="I1690" s="1"/>
      <c r="J1690" s="1"/>
    </row>
    <row r="1691" spans="1:10" ht="12.75" x14ac:dyDescent="0.2">
      <c r="A1691" s="3"/>
      <c r="B1691" s="3"/>
      <c r="C1691" s="3"/>
      <c r="D1691" s="3"/>
      <c r="E1691" s="3"/>
      <c r="F1691" s="2"/>
      <c r="G1691" s="2"/>
      <c r="I1691" s="1"/>
      <c r="J1691" s="1"/>
    </row>
    <row r="1692" spans="1:10" ht="12.75" x14ac:dyDescent="0.2">
      <c r="A1692" s="3"/>
      <c r="B1692" s="3"/>
      <c r="C1692" s="3"/>
      <c r="D1692" s="3"/>
      <c r="E1692" s="3"/>
      <c r="F1692" s="2"/>
      <c r="G1692" s="2"/>
      <c r="I1692" s="1"/>
      <c r="J1692" s="1"/>
    </row>
    <row r="1693" spans="1:10" ht="12.75" x14ac:dyDescent="0.2">
      <c r="A1693" s="3"/>
      <c r="B1693" s="3"/>
      <c r="C1693" s="3"/>
      <c r="D1693" s="3"/>
      <c r="E1693" s="3"/>
      <c r="F1693" s="2"/>
      <c r="G1693" s="2"/>
      <c r="I1693" s="1"/>
      <c r="J1693" s="1"/>
    </row>
    <row r="1694" spans="1:10" ht="12.75" x14ac:dyDescent="0.2">
      <c r="A1694" s="3"/>
      <c r="B1694" s="3"/>
      <c r="C1694" s="3"/>
      <c r="D1694" s="3"/>
      <c r="E1694" s="3"/>
      <c r="F1694" s="2"/>
      <c r="G1694" s="2"/>
      <c r="I1694" s="1"/>
      <c r="J1694" s="1"/>
    </row>
    <row r="1695" spans="1:10" ht="12.75" x14ac:dyDescent="0.2">
      <c r="A1695" s="3"/>
      <c r="B1695" s="3"/>
      <c r="C1695" s="3"/>
      <c r="D1695" s="3"/>
      <c r="E1695" s="3"/>
      <c r="F1695" s="2"/>
      <c r="G1695" s="2"/>
      <c r="I1695" s="1"/>
      <c r="J1695" s="1"/>
    </row>
    <row r="1696" spans="1:10" ht="12.75" x14ac:dyDescent="0.2">
      <c r="A1696" s="3"/>
      <c r="B1696" s="3"/>
      <c r="C1696" s="3"/>
      <c r="D1696" s="3"/>
      <c r="E1696" s="3"/>
      <c r="F1696" s="2"/>
      <c r="G1696" s="2"/>
      <c r="I1696" s="1"/>
      <c r="J1696" s="1"/>
    </row>
    <row r="1697" spans="1:10" ht="12.75" x14ac:dyDescent="0.2">
      <c r="A1697" s="3"/>
      <c r="B1697" s="3"/>
      <c r="C1697" s="3"/>
      <c r="D1697" s="3"/>
      <c r="E1697" s="3"/>
      <c r="F1697" s="2"/>
      <c r="G1697" s="2"/>
      <c r="I1697" s="1"/>
      <c r="J1697" s="1"/>
    </row>
    <row r="1698" spans="1:10" ht="12.75" x14ac:dyDescent="0.2">
      <c r="A1698" s="3"/>
      <c r="B1698" s="3"/>
      <c r="C1698" s="3"/>
      <c r="D1698" s="3"/>
      <c r="E1698" s="3"/>
      <c r="F1698" s="2"/>
      <c r="G1698" s="2"/>
      <c r="I1698" s="1"/>
      <c r="J1698" s="1"/>
    </row>
    <row r="1699" spans="1:10" ht="12.75" x14ac:dyDescent="0.2">
      <c r="A1699" s="3"/>
      <c r="B1699" s="3"/>
      <c r="C1699" s="3"/>
      <c r="D1699" s="3"/>
      <c r="E1699" s="3"/>
      <c r="F1699" s="2"/>
      <c r="G1699" s="2"/>
      <c r="I1699" s="1"/>
      <c r="J1699" s="1"/>
    </row>
    <row r="1700" spans="1:10" ht="12.75" x14ac:dyDescent="0.2">
      <c r="A1700" s="3"/>
      <c r="B1700" s="3"/>
      <c r="C1700" s="3"/>
      <c r="D1700" s="3"/>
      <c r="E1700" s="3"/>
      <c r="F1700" s="2"/>
      <c r="G1700" s="2"/>
      <c r="I1700" s="1"/>
      <c r="J1700" s="1"/>
    </row>
    <row r="1701" spans="1:10" ht="12.75" x14ac:dyDescent="0.2">
      <c r="A1701" s="3"/>
      <c r="B1701" s="3"/>
      <c r="C1701" s="3"/>
      <c r="D1701" s="3"/>
      <c r="E1701" s="3"/>
      <c r="F1701" s="2"/>
      <c r="G1701" s="2"/>
      <c r="I1701" s="1"/>
      <c r="J1701" s="1"/>
    </row>
    <row r="1702" spans="1:10" ht="12.75" x14ac:dyDescent="0.2">
      <c r="A1702" s="3"/>
      <c r="B1702" s="3"/>
      <c r="C1702" s="3"/>
      <c r="D1702" s="3"/>
      <c r="E1702" s="3"/>
      <c r="F1702" s="2"/>
      <c r="G1702" s="2"/>
      <c r="I1702" s="1"/>
      <c r="J1702" s="1"/>
    </row>
    <row r="1703" spans="1:10" ht="12.75" x14ac:dyDescent="0.2">
      <c r="A1703" s="3"/>
      <c r="B1703" s="3"/>
      <c r="C1703" s="3"/>
      <c r="D1703" s="3"/>
      <c r="E1703" s="3"/>
      <c r="F1703" s="2"/>
      <c r="G1703" s="2"/>
      <c r="I1703" s="1"/>
      <c r="J1703" s="1"/>
    </row>
    <row r="1704" spans="1:10" ht="12.75" x14ac:dyDescent="0.2">
      <c r="A1704" s="3"/>
      <c r="B1704" s="3"/>
      <c r="C1704" s="3"/>
      <c r="D1704" s="3"/>
      <c r="E1704" s="3"/>
      <c r="F1704" s="2"/>
      <c r="G1704" s="2"/>
      <c r="I1704" s="1"/>
      <c r="J1704" s="1"/>
    </row>
    <row r="1705" spans="1:10" ht="12.75" x14ac:dyDescent="0.2">
      <c r="A1705" s="3"/>
      <c r="B1705" s="3"/>
      <c r="C1705" s="3"/>
      <c r="D1705" s="3"/>
      <c r="E1705" s="3"/>
      <c r="F1705" s="2"/>
      <c r="G1705" s="2"/>
      <c r="I1705" s="1"/>
      <c r="J1705" s="1"/>
    </row>
    <row r="1706" spans="1:10" ht="12.75" x14ac:dyDescent="0.2">
      <c r="A1706" s="3"/>
      <c r="B1706" s="3"/>
      <c r="C1706" s="3"/>
      <c r="D1706" s="3"/>
      <c r="E1706" s="3"/>
      <c r="F1706" s="2"/>
      <c r="G1706" s="2"/>
      <c r="I1706" s="1"/>
      <c r="J1706" s="1"/>
    </row>
    <row r="1707" spans="1:10" ht="12.75" x14ac:dyDescent="0.2">
      <c r="A1707" s="3"/>
      <c r="B1707" s="3"/>
      <c r="C1707" s="3"/>
      <c r="D1707" s="3"/>
      <c r="E1707" s="3"/>
      <c r="F1707" s="2"/>
      <c r="G1707" s="2"/>
      <c r="I1707" s="1"/>
      <c r="J1707" s="1"/>
    </row>
    <row r="1708" spans="1:10" ht="12.75" x14ac:dyDescent="0.2">
      <c r="A1708" s="3"/>
      <c r="B1708" s="3"/>
      <c r="C1708" s="3"/>
      <c r="D1708" s="3"/>
      <c r="E1708" s="3"/>
      <c r="F1708" s="2"/>
      <c r="G1708" s="2"/>
      <c r="I1708" s="1"/>
      <c r="J1708" s="1"/>
    </row>
    <row r="1709" spans="1:10" ht="12.75" x14ac:dyDescent="0.2">
      <c r="A1709" s="3"/>
      <c r="B1709" s="3"/>
      <c r="C1709" s="3"/>
      <c r="D1709" s="3"/>
      <c r="E1709" s="3"/>
      <c r="F1709" s="2"/>
      <c r="G1709" s="2"/>
      <c r="I1709" s="1"/>
      <c r="J1709" s="1"/>
    </row>
    <row r="1710" spans="1:10" ht="12.75" x14ac:dyDescent="0.2">
      <c r="A1710" s="3"/>
      <c r="B1710" s="3"/>
      <c r="C1710" s="3"/>
      <c r="D1710" s="3"/>
      <c r="E1710" s="3"/>
      <c r="F1710" s="2"/>
      <c r="G1710" s="2"/>
      <c r="I1710" s="1"/>
      <c r="J1710" s="1"/>
    </row>
    <row r="1711" spans="1:10" ht="12.75" x14ac:dyDescent="0.2">
      <c r="A1711" s="3"/>
      <c r="B1711" s="3"/>
      <c r="C1711" s="3"/>
      <c r="D1711" s="3"/>
      <c r="E1711" s="3"/>
      <c r="F1711" s="2"/>
      <c r="G1711" s="2"/>
      <c r="I1711" s="1"/>
      <c r="J1711" s="1"/>
    </row>
    <row r="1712" spans="1:10" ht="12.75" x14ac:dyDescent="0.2">
      <c r="A1712" s="3"/>
      <c r="B1712" s="3"/>
      <c r="C1712" s="3"/>
      <c r="D1712" s="3"/>
      <c r="E1712" s="3"/>
      <c r="F1712" s="2"/>
      <c r="G1712" s="2"/>
      <c r="I1712" s="1"/>
      <c r="J1712" s="1"/>
    </row>
    <row r="1713" spans="1:10" ht="12.75" x14ac:dyDescent="0.2">
      <c r="A1713" s="3"/>
      <c r="B1713" s="3"/>
      <c r="C1713" s="3"/>
      <c r="D1713" s="3"/>
      <c r="E1713" s="3"/>
      <c r="F1713" s="2"/>
      <c r="G1713" s="2"/>
      <c r="I1713" s="1"/>
      <c r="J1713" s="1"/>
    </row>
    <row r="1714" spans="1:10" ht="12.75" x14ac:dyDescent="0.2">
      <c r="A1714" s="3"/>
      <c r="B1714" s="3"/>
      <c r="C1714" s="3"/>
      <c r="D1714" s="3"/>
      <c r="E1714" s="3"/>
      <c r="F1714" s="2"/>
      <c r="G1714" s="2"/>
      <c r="I1714" s="1"/>
      <c r="J1714" s="1"/>
    </row>
    <row r="1715" spans="1:10" ht="12.75" x14ac:dyDescent="0.2">
      <c r="A1715" s="3"/>
      <c r="B1715" s="3"/>
      <c r="C1715" s="3"/>
      <c r="D1715" s="3"/>
      <c r="E1715" s="3"/>
      <c r="F1715" s="2"/>
      <c r="G1715" s="2"/>
      <c r="I1715" s="1"/>
      <c r="J1715" s="1"/>
    </row>
    <row r="1716" spans="1:10" ht="12.75" x14ac:dyDescent="0.2">
      <c r="A1716" s="3"/>
      <c r="B1716" s="3"/>
      <c r="C1716" s="3"/>
      <c r="D1716" s="3"/>
      <c r="E1716" s="3"/>
      <c r="F1716" s="2"/>
      <c r="G1716" s="2"/>
      <c r="I1716" s="1"/>
      <c r="J1716" s="1"/>
    </row>
    <row r="1717" spans="1:10" ht="12.75" x14ac:dyDescent="0.2">
      <c r="A1717" s="3"/>
      <c r="B1717" s="3"/>
      <c r="C1717" s="3"/>
      <c r="D1717" s="3"/>
      <c r="E1717" s="3"/>
      <c r="F1717" s="2"/>
      <c r="G1717" s="2"/>
      <c r="I1717" s="1"/>
      <c r="J1717" s="1"/>
    </row>
    <row r="1718" spans="1:10" ht="12.75" x14ac:dyDescent="0.2">
      <c r="A1718" s="3"/>
      <c r="B1718" s="3"/>
      <c r="C1718" s="3"/>
      <c r="D1718" s="3"/>
      <c r="E1718" s="3"/>
      <c r="F1718" s="2"/>
      <c r="G1718" s="2"/>
      <c r="I1718" s="1"/>
      <c r="J1718" s="1"/>
    </row>
    <row r="1719" spans="1:10" ht="12.75" x14ac:dyDescent="0.2">
      <c r="A1719" s="3"/>
      <c r="B1719" s="3"/>
      <c r="C1719" s="3"/>
      <c r="D1719" s="3"/>
      <c r="E1719" s="3"/>
      <c r="F1719" s="2"/>
      <c r="G1719" s="2"/>
      <c r="I1719" s="1"/>
      <c r="J1719" s="1"/>
    </row>
    <row r="1720" spans="1:10" ht="12.75" x14ac:dyDescent="0.2">
      <c r="A1720" s="3"/>
      <c r="B1720" s="3"/>
      <c r="C1720" s="3"/>
      <c r="D1720" s="3"/>
      <c r="E1720" s="3"/>
      <c r="F1720" s="2"/>
      <c r="G1720" s="2"/>
      <c r="I1720" s="1"/>
      <c r="J1720" s="1"/>
    </row>
    <row r="1721" spans="1:10" ht="12.75" x14ac:dyDescent="0.2">
      <c r="A1721" s="3"/>
      <c r="B1721" s="3"/>
      <c r="C1721" s="3"/>
      <c r="D1721" s="3"/>
      <c r="E1721" s="3"/>
      <c r="F1721" s="2"/>
      <c r="G1721" s="2"/>
      <c r="I1721" s="1"/>
      <c r="J1721" s="1"/>
    </row>
    <row r="1722" spans="1:10" ht="12.75" x14ac:dyDescent="0.2">
      <c r="A1722" s="3"/>
      <c r="B1722" s="3"/>
      <c r="C1722" s="3"/>
      <c r="D1722" s="3"/>
      <c r="E1722" s="3"/>
      <c r="F1722" s="2"/>
      <c r="G1722" s="2"/>
      <c r="I1722" s="1"/>
      <c r="J1722" s="1"/>
    </row>
    <row r="1723" spans="1:10" ht="12.75" x14ac:dyDescent="0.2">
      <c r="A1723" s="3"/>
      <c r="B1723" s="3"/>
      <c r="C1723" s="3"/>
      <c r="D1723" s="3"/>
      <c r="E1723" s="3"/>
      <c r="F1723" s="2"/>
      <c r="G1723" s="2"/>
      <c r="I1723" s="1"/>
      <c r="J1723" s="1"/>
    </row>
    <row r="1724" spans="1:10" ht="12.75" x14ac:dyDescent="0.2">
      <c r="A1724" s="3"/>
      <c r="B1724" s="3"/>
      <c r="C1724" s="3"/>
      <c r="D1724" s="3"/>
      <c r="E1724" s="3"/>
      <c r="F1724" s="2"/>
      <c r="G1724" s="2"/>
      <c r="I1724" s="1"/>
      <c r="J1724" s="1"/>
    </row>
    <row r="1725" spans="1:10" ht="12.75" x14ac:dyDescent="0.2">
      <c r="A1725" s="3"/>
      <c r="B1725" s="3"/>
      <c r="C1725" s="3"/>
      <c r="D1725" s="3"/>
      <c r="E1725" s="3"/>
      <c r="F1725" s="2"/>
      <c r="G1725" s="2"/>
      <c r="I1725" s="1"/>
      <c r="J1725" s="1"/>
    </row>
    <row r="1726" spans="1:10" ht="12.75" x14ac:dyDescent="0.2">
      <c r="A1726" s="3"/>
      <c r="B1726" s="3"/>
      <c r="C1726" s="3"/>
      <c r="D1726" s="3"/>
      <c r="E1726" s="3"/>
      <c r="F1726" s="2"/>
      <c r="G1726" s="2"/>
      <c r="I1726" s="1"/>
      <c r="J1726" s="1"/>
    </row>
    <row r="1727" spans="1:10" ht="12.75" x14ac:dyDescent="0.2">
      <c r="A1727" s="3"/>
      <c r="B1727" s="3"/>
      <c r="C1727" s="3"/>
      <c r="D1727" s="3"/>
      <c r="E1727" s="3"/>
      <c r="F1727" s="2"/>
      <c r="G1727" s="2"/>
      <c r="I1727" s="1"/>
      <c r="J1727" s="1"/>
    </row>
    <row r="1728" spans="1:10" ht="12.75" x14ac:dyDescent="0.2">
      <c r="A1728" s="3"/>
      <c r="B1728" s="3"/>
      <c r="C1728" s="3"/>
      <c r="D1728" s="3"/>
      <c r="E1728" s="3"/>
      <c r="F1728" s="2"/>
      <c r="G1728" s="2"/>
      <c r="I1728" s="1"/>
      <c r="J1728" s="1"/>
    </row>
    <row r="1729" spans="1:10" ht="12.75" x14ac:dyDescent="0.2">
      <c r="A1729" s="3"/>
      <c r="B1729" s="3"/>
      <c r="C1729" s="3"/>
      <c r="D1729" s="3"/>
      <c r="E1729" s="3"/>
      <c r="F1729" s="2"/>
      <c r="G1729" s="2"/>
      <c r="I1729" s="1"/>
      <c r="J1729" s="1"/>
    </row>
    <row r="1730" spans="1:10" ht="12.75" x14ac:dyDescent="0.2">
      <c r="A1730" s="3"/>
      <c r="B1730" s="3"/>
      <c r="C1730" s="3"/>
      <c r="D1730" s="3"/>
      <c r="E1730" s="3"/>
      <c r="F1730" s="2"/>
      <c r="G1730" s="2"/>
      <c r="I1730" s="1"/>
      <c r="J1730" s="1"/>
    </row>
    <row r="1731" spans="1:10" ht="12.75" x14ac:dyDescent="0.2">
      <c r="A1731" s="3"/>
      <c r="B1731" s="3"/>
      <c r="C1731" s="3"/>
      <c r="D1731" s="3"/>
      <c r="E1731" s="3"/>
      <c r="F1731" s="2"/>
      <c r="G1731" s="2"/>
      <c r="I1731" s="1"/>
      <c r="J1731" s="1"/>
    </row>
    <row r="1732" spans="1:10" ht="12.75" x14ac:dyDescent="0.2">
      <c r="A1732" s="3"/>
      <c r="B1732" s="3"/>
      <c r="C1732" s="3"/>
      <c r="D1732" s="3"/>
      <c r="E1732" s="3"/>
      <c r="F1732" s="2"/>
      <c r="G1732" s="2"/>
      <c r="I1732" s="1"/>
      <c r="J1732" s="1"/>
    </row>
    <row r="1733" spans="1:10" ht="12.75" x14ac:dyDescent="0.2">
      <c r="A1733" s="3"/>
      <c r="B1733" s="3"/>
      <c r="C1733" s="3"/>
      <c r="D1733" s="3"/>
      <c r="E1733" s="3"/>
      <c r="F1733" s="2"/>
      <c r="G1733" s="2"/>
      <c r="I1733" s="1"/>
      <c r="J1733" s="1"/>
    </row>
    <row r="1734" spans="1:10" ht="12.75" x14ac:dyDescent="0.2">
      <c r="A1734" s="3"/>
      <c r="B1734" s="3"/>
      <c r="C1734" s="3"/>
      <c r="D1734" s="3"/>
      <c r="E1734" s="3"/>
      <c r="F1734" s="2"/>
      <c r="G1734" s="2"/>
      <c r="I1734" s="1"/>
      <c r="J1734" s="1"/>
    </row>
    <row r="1735" spans="1:10" ht="12.75" x14ac:dyDescent="0.2">
      <c r="A1735" s="3"/>
      <c r="B1735" s="3"/>
      <c r="C1735" s="3"/>
      <c r="D1735" s="3"/>
      <c r="E1735" s="3"/>
      <c r="F1735" s="2"/>
      <c r="G1735" s="2"/>
      <c r="I1735" s="1"/>
      <c r="J1735" s="1"/>
    </row>
    <row r="1736" spans="1:10" ht="12.75" x14ac:dyDescent="0.2">
      <c r="A1736" s="3"/>
      <c r="B1736" s="3"/>
      <c r="C1736" s="3"/>
      <c r="D1736" s="3"/>
      <c r="E1736" s="3"/>
      <c r="F1736" s="2"/>
      <c r="G1736" s="2"/>
      <c r="I1736" s="1"/>
      <c r="J1736" s="1"/>
    </row>
    <row r="1737" spans="1:10" ht="12.75" x14ac:dyDescent="0.2">
      <c r="A1737" s="3"/>
      <c r="B1737" s="3"/>
      <c r="C1737" s="3"/>
      <c r="D1737" s="3"/>
      <c r="E1737" s="3"/>
      <c r="F1737" s="2"/>
      <c r="G1737" s="2"/>
      <c r="I1737" s="1"/>
      <c r="J1737" s="1"/>
    </row>
    <row r="1738" spans="1:10" ht="12.75" x14ac:dyDescent="0.2">
      <c r="A1738" s="3"/>
      <c r="B1738" s="3"/>
      <c r="C1738" s="3"/>
      <c r="D1738" s="3"/>
      <c r="E1738" s="3"/>
      <c r="F1738" s="2"/>
      <c r="G1738" s="2"/>
      <c r="I1738" s="1"/>
      <c r="J1738" s="1"/>
    </row>
    <row r="1739" spans="1:10" ht="12.75" x14ac:dyDescent="0.2">
      <c r="A1739" s="3"/>
      <c r="B1739" s="3"/>
      <c r="C1739" s="3"/>
      <c r="D1739" s="3"/>
      <c r="E1739" s="3"/>
      <c r="F1739" s="2"/>
      <c r="G1739" s="2"/>
      <c r="I1739" s="1"/>
      <c r="J1739" s="1"/>
    </row>
    <row r="1740" spans="1:10" ht="12.75" x14ac:dyDescent="0.2">
      <c r="A1740" s="3"/>
      <c r="B1740" s="3"/>
      <c r="C1740" s="3"/>
      <c r="D1740" s="3"/>
      <c r="E1740" s="3"/>
      <c r="F1740" s="2"/>
      <c r="G1740" s="2"/>
      <c r="I1740" s="1"/>
      <c r="J1740" s="1"/>
    </row>
    <row r="1741" spans="1:10" ht="12.75" x14ac:dyDescent="0.2">
      <c r="A1741" s="3"/>
      <c r="B1741" s="3"/>
      <c r="C1741" s="3"/>
      <c r="D1741" s="3"/>
      <c r="E1741" s="3"/>
      <c r="F1741" s="2"/>
      <c r="G1741" s="2"/>
      <c r="I1741" s="1"/>
      <c r="J1741" s="1"/>
    </row>
    <row r="1742" spans="1:10" ht="12.75" x14ac:dyDescent="0.2">
      <c r="A1742" s="3"/>
      <c r="B1742" s="3"/>
      <c r="C1742" s="3"/>
      <c r="D1742" s="3"/>
      <c r="E1742" s="3"/>
      <c r="F1742" s="2"/>
      <c r="G1742" s="2"/>
      <c r="I1742" s="1"/>
      <c r="J1742" s="1"/>
    </row>
    <row r="1743" spans="1:10" ht="12.75" x14ac:dyDescent="0.2">
      <c r="A1743" s="3"/>
      <c r="B1743" s="3"/>
      <c r="C1743" s="3"/>
      <c r="D1743" s="3"/>
      <c r="E1743" s="3"/>
      <c r="F1743" s="2"/>
      <c r="G1743" s="2"/>
      <c r="I1743" s="1"/>
      <c r="J1743" s="1"/>
    </row>
    <row r="1744" spans="1:10" ht="12.75" x14ac:dyDescent="0.2">
      <c r="A1744" s="3"/>
      <c r="B1744" s="3"/>
      <c r="C1744" s="3"/>
      <c r="D1744" s="3"/>
      <c r="E1744" s="3"/>
      <c r="F1744" s="2"/>
      <c r="G1744" s="2"/>
      <c r="I1744" s="1"/>
      <c r="J1744" s="1"/>
    </row>
    <row r="1745" spans="1:10" ht="12.75" x14ac:dyDescent="0.2">
      <c r="A1745" s="3"/>
      <c r="B1745" s="3"/>
      <c r="C1745" s="3"/>
      <c r="D1745" s="3"/>
      <c r="E1745" s="3"/>
      <c r="F1745" s="2"/>
      <c r="G1745" s="2"/>
      <c r="I1745" s="1"/>
      <c r="J1745" s="1"/>
    </row>
    <row r="1746" spans="1:10" ht="12.75" x14ac:dyDescent="0.2">
      <c r="A1746" s="3"/>
      <c r="B1746" s="3"/>
      <c r="C1746" s="3"/>
      <c r="D1746" s="3"/>
      <c r="E1746" s="3"/>
      <c r="F1746" s="2"/>
      <c r="G1746" s="2"/>
      <c r="I1746" s="1"/>
      <c r="J1746" s="1"/>
    </row>
    <row r="1747" spans="1:10" ht="12.75" x14ac:dyDescent="0.2">
      <c r="A1747" s="3"/>
      <c r="B1747" s="3"/>
      <c r="C1747" s="3"/>
      <c r="D1747" s="3"/>
      <c r="E1747" s="3"/>
      <c r="F1747" s="2"/>
      <c r="G1747" s="2"/>
      <c r="I1747" s="1"/>
      <c r="J1747" s="1"/>
    </row>
    <row r="1748" spans="1:10" ht="12.75" x14ac:dyDescent="0.2">
      <c r="A1748" s="3"/>
      <c r="B1748" s="3"/>
      <c r="C1748" s="3"/>
      <c r="D1748" s="3"/>
      <c r="E1748" s="3"/>
      <c r="F1748" s="2"/>
      <c r="G1748" s="2"/>
      <c r="I1748" s="1"/>
      <c r="J1748" s="1"/>
    </row>
    <row r="1749" spans="1:10" ht="12.75" x14ac:dyDescent="0.2">
      <c r="A1749" s="3"/>
      <c r="B1749" s="3"/>
      <c r="C1749" s="3"/>
      <c r="D1749" s="3"/>
      <c r="E1749" s="3"/>
      <c r="F1749" s="2"/>
      <c r="G1749" s="2"/>
      <c r="I1749" s="1"/>
      <c r="J1749" s="1"/>
    </row>
    <row r="1750" spans="1:10" ht="12.75" x14ac:dyDescent="0.2">
      <c r="A1750" s="3"/>
      <c r="B1750" s="3"/>
      <c r="C1750" s="3"/>
      <c r="D1750" s="3"/>
      <c r="E1750" s="3"/>
      <c r="F1750" s="2"/>
      <c r="G1750" s="2"/>
      <c r="I1750" s="1"/>
      <c r="J1750" s="1"/>
    </row>
    <row r="1751" spans="1:10" ht="12.75" x14ac:dyDescent="0.2">
      <c r="A1751" s="3"/>
      <c r="B1751" s="3"/>
      <c r="C1751" s="3"/>
      <c r="D1751" s="3"/>
      <c r="E1751" s="3"/>
      <c r="F1751" s="2"/>
      <c r="G1751" s="2"/>
      <c r="I1751" s="1"/>
      <c r="J1751" s="1"/>
    </row>
    <row r="1752" spans="1:10" ht="12.75" x14ac:dyDescent="0.2">
      <c r="A1752" s="3"/>
      <c r="B1752" s="3"/>
      <c r="C1752" s="3"/>
      <c r="D1752" s="3"/>
      <c r="E1752" s="3"/>
      <c r="F1752" s="2"/>
      <c r="G1752" s="2"/>
      <c r="I1752" s="1"/>
      <c r="J1752" s="1"/>
    </row>
    <row r="1753" spans="1:10" ht="12.75" x14ac:dyDescent="0.2">
      <c r="A1753" s="3"/>
      <c r="B1753" s="3"/>
      <c r="C1753" s="3"/>
      <c r="D1753" s="3"/>
      <c r="E1753" s="3"/>
      <c r="F1753" s="2"/>
      <c r="G1753" s="2"/>
      <c r="I1753" s="1"/>
      <c r="J1753" s="1"/>
    </row>
    <row r="1754" spans="1:10" ht="12.75" x14ac:dyDescent="0.2">
      <c r="A1754" s="3"/>
      <c r="B1754" s="3"/>
      <c r="C1754" s="3"/>
      <c r="D1754" s="3"/>
      <c r="E1754" s="3"/>
      <c r="F1754" s="2"/>
      <c r="G1754" s="2"/>
      <c r="I1754" s="1"/>
      <c r="J1754" s="1"/>
    </row>
    <row r="1755" spans="1:10" ht="12.75" x14ac:dyDescent="0.2">
      <c r="A1755" s="3"/>
      <c r="B1755" s="3"/>
      <c r="C1755" s="3"/>
      <c r="D1755" s="3"/>
      <c r="E1755" s="3"/>
      <c r="F1755" s="2"/>
      <c r="G1755" s="2"/>
      <c r="I1755" s="1"/>
      <c r="J1755" s="1"/>
    </row>
    <row r="1756" spans="1:10" ht="12.75" x14ac:dyDescent="0.2">
      <c r="A1756" s="3"/>
      <c r="B1756" s="3"/>
      <c r="C1756" s="3"/>
      <c r="D1756" s="3"/>
      <c r="E1756" s="3"/>
      <c r="F1756" s="2"/>
      <c r="G1756" s="2"/>
      <c r="I1756" s="1"/>
      <c r="J1756" s="1"/>
    </row>
    <row r="1757" spans="1:10" ht="12.75" x14ac:dyDescent="0.2">
      <c r="A1757" s="3"/>
      <c r="B1757" s="3"/>
      <c r="C1757" s="3"/>
      <c r="D1757" s="3"/>
      <c r="E1757" s="3"/>
      <c r="F1757" s="2"/>
      <c r="G1757" s="2"/>
      <c r="I1757" s="1"/>
      <c r="J1757" s="1"/>
    </row>
    <row r="1758" spans="1:10" ht="12.75" x14ac:dyDescent="0.2">
      <c r="A1758" s="3"/>
      <c r="B1758" s="3"/>
      <c r="C1758" s="3"/>
      <c r="D1758" s="3"/>
      <c r="E1758" s="3"/>
      <c r="F1758" s="2"/>
      <c r="G1758" s="2"/>
      <c r="I1758" s="1"/>
      <c r="J1758" s="1"/>
    </row>
    <row r="1759" spans="1:10" ht="12.75" x14ac:dyDescent="0.2">
      <c r="A1759" s="3"/>
      <c r="B1759" s="3"/>
      <c r="C1759" s="3"/>
      <c r="D1759" s="3"/>
      <c r="E1759" s="3"/>
      <c r="F1759" s="2"/>
      <c r="G1759" s="2"/>
      <c r="I1759" s="1"/>
      <c r="J1759" s="1"/>
    </row>
    <row r="1760" spans="1:10" ht="12.75" x14ac:dyDescent="0.2">
      <c r="A1760" s="3"/>
      <c r="B1760" s="3"/>
      <c r="C1760" s="3"/>
      <c r="D1760" s="3"/>
      <c r="E1760" s="3"/>
      <c r="F1760" s="2"/>
      <c r="G1760" s="2"/>
      <c r="I1760" s="1"/>
      <c r="J1760" s="1"/>
    </row>
    <row r="1761" spans="1:10" ht="12.75" x14ac:dyDescent="0.2">
      <c r="A1761" s="3"/>
      <c r="B1761" s="3"/>
      <c r="C1761" s="3"/>
      <c r="D1761" s="3"/>
      <c r="E1761" s="3"/>
      <c r="F1761" s="2"/>
      <c r="G1761" s="2"/>
      <c r="I1761" s="1"/>
      <c r="J1761" s="1"/>
    </row>
    <row r="1762" spans="1:10" ht="12.75" x14ac:dyDescent="0.2">
      <c r="A1762" s="3"/>
      <c r="B1762" s="3"/>
      <c r="C1762" s="3"/>
      <c r="D1762" s="3"/>
      <c r="E1762" s="3"/>
      <c r="F1762" s="2"/>
      <c r="G1762" s="2"/>
      <c r="I1762" s="1"/>
      <c r="J1762" s="1"/>
    </row>
    <row r="1763" spans="1:10" ht="12.75" x14ac:dyDescent="0.2">
      <c r="A1763" s="3"/>
      <c r="B1763" s="3"/>
      <c r="C1763" s="3"/>
      <c r="D1763" s="3"/>
      <c r="E1763" s="3"/>
      <c r="F1763" s="2"/>
      <c r="G1763" s="2"/>
      <c r="I1763" s="1"/>
      <c r="J1763" s="1"/>
    </row>
    <row r="1764" spans="1:10" ht="12.75" x14ac:dyDescent="0.2">
      <c r="A1764" s="3"/>
      <c r="B1764" s="3"/>
      <c r="C1764" s="3"/>
      <c r="D1764" s="3"/>
      <c r="E1764" s="3"/>
      <c r="F1764" s="2"/>
      <c r="G1764" s="2"/>
      <c r="I1764" s="1"/>
      <c r="J1764" s="1"/>
    </row>
    <row r="1765" spans="1:10" ht="12.75" x14ac:dyDescent="0.2">
      <c r="A1765" s="3"/>
      <c r="B1765" s="3"/>
      <c r="C1765" s="3"/>
      <c r="D1765" s="3"/>
      <c r="E1765" s="3"/>
      <c r="F1765" s="2"/>
      <c r="G1765" s="2"/>
      <c r="I1765" s="1"/>
      <c r="J1765" s="1"/>
    </row>
    <row r="1766" spans="1:10" ht="12.75" x14ac:dyDescent="0.2">
      <c r="A1766" s="3"/>
      <c r="B1766" s="3"/>
      <c r="C1766" s="3"/>
      <c r="D1766" s="3"/>
      <c r="E1766" s="3"/>
      <c r="F1766" s="2"/>
      <c r="G1766" s="2"/>
      <c r="I1766" s="1"/>
      <c r="J1766" s="1"/>
    </row>
    <row r="1767" spans="1:10" ht="12.75" x14ac:dyDescent="0.2">
      <c r="A1767" s="3"/>
      <c r="B1767" s="3"/>
      <c r="C1767" s="3"/>
      <c r="D1767" s="3"/>
      <c r="E1767" s="3"/>
      <c r="F1767" s="2"/>
      <c r="G1767" s="2"/>
      <c r="I1767" s="1"/>
      <c r="J1767" s="1"/>
    </row>
    <row r="1768" spans="1:10" ht="12.75" x14ac:dyDescent="0.2">
      <c r="A1768" s="3"/>
      <c r="B1768" s="3"/>
      <c r="C1768" s="3"/>
      <c r="D1768" s="3"/>
      <c r="E1768" s="3"/>
      <c r="F1768" s="2"/>
      <c r="G1768" s="2"/>
      <c r="I1768" s="1"/>
      <c r="J1768" s="1"/>
    </row>
    <row r="1769" spans="1:10" ht="12.75" x14ac:dyDescent="0.2">
      <c r="A1769" s="3"/>
      <c r="B1769" s="3"/>
      <c r="C1769" s="3"/>
      <c r="D1769" s="3"/>
      <c r="E1769" s="3"/>
      <c r="F1769" s="2"/>
      <c r="G1769" s="2"/>
      <c r="I1769" s="1"/>
      <c r="J1769" s="1"/>
    </row>
    <row r="1770" spans="1:10" ht="12.75" x14ac:dyDescent="0.2">
      <c r="A1770" s="3"/>
      <c r="B1770" s="3"/>
      <c r="C1770" s="3"/>
      <c r="D1770" s="3"/>
      <c r="E1770" s="3"/>
      <c r="F1770" s="2"/>
      <c r="G1770" s="2"/>
      <c r="I1770" s="1"/>
      <c r="J1770" s="1"/>
    </row>
    <row r="1771" spans="1:10" ht="12.75" x14ac:dyDescent="0.2">
      <c r="A1771" s="3"/>
      <c r="B1771" s="3"/>
      <c r="C1771" s="3"/>
      <c r="D1771" s="3"/>
      <c r="E1771" s="3"/>
      <c r="F1771" s="2"/>
      <c r="G1771" s="2"/>
      <c r="I1771" s="1"/>
      <c r="J1771" s="1"/>
    </row>
    <row r="1772" spans="1:10" ht="12.75" x14ac:dyDescent="0.2">
      <c r="A1772" s="3"/>
      <c r="B1772" s="3"/>
      <c r="C1772" s="3"/>
      <c r="D1772" s="3"/>
      <c r="E1772" s="3"/>
      <c r="F1772" s="2"/>
      <c r="G1772" s="2"/>
      <c r="I1772" s="1"/>
      <c r="J1772" s="1"/>
    </row>
    <row r="1773" spans="1:10" ht="12.75" x14ac:dyDescent="0.2">
      <c r="A1773" s="3"/>
      <c r="B1773" s="3"/>
      <c r="C1773" s="3"/>
      <c r="D1773" s="3"/>
      <c r="E1773" s="3"/>
      <c r="F1773" s="2"/>
      <c r="G1773" s="2"/>
      <c r="I1773" s="1"/>
      <c r="J1773" s="1"/>
    </row>
    <row r="1774" spans="1:10" ht="12.75" x14ac:dyDescent="0.2">
      <c r="A1774" s="3"/>
      <c r="B1774" s="3"/>
      <c r="C1774" s="3"/>
      <c r="D1774" s="3"/>
      <c r="E1774" s="3"/>
      <c r="F1774" s="2"/>
      <c r="G1774" s="2"/>
      <c r="I1774" s="1"/>
      <c r="J1774" s="1"/>
    </row>
    <row r="1775" spans="1:10" ht="12.75" x14ac:dyDescent="0.2">
      <c r="A1775" s="3"/>
      <c r="B1775" s="3"/>
      <c r="C1775" s="3"/>
      <c r="D1775" s="3"/>
      <c r="E1775" s="3"/>
      <c r="F1775" s="2"/>
      <c r="G1775" s="2"/>
      <c r="I1775" s="1"/>
      <c r="J1775" s="1"/>
    </row>
    <row r="1776" spans="1:10" ht="12.75" x14ac:dyDescent="0.2">
      <c r="A1776" s="3"/>
      <c r="B1776" s="3"/>
      <c r="C1776" s="3"/>
      <c r="D1776" s="3"/>
      <c r="E1776" s="3"/>
      <c r="F1776" s="2"/>
      <c r="G1776" s="2"/>
      <c r="I1776" s="1"/>
      <c r="J1776" s="1"/>
    </row>
    <row r="1777" spans="1:10" ht="12.75" x14ac:dyDescent="0.2">
      <c r="A1777" s="3"/>
      <c r="B1777" s="3"/>
      <c r="C1777" s="3"/>
      <c r="D1777" s="3"/>
      <c r="E1777" s="3"/>
      <c r="F1777" s="2"/>
      <c r="G1777" s="2"/>
      <c r="I1777" s="1"/>
      <c r="J1777" s="1"/>
    </row>
    <row r="1778" spans="1:10" ht="12.75" x14ac:dyDescent="0.2">
      <c r="A1778" s="3"/>
      <c r="B1778" s="3"/>
      <c r="C1778" s="3"/>
      <c r="D1778" s="3"/>
      <c r="E1778" s="3"/>
      <c r="F1778" s="2"/>
      <c r="G1778" s="2"/>
      <c r="I1778" s="1"/>
      <c r="J1778" s="1"/>
    </row>
    <row r="1779" spans="1:10" ht="12.75" x14ac:dyDescent="0.2">
      <c r="A1779" s="3"/>
      <c r="B1779" s="3"/>
      <c r="C1779" s="3"/>
      <c r="D1779" s="3"/>
      <c r="E1779" s="3"/>
      <c r="F1779" s="2"/>
      <c r="G1779" s="2"/>
      <c r="I1779" s="1"/>
      <c r="J1779" s="1"/>
    </row>
    <row r="1780" spans="1:10" ht="12.75" x14ac:dyDescent="0.2">
      <c r="A1780" s="3"/>
      <c r="B1780" s="3"/>
      <c r="C1780" s="3"/>
      <c r="D1780" s="3"/>
      <c r="E1780" s="3"/>
      <c r="F1780" s="2"/>
      <c r="G1780" s="2"/>
      <c r="I1780" s="1"/>
      <c r="J1780" s="1"/>
    </row>
    <row r="1781" spans="1:10" ht="12.75" x14ac:dyDescent="0.2">
      <c r="A1781" s="3"/>
      <c r="B1781" s="3"/>
      <c r="C1781" s="3"/>
      <c r="D1781" s="3"/>
      <c r="E1781" s="3"/>
      <c r="F1781" s="2"/>
      <c r="G1781" s="2"/>
      <c r="I1781" s="1"/>
      <c r="J1781" s="1"/>
    </row>
    <row r="1782" spans="1:10" ht="12.75" x14ac:dyDescent="0.2">
      <c r="A1782" s="3"/>
      <c r="B1782" s="3"/>
      <c r="C1782" s="3"/>
      <c r="D1782" s="3"/>
      <c r="E1782" s="3"/>
      <c r="F1782" s="2"/>
      <c r="G1782" s="2"/>
      <c r="I1782" s="1"/>
      <c r="J1782" s="1"/>
    </row>
    <row r="1783" spans="1:10" ht="12.75" x14ac:dyDescent="0.2">
      <c r="A1783" s="3"/>
      <c r="B1783" s="3"/>
      <c r="C1783" s="3"/>
      <c r="D1783" s="3"/>
      <c r="E1783" s="3"/>
      <c r="F1783" s="2"/>
      <c r="G1783" s="2"/>
      <c r="I1783" s="1"/>
      <c r="J1783" s="1"/>
    </row>
    <row r="1784" spans="1:10" ht="12.75" x14ac:dyDescent="0.2">
      <c r="A1784" s="3"/>
      <c r="B1784" s="3"/>
      <c r="C1784" s="3"/>
      <c r="D1784" s="3"/>
      <c r="E1784" s="3"/>
      <c r="F1784" s="2"/>
      <c r="G1784" s="2"/>
      <c r="I1784" s="1"/>
      <c r="J1784" s="1"/>
    </row>
    <row r="1785" spans="1:10" ht="12.75" x14ac:dyDescent="0.2">
      <c r="A1785" s="3"/>
      <c r="B1785" s="3"/>
      <c r="C1785" s="3"/>
      <c r="D1785" s="3"/>
      <c r="E1785" s="3"/>
      <c r="F1785" s="2"/>
      <c r="G1785" s="2"/>
      <c r="I1785" s="1"/>
      <c r="J1785" s="1"/>
    </row>
    <row r="1786" spans="1:10" ht="12.75" x14ac:dyDescent="0.2">
      <c r="A1786" s="3"/>
      <c r="B1786" s="3"/>
      <c r="C1786" s="3"/>
      <c r="D1786" s="3"/>
      <c r="E1786" s="3"/>
      <c r="F1786" s="2"/>
      <c r="G1786" s="2"/>
      <c r="I1786" s="1"/>
      <c r="J1786" s="1"/>
    </row>
    <row r="1787" spans="1:10" ht="12.75" x14ac:dyDescent="0.2">
      <c r="A1787" s="3"/>
      <c r="B1787" s="3"/>
      <c r="C1787" s="3"/>
      <c r="D1787" s="3"/>
      <c r="E1787" s="3"/>
      <c r="F1787" s="2"/>
      <c r="G1787" s="2"/>
      <c r="I1787" s="1"/>
      <c r="J1787" s="1"/>
    </row>
    <row r="1788" spans="1:10" ht="12.75" x14ac:dyDescent="0.2">
      <c r="A1788" s="3"/>
      <c r="B1788" s="3"/>
      <c r="C1788" s="3"/>
      <c r="D1788" s="3"/>
      <c r="E1788" s="3"/>
      <c r="F1788" s="2"/>
      <c r="G1788" s="2"/>
      <c r="I1788" s="1"/>
      <c r="J1788" s="1"/>
    </row>
    <row r="1789" spans="1:10" ht="12.75" x14ac:dyDescent="0.2">
      <c r="A1789" s="3"/>
      <c r="B1789" s="3"/>
      <c r="C1789" s="3"/>
      <c r="D1789" s="3"/>
      <c r="E1789" s="3"/>
      <c r="F1789" s="2"/>
      <c r="G1789" s="2"/>
      <c r="I1789" s="1"/>
      <c r="J1789" s="1"/>
    </row>
    <row r="1790" spans="1:10" ht="12.75" x14ac:dyDescent="0.2">
      <c r="A1790" s="3"/>
      <c r="B1790" s="3"/>
      <c r="C1790" s="3"/>
      <c r="D1790" s="3"/>
      <c r="E1790" s="3"/>
      <c r="F1790" s="2"/>
      <c r="G1790" s="2"/>
      <c r="I1790" s="1"/>
      <c r="J1790" s="1"/>
    </row>
    <row r="1791" spans="1:10" ht="12.75" x14ac:dyDescent="0.2">
      <c r="A1791" s="3"/>
      <c r="B1791" s="3"/>
      <c r="C1791" s="3"/>
      <c r="D1791" s="3"/>
      <c r="E1791" s="3"/>
      <c r="F1791" s="2"/>
      <c r="G1791" s="2"/>
      <c r="I1791" s="1"/>
      <c r="J1791" s="1"/>
    </row>
    <row r="1792" spans="1:10" ht="12.75" x14ac:dyDescent="0.2">
      <c r="A1792" s="3"/>
      <c r="B1792" s="3"/>
      <c r="C1792" s="3"/>
      <c r="D1792" s="3"/>
      <c r="E1792" s="3"/>
      <c r="F1792" s="2"/>
      <c r="G1792" s="2"/>
      <c r="I1792" s="1"/>
      <c r="J1792" s="1"/>
    </row>
    <row r="1793" spans="1:10" ht="12.75" x14ac:dyDescent="0.2">
      <c r="A1793" s="3"/>
      <c r="B1793" s="3"/>
      <c r="C1793" s="3"/>
      <c r="D1793" s="3"/>
      <c r="E1793" s="3"/>
      <c r="F1793" s="2"/>
      <c r="G1793" s="2"/>
      <c r="I1793" s="1"/>
      <c r="J1793" s="1"/>
    </row>
    <row r="1794" spans="1:10" ht="12.75" x14ac:dyDescent="0.2">
      <c r="A1794" s="3"/>
      <c r="B1794" s="3"/>
      <c r="C1794" s="3"/>
      <c r="D1794" s="3"/>
      <c r="E1794" s="3"/>
      <c r="F1794" s="2"/>
      <c r="G1794" s="2"/>
      <c r="I1794" s="1"/>
      <c r="J1794" s="1"/>
    </row>
    <row r="1795" spans="1:10" ht="12.75" x14ac:dyDescent="0.2">
      <c r="A1795" s="3"/>
      <c r="B1795" s="3"/>
      <c r="C1795" s="3"/>
      <c r="D1795" s="3"/>
      <c r="E1795" s="3"/>
      <c r="F1795" s="2"/>
      <c r="G1795" s="2"/>
      <c r="I1795" s="1"/>
      <c r="J1795" s="1"/>
    </row>
    <row r="1796" spans="1:10" ht="12.75" x14ac:dyDescent="0.2">
      <c r="A1796" s="3"/>
      <c r="B1796" s="3"/>
      <c r="C1796" s="3"/>
      <c r="D1796" s="3"/>
      <c r="E1796" s="3"/>
      <c r="F1796" s="2"/>
      <c r="G1796" s="2"/>
      <c r="I1796" s="1"/>
      <c r="J1796" s="1"/>
    </row>
    <row r="1797" spans="1:10" ht="12.75" x14ac:dyDescent="0.2">
      <c r="A1797" s="3"/>
      <c r="B1797" s="3"/>
      <c r="C1797" s="3"/>
      <c r="D1797" s="3"/>
      <c r="E1797" s="3"/>
      <c r="F1797" s="2"/>
      <c r="G1797" s="2"/>
      <c r="I1797" s="1"/>
      <c r="J1797" s="1"/>
    </row>
    <row r="1798" spans="1:10" ht="12.75" x14ac:dyDescent="0.2">
      <c r="A1798" s="3"/>
      <c r="B1798" s="3"/>
      <c r="C1798" s="3"/>
      <c r="D1798" s="3"/>
      <c r="E1798" s="3"/>
      <c r="F1798" s="2"/>
      <c r="G1798" s="2"/>
      <c r="I1798" s="1"/>
      <c r="J1798" s="1"/>
    </row>
    <row r="1799" spans="1:10" ht="12.75" x14ac:dyDescent="0.2">
      <c r="A1799" s="3"/>
      <c r="B1799" s="3"/>
      <c r="C1799" s="3"/>
      <c r="D1799" s="3"/>
      <c r="E1799" s="3"/>
      <c r="F1799" s="2"/>
      <c r="G1799" s="2"/>
      <c r="I1799" s="1"/>
      <c r="J1799" s="1"/>
    </row>
    <row r="1800" spans="1:10" ht="12.75" x14ac:dyDescent="0.2">
      <c r="A1800" s="3"/>
      <c r="B1800" s="3"/>
      <c r="C1800" s="3"/>
      <c r="D1800" s="3"/>
      <c r="E1800" s="3"/>
      <c r="F1800" s="2"/>
      <c r="G1800" s="2"/>
      <c r="I1800" s="1"/>
      <c r="J1800" s="1"/>
    </row>
    <row r="1801" spans="1:10" ht="12.75" x14ac:dyDescent="0.2">
      <c r="A1801" s="3"/>
      <c r="B1801" s="3"/>
      <c r="C1801" s="3"/>
      <c r="D1801" s="3"/>
      <c r="E1801" s="3"/>
      <c r="F1801" s="2"/>
      <c r="G1801" s="2"/>
      <c r="I1801" s="1"/>
      <c r="J1801" s="1"/>
    </row>
    <row r="1802" spans="1:10" ht="12.75" x14ac:dyDescent="0.2">
      <c r="A1802" s="3"/>
      <c r="B1802" s="3"/>
      <c r="C1802" s="3"/>
      <c r="D1802" s="3"/>
      <c r="E1802" s="3"/>
      <c r="F1802" s="2"/>
      <c r="G1802" s="2"/>
      <c r="I1802" s="1"/>
      <c r="J1802" s="1"/>
    </row>
    <row r="1803" spans="1:10" ht="12.75" x14ac:dyDescent="0.2">
      <c r="A1803" s="3"/>
      <c r="B1803" s="3"/>
      <c r="C1803" s="3"/>
      <c r="D1803" s="3"/>
      <c r="E1803" s="3"/>
      <c r="F1803" s="2"/>
      <c r="G1803" s="2"/>
      <c r="I1803" s="1"/>
      <c r="J1803" s="1"/>
    </row>
    <row r="1804" spans="1:10" ht="12.75" x14ac:dyDescent="0.2">
      <c r="A1804" s="3"/>
      <c r="B1804" s="3"/>
      <c r="C1804" s="3"/>
      <c r="D1804" s="3"/>
      <c r="E1804" s="3"/>
      <c r="F1804" s="2"/>
      <c r="G1804" s="2"/>
      <c r="I1804" s="1"/>
      <c r="J1804" s="1"/>
    </row>
    <row r="1805" spans="1:10" ht="12.75" x14ac:dyDescent="0.2">
      <c r="A1805" s="3"/>
      <c r="B1805" s="3"/>
      <c r="C1805" s="3"/>
      <c r="D1805" s="3"/>
      <c r="E1805" s="3"/>
      <c r="F1805" s="2"/>
      <c r="G1805" s="2"/>
      <c r="I1805" s="1"/>
      <c r="J1805" s="1"/>
    </row>
    <row r="1806" spans="1:10" ht="12.75" x14ac:dyDescent="0.2">
      <c r="A1806" s="3"/>
      <c r="B1806" s="3"/>
      <c r="C1806" s="3"/>
      <c r="D1806" s="3"/>
      <c r="E1806" s="3"/>
      <c r="F1806" s="2"/>
      <c r="G1806" s="2"/>
      <c r="I1806" s="1"/>
      <c r="J1806" s="1"/>
    </row>
    <row r="1807" spans="1:10" ht="12.75" x14ac:dyDescent="0.2">
      <c r="A1807" s="3"/>
      <c r="B1807" s="3"/>
      <c r="C1807" s="3"/>
      <c r="D1807" s="3"/>
      <c r="E1807" s="3"/>
      <c r="F1807" s="2"/>
      <c r="G1807" s="2"/>
      <c r="I1807" s="1"/>
      <c r="J1807" s="1"/>
    </row>
    <row r="1808" spans="1:10" ht="12.75" x14ac:dyDescent="0.2">
      <c r="A1808" s="3"/>
      <c r="B1808" s="3"/>
      <c r="C1808" s="3"/>
      <c r="D1808" s="3"/>
      <c r="E1808" s="3"/>
      <c r="F1808" s="2"/>
      <c r="G1808" s="2"/>
      <c r="I1808" s="1"/>
      <c r="J1808" s="1"/>
    </row>
    <row r="1809" spans="1:10" ht="12.75" x14ac:dyDescent="0.2">
      <c r="A1809" s="3"/>
      <c r="B1809" s="3"/>
      <c r="C1809" s="3"/>
      <c r="D1809" s="3"/>
      <c r="E1809" s="3"/>
      <c r="F1809" s="2"/>
      <c r="G1809" s="2"/>
      <c r="I1809" s="1"/>
      <c r="J1809" s="1"/>
    </row>
    <row r="1810" spans="1:10" ht="12.75" x14ac:dyDescent="0.2">
      <c r="A1810" s="3"/>
      <c r="B1810" s="3"/>
      <c r="C1810" s="3"/>
      <c r="D1810" s="3"/>
      <c r="E1810" s="3"/>
      <c r="F1810" s="2"/>
      <c r="G1810" s="2"/>
      <c r="I1810" s="1"/>
      <c r="J1810" s="1"/>
    </row>
    <row r="1811" spans="1:10" ht="12.75" x14ac:dyDescent="0.2">
      <c r="A1811" s="3"/>
      <c r="B1811" s="3"/>
      <c r="C1811" s="3"/>
      <c r="D1811" s="3"/>
      <c r="E1811" s="3"/>
      <c r="F1811" s="2"/>
      <c r="G1811" s="2"/>
      <c r="I1811" s="1"/>
      <c r="J1811" s="1"/>
    </row>
    <row r="1812" spans="1:10" ht="12.75" x14ac:dyDescent="0.2">
      <c r="A1812" s="3"/>
      <c r="B1812" s="3"/>
      <c r="C1812" s="3"/>
      <c r="D1812" s="3"/>
      <c r="E1812" s="3"/>
      <c r="F1812" s="2"/>
      <c r="G1812" s="2"/>
      <c r="I1812" s="1"/>
      <c r="J1812" s="1"/>
    </row>
    <row r="1813" spans="1:10" ht="12.75" x14ac:dyDescent="0.2">
      <c r="A1813" s="3"/>
      <c r="B1813" s="3"/>
      <c r="C1813" s="3"/>
      <c r="D1813" s="3"/>
      <c r="E1813" s="3"/>
      <c r="F1813" s="2"/>
      <c r="G1813" s="2"/>
      <c r="I1813" s="1"/>
      <c r="J1813" s="1"/>
    </row>
    <row r="1814" spans="1:10" ht="12.75" x14ac:dyDescent="0.2">
      <c r="A1814" s="3"/>
      <c r="B1814" s="3"/>
      <c r="C1814" s="3"/>
      <c r="D1814" s="3"/>
      <c r="E1814" s="3"/>
      <c r="F1814" s="2"/>
      <c r="G1814" s="2"/>
      <c r="I1814" s="1"/>
      <c r="J1814" s="1"/>
    </row>
    <row r="1815" spans="1:10" ht="12.75" x14ac:dyDescent="0.2">
      <c r="A1815" s="3"/>
      <c r="B1815" s="3"/>
      <c r="C1815" s="3"/>
      <c r="D1815" s="3"/>
      <c r="E1815" s="3"/>
      <c r="F1815" s="2"/>
      <c r="G1815" s="2"/>
      <c r="I1815" s="1"/>
      <c r="J1815" s="1"/>
    </row>
    <row r="1816" spans="1:10" ht="12.75" x14ac:dyDescent="0.2">
      <c r="A1816" s="3"/>
      <c r="B1816" s="3"/>
      <c r="C1816" s="3"/>
      <c r="D1816" s="3"/>
      <c r="E1816" s="3"/>
      <c r="F1816" s="2"/>
      <c r="G1816" s="2"/>
      <c r="I1816" s="1"/>
      <c r="J1816" s="1"/>
    </row>
    <row r="1817" spans="1:10" ht="12.75" x14ac:dyDescent="0.2">
      <c r="A1817" s="3"/>
      <c r="B1817" s="3"/>
      <c r="C1817" s="3"/>
      <c r="D1817" s="3"/>
      <c r="E1817" s="3"/>
      <c r="F1817" s="2"/>
      <c r="G1817" s="2"/>
      <c r="I1817" s="1"/>
      <c r="J1817" s="1"/>
    </row>
    <row r="1818" spans="1:10" ht="12.75" x14ac:dyDescent="0.2">
      <c r="A1818" s="3"/>
      <c r="B1818" s="3"/>
      <c r="C1818" s="3"/>
      <c r="D1818" s="3"/>
      <c r="E1818" s="3"/>
      <c r="F1818" s="2"/>
      <c r="G1818" s="2"/>
      <c r="I1818" s="1"/>
      <c r="J1818" s="1"/>
    </row>
    <row r="1819" spans="1:10" ht="12.75" x14ac:dyDescent="0.2">
      <c r="A1819" s="3"/>
      <c r="B1819" s="3"/>
      <c r="C1819" s="3"/>
      <c r="D1819" s="3"/>
      <c r="E1819" s="3"/>
      <c r="F1819" s="2"/>
      <c r="G1819" s="2"/>
      <c r="I1819" s="1"/>
      <c r="J1819" s="1"/>
    </row>
    <row r="1820" spans="1:10" ht="12.75" x14ac:dyDescent="0.2">
      <c r="A1820" s="3"/>
      <c r="B1820" s="3"/>
      <c r="C1820" s="3"/>
      <c r="D1820" s="3"/>
      <c r="E1820" s="3"/>
      <c r="F1820" s="2"/>
      <c r="G1820" s="2"/>
      <c r="I1820" s="1"/>
      <c r="J1820" s="1"/>
    </row>
    <row r="1821" spans="1:10" ht="12.75" x14ac:dyDescent="0.2">
      <c r="A1821" s="3"/>
      <c r="B1821" s="3"/>
      <c r="C1821" s="3"/>
      <c r="D1821" s="3"/>
      <c r="E1821" s="3"/>
      <c r="F1821" s="2"/>
      <c r="G1821" s="2"/>
      <c r="I1821" s="1"/>
      <c r="J1821" s="1"/>
    </row>
    <row r="1822" spans="1:10" ht="12.75" x14ac:dyDescent="0.2">
      <c r="A1822" s="3"/>
      <c r="B1822" s="3"/>
      <c r="C1822" s="3"/>
      <c r="D1822" s="3"/>
      <c r="E1822" s="3"/>
      <c r="F1822" s="2"/>
      <c r="G1822" s="2"/>
      <c r="I1822" s="1"/>
      <c r="J1822" s="1"/>
    </row>
    <row r="1823" spans="1:10" ht="12.75" x14ac:dyDescent="0.2">
      <c r="A1823" s="3"/>
      <c r="B1823" s="3"/>
      <c r="C1823" s="3"/>
      <c r="D1823" s="3"/>
      <c r="E1823" s="3"/>
      <c r="F1823" s="2"/>
      <c r="G1823" s="2"/>
      <c r="I1823" s="1"/>
      <c r="J1823" s="1"/>
    </row>
    <row r="1824" spans="1:10" ht="12.75" x14ac:dyDescent="0.2">
      <c r="A1824" s="3"/>
      <c r="B1824" s="3"/>
      <c r="C1824" s="3"/>
      <c r="D1824" s="3"/>
      <c r="E1824" s="3"/>
      <c r="F1824" s="2"/>
      <c r="G1824" s="2"/>
      <c r="I1824" s="1"/>
      <c r="J1824" s="1"/>
    </row>
    <row r="1825" spans="1:10" ht="12.75" x14ac:dyDescent="0.2">
      <c r="A1825" s="3"/>
      <c r="B1825" s="3"/>
      <c r="C1825" s="3"/>
      <c r="D1825" s="3"/>
      <c r="E1825" s="3"/>
      <c r="F1825" s="2"/>
      <c r="G1825" s="2"/>
      <c r="I1825" s="1"/>
      <c r="J1825" s="1"/>
    </row>
    <row r="1826" spans="1:10" ht="12.75" x14ac:dyDescent="0.2">
      <c r="A1826" s="3"/>
      <c r="B1826" s="3"/>
      <c r="C1826" s="3"/>
      <c r="D1826" s="3"/>
      <c r="E1826" s="3"/>
      <c r="F1826" s="2"/>
      <c r="G1826" s="2"/>
      <c r="I1826" s="1"/>
      <c r="J1826" s="1"/>
    </row>
    <row r="1827" spans="1:10" ht="12.75" x14ac:dyDescent="0.2">
      <c r="A1827" s="3"/>
      <c r="B1827" s="3"/>
      <c r="C1827" s="3"/>
      <c r="D1827" s="3"/>
      <c r="E1827" s="3"/>
      <c r="F1827" s="2"/>
      <c r="G1827" s="2"/>
      <c r="I1827" s="1"/>
      <c r="J1827" s="1"/>
    </row>
    <row r="1828" spans="1:10" ht="12.75" x14ac:dyDescent="0.2">
      <c r="A1828" s="3"/>
      <c r="B1828" s="3"/>
      <c r="C1828" s="3"/>
      <c r="D1828" s="3"/>
      <c r="E1828" s="3"/>
      <c r="F1828" s="2"/>
      <c r="G1828" s="2"/>
      <c r="I1828" s="1"/>
      <c r="J1828" s="1"/>
    </row>
    <row r="1829" spans="1:10" ht="12.75" x14ac:dyDescent="0.2">
      <c r="A1829" s="3"/>
      <c r="B1829" s="3"/>
      <c r="C1829" s="3"/>
      <c r="D1829" s="3"/>
      <c r="E1829" s="3"/>
      <c r="F1829" s="2"/>
      <c r="G1829" s="2"/>
      <c r="I1829" s="1"/>
      <c r="J1829" s="1"/>
    </row>
    <row r="1830" spans="1:10" ht="12.75" x14ac:dyDescent="0.2">
      <c r="A1830" s="3"/>
      <c r="B1830" s="3"/>
      <c r="C1830" s="3"/>
      <c r="D1830" s="3"/>
      <c r="E1830" s="3"/>
      <c r="F1830" s="2"/>
      <c r="G1830" s="2"/>
      <c r="I1830" s="1"/>
      <c r="J1830" s="1"/>
    </row>
    <row r="1831" spans="1:10" ht="12.75" x14ac:dyDescent="0.2">
      <c r="A1831" s="3"/>
      <c r="B1831" s="3"/>
      <c r="C1831" s="3"/>
      <c r="D1831" s="3"/>
      <c r="E1831" s="3"/>
      <c r="F1831" s="2"/>
      <c r="G1831" s="2"/>
      <c r="I1831" s="1"/>
      <c r="J1831" s="1"/>
    </row>
    <row r="1832" spans="1:10" ht="12.75" x14ac:dyDescent="0.2">
      <c r="A1832" s="3"/>
      <c r="B1832" s="3"/>
      <c r="C1832" s="3"/>
      <c r="D1832" s="3"/>
      <c r="E1832" s="3"/>
      <c r="F1832" s="2"/>
      <c r="G1832" s="2"/>
      <c r="I1832" s="1"/>
      <c r="J1832" s="1"/>
    </row>
    <row r="1833" spans="1:10" ht="12.75" x14ac:dyDescent="0.2">
      <c r="A1833" s="3"/>
      <c r="B1833" s="3"/>
      <c r="C1833" s="3"/>
      <c r="D1833" s="3"/>
      <c r="E1833" s="3"/>
      <c r="F1833" s="2"/>
      <c r="G1833" s="2"/>
      <c r="I1833" s="1"/>
      <c r="J1833" s="1"/>
    </row>
    <row r="1834" spans="1:10" ht="12.75" x14ac:dyDescent="0.2">
      <c r="A1834" s="3"/>
      <c r="B1834" s="3"/>
      <c r="C1834" s="3"/>
      <c r="D1834" s="3"/>
      <c r="E1834" s="3"/>
      <c r="F1834" s="2"/>
      <c r="G1834" s="2"/>
      <c r="I1834" s="1"/>
      <c r="J1834" s="1"/>
    </row>
    <row r="1835" spans="1:10" ht="12.75" x14ac:dyDescent="0.2">
      <c r="A1835" s="3"/>
      <c r="B1835" s="3"/>
      <c r="C1835" s="3"/>
      <c r="D1835" s="3"/>
      <c r="E1835" s="3"/>
      <c r="F1835" s="2"/>
      <c r="G1835" s="2"/>
      <c r="I1835" s="1"/>
      <c r="J1835" s="1"/>
    </row>
    <row r="1836" spans="1:10" ht="12.75" x14ac:dyDescent="0.2">
      <c r="A1836" s="3"/>
      <c r="B1836" s="3"/>
      <c r="C1836" s="3"/>
      <c r="D1836" s="3"/>
      <c r="E1836" s="3"/>
      <c r="F1836" s="2"/>
      <c r="G1836" s="2"/>
      <c r="I1836" s="1"/>
      <c r="J1836" s="1"/>
    </row>
    <row r="1837" spans="1:10" ht="12.75" x14ac:dyDescent="0.2">
      <c r="A1837" s="3"/>
      <c r="B1837" s="3"/>
      <c r="C1837" s="3"/>
      <c r="D1837" s="3"/>
      <c r="E1837" s="3"/>
      <c r="F1837" s="2"/>
      <c r="G1837" s="2"/>
      <c r="I1837" s="1"/>
      <c r="J1837" s="1"/>
    </row>
    <row r="1838" spans="1:10" ht="12.75" x14ac:dyDescent="0.2">
      <c r="A1838" s="3"/>
      <c r="B1838" s="3"/>
      <c r="C1838" s="3"/>
      <c r="D1838" s="3"/>
      <c r="E1838" s="3"/>
      <c r="F1838" s="2"/>
      <c r="G1838" s="2"/>
      <c r="I1838" s="1"/>
      <c r="J1838" s="1"/>
    </row>
    <row r="1839" spans="1:10" ht="12.75" x14ac:dyDescent="0.2">
      <c r="A1839" s="3"/>
      <c r="B1839" s="3"/>
      <c r="C1839" s="3"/>
      <c r="D1839" s="3"/>
      <c r="E1839" s="3"/>
      <c r="F1839" s="2"/>
      <c r="G1839" s="2"/>
      <c r="I1839" s="1"/>
      <c r="J1839" s="1"/>
    </row>
    <row r="1840" spans="1:10" ht="12.75" x14ac:dyDescent="0.2">
      <c r="A1840" s="3"/>
      <c r="B1840" s="3"/>
      <c r="C1840" s="3"/>
      <c r="D1840" s="3"/>
      <c r="E1840" s="3"/>
      <c r="F1840" s="2"/>
      <c r="G1840" s="2"/>
      <c r="I1840" s="1"/>
      <c r="J1840" s="1"/>
    </row>
    <row r="1841" spans="1:10" ht="12.75" x14ac:dyDescent="0.2">
      <c r="A1841" s="3"/>
      <c r="B1841" s="3"/>
      <c r="C1841" s="3"/>
      <c r="D1841" s="3"/>
      <c r="E1841" s="3"/>
      <c r="F1841" s="2"/>
      <c r="G1841" s="2"/>
      <c r="I1841" s="1"/>
      <c r="J1841" s="1"/>
    </row>
    <row r="1842" spans="1:10" ht="12.75" x14ac:dyDescent="0.2">
      <c r="A1842" s="3"/>
      <c r="B1842" s="3"/>
      <c r="C1842" s="3"/>
      <c r="D1842" s="3"/>
      <c r="E1842" s="3"/>
      <c r="F1842" s="2"/>
      <c r="G1842" s="2"/>
      <c r="I1842" s="1"/>
      <c r="J1842" s="1"/>
    </row>
    <row r="1843" spans="1:10" ht="12.75" x14ac:dyDescent="0.2">
      <c r="A1843" s="3"/>
      <c r="B1843" s="3"/>
      <c r="C1843" s="3"/>
      <c r="D1843" s="3"/>
      <c r="E1843" s="3"/>
      <c r="F1843" s="2"/>
      <c r="G1843" s="2"/>
      <c r="I1843" s="1"/>
      <c r="J1843" s="1"/>
    </row>
    <row r="1844" spans="1:10" ht="12.75" x14ac:dyDescent="0.2">
      <c r="A1844" s="3"/>
      <c r="B1844" s="3"/>
      <c r="C1844" s="3"/>
      <c r="D1844" s="3"/>
      <c r="E1844" s="3"/>
      <c r="F1844" s="2"/>
      <c r="G1844" s="2"/>
      <c r="I1844" s="1"/>
      <c r="J1844" s="1"/>
    </row>
    <row r="1845" spans="1:10" ht="12.75" x14ac:dyDescent="0.2">
      <c r="A1845" s="3"/>
      <c r="B1845" s="3"/>
      <c r="C1845" s="3"/>
      <c r="D1845" s="3"/>
      <c r="E1845" s="3"/>
      <c r="F1845" s="2"/>
      <c r="G1845" s="2"/>
      <c r="I1845" s="1"/>
      <c r="J1845" s="1"/>
    </row>
    <row r="1846" spans="1:10" ht="12.75" x14ac:dyDescent="0.2">
      <c r="A1846" s="3"/>
      <c r="B1846" s="3"/>
      <c r="C1846" s="3"/>
      <c r="D1846" s="3"/>
      <c r="E1846" s="3"/>
      <c r="F1846" s="2"/>
      <c r="G1846" s="2"/>
      <c r="I1846" s="1"/>
      <c r="J1846" s="1"/>
    </row>
    <row r="1847" spans="1:10" ht="12.75" x14ac:dyDescent="0.2">
      <c r="A1847" s="3"/>
      <c r="B1847" s="3"/>
      <c r="C1847" s="3"/>
      <c r="D1847" s="3"/>
      <c r="E1847" s="3"/>
      <c r="F1847" s="2"/>
      <c r="G1847" s="2"/>
      <c r="I1847" s="1"/>
      <c r="J1847" s="1"/>
    </row>
    <row r="1848" spans="1:10" ht="12.75" x14ac:dyDescent="0.2">
      <c r="A1848" s="3"/>
      <c r="B1848" s="3"/>
      <c r="C1848" s="3"/>
      <c r="D1848" s="3"/>
      <c r="E1848" s="3"/>
      <c r="F1848" s="2"/>
      <c r="G1848" s="2"/>
      <c r="I1848" s="1"/>
      <c r="J1848" s="1"/>
    </row>
    <row r="1849" spans="1:10" ht="12.75" x14ac:dyDescent="0.2">
      <c r="A1849" s="3"/>
      <c r="B1849" s="3"/>
      <c r="C1849" s="3"/>
      <c r="D1849" s="3"/>
      <c r="E1849" s="3"/>
      <c r="F1849" s="2"/>
      <c r="G1849" s="2"/>
      <c r="I1849" s="1"/>
      <c r="J1849" s="1"/>
    </row>
    <row r="1850" spans="1:10" ht="12.75" x14ac:dyDescent="0.2">
      <c r="A1850" s="3"/>
      <c r="B1850" s="3"/>
      <c r="C1850" s="3"/>
      <c r="D1850" s="3"/>
      <c r="E1850" s="3"/>
      <c r="F1850" s="2"/>
      <c r="G1850" s="2"/>
      <c r="I1850" s="1"/>
      <c r="J1850" s="1"/>
    </row>
    <row r="1851" spans="1:10" ht="12.75" x14ac:dyDescent="0.2">
      <c r="A1851" s="3"/>
      <c r="B1851" s="3"/>
      <c r="C1851" s="3"/>
      <c r="D1851" s="3"/>
      <c r="E1851" s="3"/>
      <c r="F1851" s="2"/>
      <c r="G1851" s="2"/>
      <c r="I1851" s="1"/>
      <c r="J1851" s="1"/>
    </row>
    <row r="1852" spans="1:10" ht="12.75" x14ac:dyDescent="0.2">
      <c r="A1852" s="3"/>
      <c r="B1852" s="3"/>
      <c r="C1852" s="3"/>
      <c r="D1852" s="3"/>
      <c r="E1852" s="3"/>
      <c r="F1852" s="2"/>
      <c r="G1852" s="2"/>
      <c r="I1852" s="1"/>
      <c r="J1852" s="1"/>
    </row>
    <row r="1853" spans="1:10" ht="12.75" x14ac:dyDescent="0.2">
      <c r="A1853" s="3"/>
      <c r="B1853" s="3"/>
      <c r="C1853" s="3"/>
      <c r="D1853" s="3"/>
      <c r="E1853" s="3"/>
      <c r="F1853" s="2"/>
      <c r="G1853" s="2"/>
      <c r="I1853" s="1"/>
      <c r="J1853" s="1"/>
    </row>
    <row r="1854" spans="1:10" ht="12.75" x14ac:dyDescent="0.2">
      <c r="A1854" s="3"/>
      <c r="B1854" s="3"/>
      <c r="C1854" s="3"/>
      <c r="D1854" s="3"/>
      <c r="E1854" s="3"/>
      <c r="F1854" s="2"/>
      <c r="G1854" s="2"/>
      <c r="I1854" s="1"/>
      <c r="J1854" s="1"/>
    </row>
    <row r="1855" spans="1:10" ht="12.75" x14ac:dyDescent="0.2">
      <c r="A1855" s="3"/>
      <c r="B1855" s="3"/>
      <c r="C1855" s="3"/>
      <c r="D1855" s="3"/>
      <c r="E1855" s="3"/>
      <c r="F1855" s="2"/>
      <c r="G1855" s="2"/>
      <c r="I1855" s="1"/>
      <c r="J1855" s="1"/>
    </row>
    <row r="1856" spans="1:10" ht="12.75" x14ac:dyDescent="0.2">
      <c r="A1856" s="3"/>
      <c r="B1856" s="3"/>
      <c r="C1856" s="3"/>
      <c r="D1856" s="3"/>
      <c r="E1856" s="3"/>
      <c r="F1856" s="2"/>
      <c r="G1856" s="2"/>
      <c r="I1856" s="1"/>
      <c r="J1856" s="1"/>
    </row>
    <row r="1857" spans="1:10" ht="12.75" x14ac:dyDescent="0.2">
      <c r="A1857" s="3"/>
      <c r="B1857" s="3"/>
      <c r="C1857" s="3"/>
      <c r="D1857" s="3"/>
      <c r="E1857" s="3"/>
      <c r="F1857" s="2"/>
      <c r="G1857" s="2"/>
      <c r="I1857" s="1"/>
      <c r="J1857" s="1"/>
    </row>
    <row r="1858" spans="1:10" ht="12.75" x14ac:dyDescent="0.2">
      <c r="A1858" s="3"/>
      <c r="B1858" s="3"/>
      <c r="C1858" s="3"/>
      <c r="D1858" s="3"/>
      <c r="E1858" s="3"/>
      <c r="F1858" s="2"/>
      <c r="G1858" s="2"/>
      <c r="I1858" s="1"/>
      <c r="J1858" s="1"/>
    </row>
    <row r="1859" spans="1:10" ht="12.75" x14ac:dyDescent="0.2">
      <c r="A1859" s="3"/>
      <c r="B1859" s="3"/>
      <c r="C1859" s="3"/>
      <c r="D1859" s="3"/>
      <c r="E1859" s="3"/>
      <c r="F1859" s="2"/>
      <c r="G1859" s="2"/>
      <c r="I1859" s="1"/>
      <c r="J1859" s="1"/>
    </row>
    <row r="1860" spans="1:10" ht="12.75" x14ac:dyDescent="0.2">
      <c r="A1860" s="3"/>
      <c r="B1860" s="3"/>
      <c r="C1860" s="3"/>
      <c r="D1860" s="3"/>
      <c r="E1860" s="3"/>
      <c r="F1860" s="2"/>
      <c r="G1860" s="2"/>
      <c r="I1860" s="1"/>
      <c r="J1860" s="1"/>
    </row>
    <row r="1861" spans="1:10" ht="12.75" x14ac:dyDescent="0.2">
      <c r="A1861" s="3"/>
      <c r="B1861" s="3"/>
      <c r="C1861" s="3"/>
      <c r="D1861" s="3"/>
      <c r="E1861" s="3"/>
      <c r="F1861" s="2"/>
      <c r="G1861" s="2"/>
      <c r="I1861" s="1"/>
      <c r="J1861" s="1"/>
    </row>
    <row r="1862" spans="1:10" ht="12.75" x14ac:dyDescent="0.2">
      <c r="A1862" s="3"/>
      <c r="B1862" s="3"/>
      <c r="C1862" s="3"/>
      <c r="D1862" s="3"/>
      <c r="E1862" s="3"/>
      <c r="F1862" s="2"/>
      <c r="G1862" s="2"/>
      <c r="I1862" s="1"/>
      <c r="J1862" s="1"/>
    </row>
    <row r="1863" spans="1:10" ht="12.75" x14ac:dyDescent="0.2">
      <c r="A1863" s="3"/>
      <c r="B1863" s="3"/>
      <c r="C1863" s="3"/>
      <c r="D1863" s="3"/>
      <c r="E1863" s="3"/>
      <c r="F1863" s="2"/>
      <c r="G1863" s="2"/>
      <c r="I1863" s="1"/>
      <c r="J1863" s="1"/>
    </row>
    <row r="1864" spans="1:10" ht="12.75" x14ac:dyDescent="0.2">
      <c r="A1864" s="3"/>
      <c r="B1864" s="3"/>
      <c r="C1864" s="3"/>
      <c r="D1864" s="3"/>
      <c r="E1864" s="3"/>
      <c r="F1864" s="2"/>
      <c r="G1864" s="2"/>
      <c r="I1864" s="1"/>
      <c r="J1864" s="1"/>
    </row>
    <row r="1865" spans="1:10" ht="12.75" x14ac:dyDescent="0.2">
      <c r="A1865" s="3"/>
      <c r="B1865" s="3"/>
      <c r="C1865" s="3"/>
      <c r="D1865" s="3"/>
      <c r="E1865" s="3"/>
      <c r="F1865" s="2"/>
      <c r="G1865" s="2"/>
      <c r="I1865" s="1"/>
      <c r="J1865" s="1"/>
    </row>
    <row r="1866" spans="1:10" ht="12.75" x14ac:dyDescent="0.2">
      <c r="A1866" s="3"/>
      <c r="B1866" s="3"/>
      <c r="C1866" s="3"/>
      <c r="D1866" s="3"/>
      <c r="E1866" s="3"/>
      <c r="F1866" s="2"/>
      <c r="G1866" s="2"/>
      <c r="I1866" s="1"/>
      <c r="J1866" s="1"/>
    </row>
    <row r="1867" spans="1:10" ht="12.75" x14ac:dyDescent="0.2">
      <c r="A1867" s="3"/>
      <c r="B1867" s="3"/>
      <c r="C1867" s="3"/>
      <c r="D1867" s="3"/>
      <c r="E1867" s="3"/>
      <c r="F1867" s="2"/>
      <c r="G1867" s="2"/>
      <c r="I1867" s="1"/>
      <c r="J1867" s="1"/>
    </row>
    <row r="1868" spans="1:10" ht="12.75" x14ac:dyDescent="0.2">
      <c r="A1868" s="3"/>
      <c r="B1868" s="3"/>
      <c r="C1868" s="3"/>
      <c r="D1868" s="3"/>
      <c r="E1868" s="3"/>
      <c r="F1868" s="2"/>
      <c r="G1868" s="2"/>
      <c r="I1868" s="1"/>
      <c r="J1868" s="1"/>
    </row>
    <row r="1869" spans="1:10" ht="12.75" x14ac:dyDescent="0.2">
      <c r="A1869" s="3"/>
      <c r="B1869" s="3"/>
      <c r="C1869" s="3"/>
      <c r="D1869" s="3"/>
      <c r="E1869" s="3"/>
      <c r="F1869" s="2"/>
      <c r="G1869" s="2"/>
      <c r="I1869" s="1"/>
      <c r="J1869" s="1"/>
    </row>
    <row r="1870" spans="1:10" ht="12.75" x14ac:dyDescent="0.2">
      <c r="A1870" s="3"/>
      <c r="B1870" s="3"/>
      <c r="C1870" s="3"/>
      <c r="D1870" s="3"/>
      <c r="E1870" s="3"/>
      <c r="F1870" s="2"/>
      <c r="G1870" s="2"/>
      <c r="I1870" s="1"/>
      <c r="J1870" s="1"/>
    </row>
    <row r="1871" spans="1:10" ht="12.75" x14ac:dyDescent="0.2">
      <c r="A1871" s="3"/>
      <c r="B1871" s="3"/>
      <c r="C1871" s="3"/>
      <c r="D1871" s="3"/>
      <c r="E1871" s="3"/>
      <c r="F1871" s="2"/>
      <c r="G1871" s="2"/>
      <c r="I1871" s="1"/>
      <c r="J1871" s="1"/>
    </row>
    <row r="1872" spans="1:10" ht="12.75" x14ac:dyDescent="0.2">
      <c r="A1872" s="3"/>
      <c r="B1872" s="3"/>
      <c r="C1872" s="3"/>
      <c r="D1872" s="3"/>
      <c r="E1872" s="3"/>
      <c r="F1872" s="2"/>
      <c r="G1872" s="2"/>
      <c r="I1872" s="1"/>
      <c r="J1872" s="1"/>
    </row>
    <row r="1873" spans="1:10" ht="12.75" x14ac:dyDescent="0.2">
      <c r="A1873" s="3"/>
      <c r="B1873" s="3"/>
      <c r="C1873" s="3"/>
      <c r="D1873" s="3"/>
      <c r="E1873" s="3"/>
      <c r="F1873" s="2"/>
      <c r="G1873" s="2"/>
      <c r="I1873" s="1"/>
      <c r="J1873" s="1"/>
    </row>
    <row r="1874" spans="1:10" ht="12.75" x14ac:dyDescent="0.2">
      <c r="A1874" s="3"/>
      <c r="B1874" s="3"/>
      <c r="C1874" s="3"/>
      <c r="D1874" s="3"/>
      <c r="E1874" s="3"/>
      <c r="F1874" s="2"/>
      <c r="G1874" s="2"/>
      <c r="I1874" s="1"/>
      <c r="J1874" s="1"/>
    </row>
    <row r="1875" spans="1:10" ht="12.75" x14ac:dyDescent="0.2">
      <c r="A1875" s="3"/>
      <c r="B1875" s="3"/>
      <c r="C1875" s="3"/>
      <c r="D1875" s="3"/>
      <c r="E1875" s="3"/>
      <c r="F1875" s="2"/>
      <c r="G1875" s="2"/>
      <c r="I1875" s="1"/>
      <c r="J1875" s="1"/>
    </row>
    <row r="1876" spans="1:10" ht="12.75" x14ac:dyDescent="0.2">
      <c r="A1876" s="3"/>
      <c r="B1876" s="3"/>
      <c r="C1876" s="3"/>
      <c r="D1876" s="3"/>
      <c r="E1876" s="3"/>
      <c r="F1876" s="2"/>
      <c r="G1876" s="2"/>
      <c r="I1876" s="1"/>
      <c r="J1876" s="1"/>
    </row>
    <row r="1877" spans="1:10" ht="12.75" x14ac:dyDescent="0.2">
      <c r="A1877" s="3"/>
      <c r="B1877" s="3"/>
      <c r="C1877" s="3"/>
      <c r="D1877" s="3"/>
      <c r="E1877" s="3"/>
      <c r="F1877" s="2"/>
      <c r="G1877" s="2"/>
      <c r="I1877" s="1"/>
      <c r="J1877" s="1"/>
    </row>
    <row r="1878" spans="1:10" ht="12.75" x14ac:dyDescent="0.2">
      <c r="A1878" s="3"/>
      <c r="B1878" s="3"/>
      <c r="C1878" s="3"/>
      <c r="D1878" s="3"/>
      <c r="E1878" s="3"/>
      <c r="F1878" s="2"/>
      <c r="G1878" s="2"/>
      <c r="I1878" s="1"/>
      <c r="J1878" s="1"/>
    </row>
    <row r="1879" spans="1:10" ht="12.75" x14ac:dyDescent="0.2">
      <c r="A1879" s="3"/>
      <c r="B1879" s="3"/>
      <c r="C1879" s="3"/>
      <c r="D1879" s="3"/>
      <c r="E1879" s="3"/>
      <c r="F1879" s="2"/>
      <c r="G1879" s="2"/>
      <c r="I1879" s="1"/>
      <c r="J1879" s="1"/>
    </row>
    <row r="1880" spans="1:10" ht="12.75" x14ac:dyDescent="0.2">
      <c r="A1880" s="3"/>
      <c r="B1880" s="3"/>
      <c r="C1880" s="3"/>
      <c r="D1880" s="3"/>
      <c r="E1880" s="3"/>
      <c r="F1880" s="2"/>
      <c r="G1880" s="2"/>
      <c r="I1880" s="1"/>
      <c r="J1880" s="1"/>
    </row>
    <row r="1881" spans="1:10" ht="12.75" x14ac:dyDescent="0.2">
      <c r="A1881" s="3"/>
      <c r="B1881" s="3"/>
      <c r="C1881" s="3"/>
      <c r="D1881" s="3"/>
      <c r="E1881" s="3"/>
      <c r="F1881" s="2"/>
      <c r="G1881" s="2"/>
      <c r="I1881" s="1"/>
      <c r="J1881" s="1"/>
    </row>
    <row r="1882" spans="1:10" ht="12.75" x14ac:dyDescent="0.2">
      <c r="A1882" s="3"/>
      <c r="B1882" s="3"/>
      <c r="C1882" s="3"/>
      <c r="D1882" s="3"/>
      <c r="E1882" s="3"/>
      <c r="F1882" s="2"/>
      <c r="G1882" s="2"/>
      <c r="I1882" s="1"/>
      <c r="J1882" s="1"/>
    </row>
    <row r="1883" spans="1:10" ht="12.75" x14ac:dyDescent="0.2">
      <c r="A1883" s="3"/>
      <c r="B1883" s="3"/>
      <c r="C1883" s="3"/>
      <c r="D1883" s="3"/>
      <c r="E1883" s="3"/>
      <c r="F1883" s="2"/>
      <c r="G1883" s="2"/>
      <c r="I1883" s="1"/>
      <c r="J1883" s="1"/>
    </row>
    <row r="1884" spans="1:10" ht="12.75" x14ac:dyDescent="0.2">
      <c r="A1884" s="3"/>
      <c r="B1884" s="3"/>
      <c r="C1884" s="3"/>
      <c r="D1884" s="3"/>
      <c r="E1884" s="3"/>
      <c r="F1884" s="2"/>
      <c r="G1884" s="2"/>
      <c r="I1884" s="1"/>
      <c r="J1884" s="1"/>
    </row>
    <row r="1885" spans="1:10" ht="12.75" x14ac:dyDescent="0.2">
      <c r="A1885" s="3"/>
      <c r="B1885" s="3"/>
      <c r="C1885" s="3"/>
      <c r="D1885" s="3"/>
      <c r="E1885" s="3"/>
      <c r="F1885" s="2"/>
      <c r="G1885" s="2"/>
      <c r="I1885" s="1"/>
      <c r="J1885" s="1"/>
    </row>
    <row r="1886" spans="1:10" ht="12.75" x14ac:dyDescent="0.2">
      <c r="A1886" s="3"/>
      <c r="B1886" s="3"/>
      <c r="C1886" s="3"/>
      <c r="D1886" s="3"/>
      <c r="E1886" s="3"/>
      <c r="F1886" s="2"/>
      <c r="G1886" s="2"/>
      <c r="I1886" s="1"/>
      <c r="J1886" s="1"/>
    </row>
    <row r="1887" spans="1:10" ht="12.75" x14ac:dyDescent="0.2">
      <c r="A1887" s="3"/>
      <c r="B1887" s="3"/>
      <c r="C1887" s="3"/>
      <c r="D1887" s="3"/>
      <c r="E1887" s="3"/>
      <c r="F1887" s="2"/>
      <c r="G1887" s="2"/>
      <c r="I1887" s="1"/>
      <c r="J1887" s="1"/>
    </row>
    <row r="1888" spans="1:10" ht="12.75" x14ac:dyDescent="0.2">
      <c r="A1888" s="3"/>
      <c r="B1888" s="3"/>
      <c r="C1888" s="3"/>
      <c r="D1888" s="3"/>
      <c r="E1888" s="3"/>
      <c r="F1888" s="2"/>
      <c r="G1888" s="2"/>
      <c r="I1888" s="1"/>
      <c r="J1888" s="1"/>
    </row>
    <row r="1889" spans="1:10" ht="12.75" x14ac:dyDescent="0.2">
      <c r="A1889" s="3"/>
      <c r="B1889" s="3"/>
      <c r="C1889" s="3"/>
      <c r="D1889" s="3"/>
      <c r="E1889" s="3"/>
      <c r="F1889" s="2"/>
      <c r="G1889" s="2"/>
      <c r="I1889" s="1"/>
      <c r="J1889" s="1"/>
    </row>
    <row r="1890" spans="1:10" ht="12.75" x14ac:dyDescent="0.2">
      <c r="A1890" s="3"/>
      <c r="B1890" s="3"/>
      <c r="C1890" s="3"/>
      <c r="D1890" s="3"/>
      <c r="E1890" s="3"/>
      <c r="F1890" s="2"/>
      <c r="G1890" s="2"/>
      <c r="I1890" s="1"/>
      <c r="J1890" s="1"/>
    </row>
    <row r="1891" spans="1:10" ht="12.75" x14ac:dyDescent="0.2">
      <c r="A1891" s="3"/>
      <c r="B1891" s="3"/>
      <c r="C1891" s="3"/>
      <c r="D1891" s="3"/>
      <c r="E1891" s="3"/>
      <c r="F1891" s="2"/>
      <c r="G1891" s="2"/>
      <c r="I1891" s="1"/>
      <c r="J1891" s="1"/>
    </row>
    <row r="1892" spans="1:10" ht="12.75" x14ac:dyDescent="0.2">
      <c r="A1892" s="3"/>
      <c r="B1892" s="3"/>
      <c r="C1892" s="3"/>
      <c r="D1892" s="3"/>
      <c r="E1892" s="3"/>
      <c r="F1892" s="2"/>
      <c r="G1892" s="2"/>
      <c r="I1892" s="1"/>
      <c r="J1892" s="1"/>
    </row>
    <row r="1893" spans="1:10" ht="12.75" x14ac:dyDescent="0.2">
      <c r="A1893" s="3"/>
      <c r="B1893" s="3"/>
      <c r="C1893" s="3"/>
      <c r="D1893" s="3"/>
      <c r="E1893" s="3"/>
      <c r="F1893" s="2"/>
      <c r="G1893" s="2"/>
      <c r="I1893" s="1"/>
      <c r="J1893" s="1"/>
    </row>
    <row r="1894" spans="1:10" ht="12.75" x14ac:dyDescent="0.2">
      <c r="A1894" s="3"/>
      <c r="B1894" s="3"/>
      <c r="C1894" s="3"/>
      <c r="D1894" s="3"/>
      <c r="E1894" s="3"/>
      <c r="F1894" s="2"/>
      <c r="G1894" s="2"/>
      <c r="I1894" s="1"/>
      <c r="J1894" s="1"/>
    </row>
    <row r="1895" spans="1:10" ht="12.75" x14ac:dyDescent="0.2">
      <c r="A1895" s="3"/>
      <c r="B1895" s="3"/>
      <c r="C1895" s="3"/>
      <c r="D1895" s="3"/>
      <c r="E1895" s="3"/>
      <c r="F1895" s="2"/>
      <c r="G1895" s="2"/>
      <c r="I1895" s="1"/>
      <c r="J1895" s="1"/>
    </row>
    <row r="1896" spans="1:10" ht="12.75" x14ac:dyDescent="0.2">
      <c r="A1896" s="3"/>
      <c r="B1896" s="3"/>
      <c r="C1896" s="3"/>
      <c r="D1896" s="3"/>
      <c r="E1896" s="3"/>
      <c r="F1896" s="2"/>
      <c r="G1896" s="2"/>
      <c r="I1896" s="1"/>
      <c r="J1896" s="1"/>
    </row>
    <row r="1897" spans="1:10" ht="12.75" x14ac:dyDescent="0.2">
      <c r="A1897" s="3"/>
      <c r="B1897" s="3"/>
      <c r="C1897" s="3"/>
      <c r="D1897" s="3"/>
      <c r="E1897" s="3"/>
      <c r="F1897" s="2"/>
      <c r="G1897" s="2"/>
      <c r="I1897" s="1"/>
      <c r="J1897" s="1"/>
    </row>
    <row r="1898" spans="1:10" ht="12.75" x14ac:dyDescent="0.2">
      <c r="A1898" s="3"/>
      <c r="B1898" s="3"/>
      <c r="C1898" s="3"/>
      <c r="D1898" s="3"/>
      <c r="E1898" s="3"/>
      <c r="F1898" s="2"/>
      <c r="G1898" s="2"/>
      <c r="I1898" s="1"/>
      <c r="J1898" s="1"/>
    </row>
    <row r="1899" spans="1:10" ht="12.75" x14ac:dyDescent="0.2">
      <c r="A1899" s="3"/>
      <c r="B1899" s="3"/>
      <c r="C1899" s="3"/>
      <c r="D1899" s="3"/>
      <c r="E1899" s="3"/>
      <c r="F1899" s="2"/>
      <c r="G1899" s="2"/>
      <c r="I1899" s="1"/>
      <c r="J1899" s="1"/>
    </row>
    <row r="1900" spans="1:10" ht="12.75" x14ac:dyDescent="0.2">
      <c r="A1900" s="3"/>
      <c r="B1900" s="3"/>
      <c r="C1900" s="3"/>
      <c r="D1900" s="3"/>
      <c r="E1900" s="3"/>
      <c r="F1900" s="2"/>
      <c r="G1900" s="2"/>
      <c r="I1900" s="1"/>
      <c r="J1900" s="1"/>
    </row>
    <row r="1901" spans="1:10" ht="12.75" x14ac:dyDescent="0.2">
      <c r="A1901" s="3"/>
      <c r="B1901" s="3"/>
      <c r="C1901" s="3"/>
      <c r="D1901" s="3"/>
      <c r="E1901" s="3"/>
      <c r="F1901" s="2"/>
      <c r="G1901" s="2"/>
      <c r="I1901" s="1"/>
      <c r="J1901" s="1"/>
    </row>
    <row r="1902" spans="1:10" ht="12.75" x14ac:dyDescent="0.2">
      <c r="A1902" s="3"/>
      <c r="B1902" s="3"/>
      <c r="C1902" s="3"/>
      <c r="D1902" s="3"/>
      <c r="E1902" s="3"/>
      <c r="F1902" s="2"/>
      <c r="G1902" s="2"/>
      <c r="I1902" s="1"/>
      <c r="J1902" s="1"/>
    </row>
    <row r="1903" spans="1:10" ht="12.75" x14ac:dyDescent="0.2">
      <c r="A1903" s="3"/>
      <c r="B1903" s="3"/>
      <c r="C1903" s="3"/>
      <c r="D1903" s="3"/>
      <c r="E1903" s="3"/>
      <c r="F1903" s="2"/>
      <c r="G1903" s="2"/>
      <c r="I1903" s="1"/>
      <c r="J1903" s="1"/>
    </row>
    <row r="1904" spans="1:10" ht="12.75" x14ac:dyDescent="0.2">
      <c r="A1904" s="3"/>
      <c r="B1904" s="3"/>
      <c r="C1904" s="3"/>
      <c r="D1904" s="3"/>
      <c r="E1904" s="3"/>
      <c r="F1904" s="2"/>
      <c r="G1904" s="2"/>
      <c r="I1904" s="1"/>
      <c r="J1904" s="1"/>
    </row>
    <row r="1905" spans="1:10" ht="12.75" x14ac:dyDescent="0.2">
      <c r="A1905" s="3"/>
      <c r="B1905" s="3"/>
      <c r="C1905" s="3"/>
      <c r="D1905" s="3"/>
      <c r="E1905" s="3"/>
      <c r="F1905" s="2"/>
      <c r="G1905" s="2"/>
      <c r="I1905" s="1"/>
      <c r="J1905" s="1"/>
    </row>
    <row r="1906" spans="1:10" ht="12.75" x14ac:dyDescent="0.2">
      <c r="A1906" s="3"/>
      <c r="B1906" s="3"/>
      <c r="C1906" s="3"/>
      <c r="D1906" s="3"/>
      <c r="E1906" s="3"/>
      <c r="F1906" s="2"/>
      <c r="G1906" s="2"/>
      <c r="I1906" s="1"/>
      <c r="J1906" s="1"/>
    </row>
    <row r="1907" spans="1:10" ht="12.75" x14ac:dyDescent="0.2">
      <c r="A1907" s="3"/>
      <c r="B1907" s="3"/>
      <c r="C1907" s="3"/>
      <c r="D1907" s="3"/>
      <c r="E1907" s="3"/>
      <c r="F1907" s="2"/>
      <c r="G1907" s="2"/>
      <c r="I1907" s="1"/>
      <c r="J1907" s="1"/>
    </row>
    <row r="1908" spans="1:10" ht="12.75" x14ac:dyDescent="0.2">
      <c r="A1908" s="3"/>
      <c r="B1908" s="3"/>
      <c r="C1908" s="3"/>
      <c r="D1908" s="3"/>
      <c r="E1908" s="3"/>
      <c r="F1908" s="2"/>
      <c r="G1908" s="2"/>
      <c r="I1908" s="1"/>
      <c r="J1908" s="1"/>
    </row>
    <row r="1909" spans="1:10" ht="12.75" x14ac:dyDescent="0.2">
      <c r="A1909" s="3"/>
      <c r="B1909" s="3"/>
      <c r="C1909" s="3"/>
      <c r="D1909" s="3"/>
      <c r="E1909" s="3"/>
      <c r="F1909" s="2"/>
      <c r="G1909" s="2"/>
      <c r="I1909" s="1"/>
      <c r="J1909" s="1"/>
    </row>
    <row r="1910" spans="1:10" ht="12.75" x14ac:dyDescent="0.2">
      <c r="A1910" s="3"/>
      <c r="B1910" s="3"/>
      <c r="C1910" s="3"/>
      <c r="D1910" s="3"/>
      <c r="E1910" s="3"/>
      <c r="F1910" s="2"/>
      <c r="G1910" s="2"/>
      <c r="I1910" s="1"/>
      <c r="J1910" s="1"/>
    </row>
    <row r="1911" spans="1:10" ht="12.75" x14ac:dyDescent="0.2">
      <c r="A1911" s="3"/>
      <c r="B1911" s="3"/>
      <c r="C1911" s="3"/>
      <c r="D1911" s="3"/>
      <c r="E1911" s="3"/>
      <c r="F1911" s="2"/>
      <c r="G1911" s="2"/>
      <c r="I1911" s="1"/>
      <c r="J1911" s="1"/>
    </row>
    <row r="1912" spans="1:10" ht="12.75" x14ac:dyDescent="0.2">
      <c r="A1912" s="3"/>
      <c r="B1912" s="3"/>
      <c r="C1912" s="3"/>
      <c r="D1912" s="3"/>
      <c r="E1912" s="3"/>
      <c r="F1912" s="2"/>
      <c r="G1912" s="2"/>
      <c r="I1912" s="1"/>
      <c r="J1912" s="1"/>
    </row>
    <row r="1913" spans="1:10" ht="12.75" x14ac:dyDescent="0.2">
      <c r="A1913" s="3"/>
      <c r="B1913" s="3"/>
      <c r="C1913" s="3"/>
      <c r="D1913" s="3"/>
      <c r="E1913" s="3"/>
      <c r="F1913" s="2"/>
      <c r="G1913" s="2"/>
      <c r="I1913" s="1"/>
      <c r="J1913" s="1"/>
    </row>
    <row r="1914" spans="1:10" ht="12.75" x14ac:dyDescent="0.2">
      <c r="A1914" s="3"/>
      <c r="B1914" s="3"/>
      <c r="C1914" s="3"/>
      <c r="D1914" s="3"/>
      <c r="E1914" s="3"/>
      <c r="F1914" s="2"/>
      <c r="G1914" s="2"/>
      <c r="I1914" s="1"/>
      <c r="J1914" s="1"/>
    </row>
    <row r="1915" spans="1:10" ht="12.75" x14ac:dyDescent="0.2">
      <c r="A1915" s="3"/>
      <c r="B1915" s="3"/>
      <c r="C1915" s="3"/>
      <c r="D1915" s="3"/>
      <c r="E1915" s="3"/>
      <c r="F1915" s="2"/>
      <c r="G1915" s="2"/>
      <c r="I1915" s="1"/>
      <c r="J1915" s="1"/>
    </row>
    <row r="1916" spans="1:10" ht="12.75" x14ac:dyDescent="0.2">
      <c r="A1916" s="3"/>
      <c r="B1916" s="3"/>
      <c r="C1916" s="3"/>
      <c r="D1916" s="3"/>
      <c r="E1916" s="3"/>
      <c r="F1916" s="2"/>
      <c r="G1916" s="2"/>
      <c r="I1916" s="1"/>
      <c r="J1916" s="1"/>
    </row>
    <row r="1917" spans="1:10" ht="12.75" x14ac:dyDescent="0.2">
      <c r="A1917" s="3"/>
      <c r="B1917" s="3"/>
      <c r="C1917" s="3"/>
      <c r="D1917" s="3"/>
      <c r="E1917" s="3"/>
      <c r="F1917" s="2"/>
      <c r="G1917" s="2"/>
      <c r="I1917" s="1"/>
      <c r="J1917" s="1"/>
    </row>
    <row r="1918" spans="1:10" ht="12.75" x14ac:dyDescent="0.2">
      <c r="A1918" s="3"/>
      <c r="B1918" s="3"/>
      <c r="C1918" s="3"/>
      <c r="D1918" s="3"/>
      <c r="E1918" s="3"/>
      <c r="F1918" s="2"/>
      <c r="G1918" s="2"/>
      <c r="I1918" s="1"/>
      <c r="J1918" s="1"/>
    </row>
    <row r="1919" spans="1:10" ht="12.75" x14ac:dyDescent="0.2">
      <c r="A1919" s="3"/>
      <c r="B1919" s="3"/>
      <c r="C1919" s="3"/>
      <c r="D1919" s="3"/>
      <c r="E1919" s="3"/>
      <c r="F1919" s="2"/>
      <c r="G1919" s="2"/>
      <c r="I1919" s="1"/>
      <c r="J1919" s="1"/>
    </row>
    <row r="1920" spans="1:10" ht="12.75" x14ac:dyDescent="0.2">
      <c r="A1920" s="3"/>
      <c r="B1920" s="3"/>
      <c r="C1920" s="3"/>
      <c r="D1920" s="3"/>
      <c r="E1920" s="3"/>
      <c r="F1920" s="2"/>
      <c r="G1920" s="2"/>
      <c r="I1920" s="1"/>
      <c r="J1920" s="1"/>
    </row>
    <row r="1921" spans="1:10" ht="12.75" x14ac:dyDescent="0.2">
      <c r="A1921" s="3"/>
      <c r="B1921" s="3"/>
      <c r="C1921" s="3"/>
      <c r="D1921" s="3"/>
      <c r="E1921" s="3"/>
      <c r="F1921" s="2"/>
      <c r="G1921" s="2"/>
      <c r="I1921" s="1"/>
      <c r="J1921" s="1"/>
    </row>
    <row r="1922" spans="1:10" ht="12.75" x14ac:dyDescent="0.2">
      <c r="A1922" s="3"/>
      <c r="B1922" s="3"/>
      <c r="C1922" s="3"/>
      <c r="D1922" s="3"/>
      <c r="E1922" s="3"/>
      <c r="F1922" s="2"/>
      <c r="G1922" s="2"/>
      <c r="I1922" s="1"/>
      <c r="J1922" s="1"/>
    </row>
    <row r="1923" spans="1:10" ht="12.75" x14ac:dyDescent="0.2">
      <c r="A1923" s="3"/>
      <c r="B1923" s="3"/>
      <c r="C1923" s="3"/>
      <c r="D1923" s="3"/>
      <c r="E1923" s="3"/>
      <c r="F1923" s="2"/>
      <c r="G1923" s="2"/>
      <c r="I1923" s="1"/>
      <c r="J1923" s="1"/>
    </row>
    <row r="1924" spans="1:10" ht="12.75" x14ac:dyDescent="0.2">
      <c r="A1924" s="3"/>
      <c r="B1924" s="3"/>
      <c r="C1924" s="3"/>
      <c r="D1924" s="3"/>
      <c r="E1924" s="3"/>
      <c r="F1924" s="2"/>
      <c r="G1924" s="2"/>
      <c r="I1924" s="1"/>
      <c r="J1924" s="1"/>
    </row>
    <row r="1925" spans="1:10" ht="12.75" x14ac:dyDescent="0.2">
      <c r="A1925" s="3"/>
      <c r="B1925" s="3"/>
      <c r="C1925" s="3"/>
      <c r="D1925" s="3"/>
      <c r="E1925" s="3"/>
      <c r="F1925" s="2"/>
      <c r="G1925" s="2"/>
      <c r="I1925" s="1"/>
      <c r="J1925" s="1"/>
    </row>
    <row r="1926" spans="1:10" ht="12.75" x14ac:dyDescent="0.2">
      <c r="A1926" s="3"/>
      <c r="B1926" s="3"/>
      <c r="C1926" s="3"/>
      <c r="D1926" s="3"/>
      <c r="E1926" s="3"/>
      <c r="F1926" s="2"/>
      <c r="G1926" s="2"/>
      <c r="I1926" s="1"/>
      <c r="J1926" s="1"/>
    </row>
    <row r="1927" spans="1:10" ht="12.75" x14ac:dyDescent="0.2">
      <c r="A1927" s="3"/>
      <c r="B1927" s="3"/>
      <c r="C1927" s="3"/>
      <c r="D1927" s="3"/>
      <c r="E1927" s="3"/>
      <c r="F1927" s="2"/>
      <c r="G1927" s="2"/>
      <c r="I1927" s="1"/>
      <c r="J1927" s="1"/>
    </row>
    <row r="1928" spans="1:10" ht="12.75" x14ac:dyDescent="0.2">
      <c r="A1928" s="3"/>
      <c r="B1928" s="3"/>
      <c r="C1928" s="3"/>
      <c r="D1928" s="3"/>
      <c r="E1928" s="3"/>
      <c r="F1928" s="2"/>
      <c r="G1928" s="2"/>
      <c r="I1928" s="1"/>
      <c r="J1928" s="1"/>
    </row>
    <row r="1929" spans="1:10" ht="12.75" x14ac:dyDescent="0.2">
      <c r="A1929" s="3"/>
      <c r="B1929" s="3"/>
      <c r="C1929" s="3"/>
      <c r="D1929" s="3"/>
      <c r="E1929" s="3"/>
      <c r="F1929" s="2"/>
      <c r="G1929" s="2"/>
      <c r="I1929" s="1"/>
      <c r="J1929" s="1"/>
    </row>
    <row r="1930" spans="1:10" ht="12.75" x14ac:dyDescent="0.2">
      <c r="A1930" s="3"/>
      <c r="B1930" s="3"/>
      <c r="C1930" s="3"/>
      <c r="D1930" s="3"/>
      <c r="E1930" s="3"/>
      <c r="F1930" s="2"/>
      <c r="G1930" s="2"/>
      <c r="I1930" s="1"/>
      <c r="J1930" s="1"/>
    </row>
    <row r="1931" spans="1:10" ht="12.75" x14ac:dyDescent="0.2">
      <c r="A1931" s="3"/>
      <c r="B1931" s="3"/>
      <c r="C1931" s="3"/>
      <c r="D1931" s="3"/>
      <c r="E1931" s="3"/>
      <c r="F1931" s="2"/>
      <c r="G1931" s="2"/>
      <c r="I1931" s="1"/>
      <c r="J1931" s="1"/>
    </row>
    <row r="1932" spans="1:10" ht="12.75" x14ac:dyDescent="0.2">
      <c r="A1932" s="3"/>
      <c r="B1932" s="3"/>
      <c r="C1932" s="3"/>
      <c r="D1932" s="3"/>
      <c r="E1932" s="3"/>
      <c r="F1932" s="2"/>
      <c r="G1932" s="2"/>
      <c r="I1932" s="1"/>
      <c r="J1932" s="1"/>
    </row>
    <row r="1933" spans="1:10" ht="12.75" x14ac:dyDescent="0.2">
      <c r="A1933" s="3"/>
      <c r="B1933" s="3"/>
      <c r="C1933" s="3"/>
      <c r="D1933" s="3"/>
      <c r="E1933" s="3"/>
      <c r="F1933" s="2"/>
      <c r="G1933" s="2"/>
      <c r="I1933" s="1"/>
      <c r="J1933" s="1"/>
    </row>
    <row r="1934" spans="1:10" ht="12.75" x14ac:dyDescent="0.2">
      <c r="A1934" s="3"/>
      <c r="B1934" s="3"/>
      <c r="C1934" s="3"/>
      <c r="D1934" s="3"/>
      <c r="E1934" s="3"/>
      <c r="F1934" s="2"/>
      <c r="G1934" s="2"/>
      <c r="I1934" s="1"/>
      <c r="J1934" s="1"/>
    </row>
    <row r="1935" spans="1:10" ht="12.75" x14ac:dyDescent="0.2">
      <c r="A1935" s="3"/>
      <c r="B1935" s="3"/>
      <c r="C1935" s="3"/>
      <c r="D1935" s="3"/>
      <c r="E1935" s="3"/>
      <c r="F1935" s="2"/>
      <c r="G1935" s="2"/>
      <c r="I1935" s="1"/>
      <c r="J1935" s="1"/>
    </row>
    <row r="1936" spans="1:10" ht="12.75" x14ac:dyDescent="0.2">
      <c r="A1936" s="3"/>
      <c r="B1936" s="3"/>
      <c r="C1936" s="3"/>
      <c r="D1936" s="3"/>
      <c r="E1936" s="3"/>
      <c r="F1936" s="2"/>
      <c r="G1936" s="2"/>
      <c r="I1936" s="1"/>
      <c r="J1936" s="1"/>
    </row>
    <row r="1937" spans="1:10" ht="12.75" x14ac:dyDescent="0.2">
      <c r="A1937" s="3"/>
      <c r="B1937" s="3"/>
      <c r="C1937" s="3"/>
      <c r="D1937" s="3"/>
      <c r="E1937" s="3"/>
      <c r="F1937" s="2"/>
      <c r="G1937" s="2"/>
      <c r="I1937" s="1"/>
      <c r="J1937" s="1"/>
    </row>
    <row r="1938" spans="1:10" ht="12.75" x14ac:dyDescent="0.2">
      <c r="A1938" s="3"/>
      <c r="B1938" s="3"/>
      <c r="C1938" s="3"/>
      <c r="D1938" s="3"/>
      <c r="E1938" s="3"/>
      <c r="F1938" s="2"/>
      <c r="G1938" s="2"/>
      <c r="I1938" s="1"/>
      <c r="J1938" s="1"/>
    </row>
    <row r="1939" spans="1:10" ht="12.75" x14ac:dyDescent="0.2">
      <c r="A1939" s="3"/>
      <c r="B1939" s="3"/>
      <c r="C1939" s="3"/>
      <c r="D1939" s="3"/>
      <c r="E1939" s="3"/>
      <c r="F1939" s="2"/>
      <c r="G1939" s="2"/>
      <c r="I1939" s="1"/>
      <c r="J1939" s="1"/>
    </row>
    <row r="1940" spans="1:10" ht="12.75" x14ac:dyDescent="0.2">
      <c r="A1940" s="3"/>
      <c r="B1940" s="3"/>
      <c r="C1940" s="3"/>
      <c r="D1940" s="3"/>
      <c r="E1940" s="3"/>
      <c r="F1940" s="2"/>
      <c r="G1940" s="2"/>
      <c r="I1940" s="1"/>
      <c r="J1940" s="1"/>
    </row>
    <row r="1941" spans="1:10" ht="12.75" x14ac:dyDescent="0.2">
      <c r="A1941" s="3"/>
      <c r="B1941" s="3"/>
      <c r="C1941" s="3"/>
      <c r="D1941" s="3"/>
      <c r="E1941" s="3"/>
      <c r="F1941" s="2"/>
      <c r="G1941" s="2"/>
      <c r="I1941" s="1"/>
      <c r="J1941" s="1"/>
    </row>
    <row r="1942" spans="1:10" ht="12.75" x14ac:dyDescent="0.2">
      <c r="A1942" s="3"/>
      <c r="B1942" s="3"/>
      <c r="C1942" s="3"/>
      <c r="D1942" s="3"/>
      <c r="E1942" s="3"/>
      <c r="F1942" s="2"/>
      <c r="G1942" s="2"/>
      <c r="I1942" s="1"/>
      <c r="J1942" s="1"/>
    </row>
    <row r="1943" spans="1:10" ht="12.75" x14ac:dyDescent="0.2">
      <c r="A1943" s="3"/>
      <c r="B1943" s="3"/>
      <c r="C1943" s="3"/>
      <c r="D1943" s="3"/>
      <c r="E1943" s="3"/>
      <c r="F1943" s="2"/>
      <c r="G1943" s="2"/>
      <c r="I1943" s="1"/>
      <c r="J1943" s="1"/>
    </row>
    <row r="1944" spans="1:10" ht="12.75" x14ac:dyDescent="0.2">
      <c r="A1944" s="3"/>
      <c r="B1944" s="3"/>
      <c r="C1944" s="3"/>
      <c r="D1944" s="3"/>
      <c r="E1944" s="3"/>
      <c r="F1944" s="2"/>
      <c r="G1944" s="2"/>
      <c r="I1944" s="1"/>
      <c r="J1944" s="1"/>
    </row>
    <row r="1945" spans="1:10" ht="12.75" x14ac:dyDescent="0.2">
      <c r="A1945" s="3"/>
      <c r="B1945" s="3"/>
      <c r="C1945" s="3"/>
      <c r="D1945" s="3"/>
      <c r="E1945" s="3"/>
      <c r="F1945" s="2"/>
      <c r="G1945" s="2"/>
      <c r="I1945" s="1"/>
      <c r="J1945" s="1"/>
    </row>
    <row r="1946" spans="1:10" ht="12.75" x14ac:dyDescent="0.2">
      <c r="A1946" s="3"/>
      <c r="B1946" s="3"/>
      <c r="C1946" s="3"/>
      <c r="D1946" s="3"/>
      <c r="E1946" s="3"/>
      <c r="F1946" s="2"/>
      <c r="G1946" s="2"/>
      <c r="I1946" s="1"/>
      <c r="J1946" s="1"/>
    </row>
    <row r="1947" spans="1:10" ht="12.75" x14ac:dyDescent="0.2">
      <c r="A1947" s="3"/>
      <c r="B1947" s="3"/>
      <c r="C1947" s="3"/>
      <c r="D1947" s="3"/>
      <c r="E1947" s="3"/>
      <c r="F1947" s="2"/>
      <c r="G1947" s="2"/>
      <c r="I1947" s="1"/>
      <c r="J1947" s="1"/>
    </row>
    <row r="1948" spans="1:10" ht="12.75" x14ac:dyDescent="0.2">
      <c r="A1948" s="3"/>
      <c r="B1948" s="3"/>
      <c r="C1948" s="3"/>
      <c r="D1948" s="3"/>
      <c r="E1948" s="3"/>
      <c r="F1948" s="2"/>
      <c r="G1948" s="2"/>
      <c r="I1948" s="1"/>
      <c r="J1948" s="1"/>
    </row>
    <row r="1949" spans="1:10" ht="12.75" x14ac:dyDescent="0.2">
      <c r="A1949" s="3"/>
      <c r="B1949" s="3"/>
      <c r="C1949" s="3"/>
      <c r="D1949" s="3"/>
      <c r="E1949" s="3"/>
      <c r="F1949" s="2"/>
      <c r="G1949" s="2"/>
      <c r="I1949" s="1"/>
      <c r="J1949" s="1"/>
    </row>
    <row r="1950" spans="1:10" ht="12.75" x14ac:dyDescent="0.2">
      <c r="A1950" s="3"/>
      <c r="B1950" s="3"/>
      <c r="C1950" s="3"/>
      <c r="D1950" s="3"/>
      <c r="E1950" s="3"/>
      <c r="F1950" s="2"/>
      <c r="G1950" s="2"/>
      <c r="I1950" s="1"/>
      <c r="J1950" s="1"/>
    </row>
    <row r="1951" spans="1:10" ht="12.75" x14ac:dyDescent="0.2">
      <c r="A1951" s="3"/>
      <c r="B1951" s="3"/>
      <c r="C1951" s="3"/>
      <c r="D1951" s="3"/>
      <c r="E1951" s="3"/>
      <c r="F1951" s="2"/>
      <c r="G1951" s="2"/>
      <c r="I1951" s="1"/>
      <c r="J1951" s="1"/>
    </row>
    <row r="1952" spans="1:10" ht="12.75" x14ac:dyDescent="0.2">
      <c r="A1952" s="3"/>
      <c r="B1952" s="3"/>
      <c r="C1952" s="3"/>
      <c r="D1952" s="3"/>
      <c r="E1952" s="3"/>
      <c r="F1952" s="2"/>
      <c r="G1952" s="2"/>
      <c r="I1952" s="1"/>
      <c r="J1952" s="1"/>
    </row>
    <row r="1953" spans="1:10" ht="12.75" x14ac:dyDescent="0.2">
      <c r="A1953" s="3"/>
      <c r="B1953" s="3"/>
      <c r="C1953" s="3"/>
      <c r="D1953" s="3"/>
      <c r="E1953" s="3"/>
      <c r="F1953" s="2"/>
      <c r="G1953" s="2"/>
      <c r="I1953" s="1"/>
      <c r="J1953" s="1"/>
    </row>
    <row r="1954" spans="1:10" ht="12.75" x14ac:dyDescent="0.2">
      <c r="A1954" s="3"/>
      <c r="B1954" s="3"/>
      <c r="C1954" s="3"/>
      <c r="D1954" s="3"/>
      <c r="E1954" s="3"/>
      <c r="F1954" s="2"/>
      <c r="G1954" s="2"/>
      <c r="I1954" s="1"/>
      <c r="J1954" s="1"/>
    </row>
    <row r="1955" spans="1:10" ht="12.75" x14ac:dyDescent="0.2">
      <c r="A1955" s="3"/>
      <c r="B1955" s="3"/>
      <c r="C1955" s="3"/>
      <c r="D1955" s="3"/>
      <c r="E1955" s="3"/>
      <c r="F1955" s="2"/>
      <c r="G1955" s="2"/>
      <c r="I1955" s="1"/>
      <c r="J1955" s="1"/>
    </row>
    <row r="1956" spans="1:10" ht="12.75" x14ac:dyDescent="0.2">
      <c r="A1956" s="3"/>
      <c r="B1956" s="3"/>
      <c r="C1956" s="3"/>
      <c r="D1956" s="3"/>
      <c r="E1956" s="3"/>
      <c r="F1956" s="2"/>
      <c r="G1956" s="2"/>
      <c r="I1956" s="1"/>
      <c r="J1956" s="1"/>
    </row>
    <row r="1957" spans="1:10" ht="12.75" x14ac:dyDescent="0.2">
      <c r="A1957" s="3"/>
      <c r="B1957" s="3"/>
      <c r="C1957" s="3"/>
      <c r="D1957" s="3"/>
      <c r="E1957" s="3"/>
      <c r="F1957" s="2"/>
      <c r="G1957" s="2"/>
      <c r="I1957" s="1"/>
      <c r="J1957" s="1"/>
    </row>
    <row r="1958" spans="1:10" ht="12.75" x14ac:dyDescent="0.2">
      <c r="A1958" s="3"/>
      <c r="B1958" s="3"/>
      <c r="C1958" s="3"/>
      <c r="D1958" s="3"/>
      <c r="E1958" s="3"/>
      <c r="F1958" s="2"/>
      <c r="G1958" s="2"/>
      <c r="I1958" s="1"/>
      <c r="J1958" s="1"/>
    </row>
    <row r="1959" spans="1:10" ht="12.75" x14ac:dyDescent="0.2">
      <c r="A1959" s="3"/>
      <c r="B1959" s="3"/>
      <c r="C1959" s="3"/>
      <c r="D1959" s="3"/>
      <c r="E1959" s="3"/>
      <c r="F1959" s="2"/>
      <c r="G1959" s="2"/>
      <c r="I1959" s="1"/>
      <c r="J1959" s="1"/>
    </row>
    <row r="1960" spans="1:10" ht="12.75" x14ac:dyDescent="0.2">
      <c r="A1960" s="3"/>
      <c r="B1960" s="3"/>
      <c r="C1960" s="3"/>
      <c r="D1960" s="3"/>
      <c r="E1960" s="3"/>
      <c r="F1960" s="2"/>
      <c r="G1960" s="2"/>
      <c r="I1960" s="1"/>
      <c r="J1960" s="1"/>
    </row>
    <row r="1961" spans="1:10" ht="12.75" x14ac:dyDescent="0.2">
      <c r="A1961" s="3"/>
      <c r="B1961" s="3"/>
      <c r="C1961" s="3"/>
      <c r="D1961" s="3"/>
      <c r="E1961" s="3"/>
      <c r="F1961" s="2"/>
      <c r="G1961" s="2"/>
      <c r="I1961" s="1"/>
      <c r="J1961" s="1"/>
    </row>
    <row r="1962" spans="1:10" ht="12.75" x14ac:dyDescent="0.2">
      <c r="A1962" s="3"/>
      <c r="B1962" s="3"/>
      <c r="C1962" s="3"/>
      <c r="D1962" s="3"/>
      <c r="E1962" s="3"/>
      <c r="F1962" s="2"/>
      <c r="G1962" s="2"/>
      <c r="I1962" s="1"/>
      <c r="J1962" s="1"/>
    </row>
    <row r="1963" spans="1:10" ht="12.75" x14ac:dyDescent="0.2">
      <c r="A1963" s="3"/>
      <c r="B1963" s="3"/>
      <c r="C1963" s="3"/>
      <c r="D1963" s="3"/>
      <c r="E1963" s="3"/>
      <c r="F1963" s="2"/>
      <c r="G1963" s="2"/>
      <c r="I1963" s="1"/>
      <c r="J1963" s="1"/>
    </row>
    <row r="1964" spans="1:10" ht="12.75" x14ac:dyDescent="0.2">
      <c r="A1964" s="3"/>
      <c r="B1964" s="3"/>
      <c r="C1964" s="3"/>
      <c r="D1964" s="3"/>
      <c r="E1964" s="3"/>
      <c r="F1964" s="2"/>
      <c r="G1964" s="2"/>
      <c r="I1964" s="1"/>
      <c r="J1964" s="1"/>
    </row>
    <row r="1965" spans="1:10" ht="12.75" x14ac:dyDescent="0.2">
      <c r="A1965" s="3"/>
      <c r="B1965" s="3"/>
      <c r="C1965" s="3"/>
      <c r="D1965" s="3"/>
      <c r="E1965" s="3"/>
      <c r="F1965" s="2"/>
      <c r="G1965" s="2"/>
      <c r="I1965" s="1"/>
      <c r="J1965" s="1"/>
    </row>
    <row r="1966" spans="1:10" ht="12.75" x14ac:dyDescent="0.2">
      <c r="A1966" s="3"/>
      <c r="B1966" s="3"/>
      <c r="C1966" s="3"/>
      <c r="D1966" s="3"/>
      <c r="E1966" s="3"/>
      <c r="F1966" s="2"/>
      <c r="G1966" s="2"/>
      <c r="I1966" s="1"/>
      <c r="J1966" s="1"/>
    </row>
    <row r="1967" spans="1:10" ht="12.75" x14ac:dyDescent="0.2">
      <c r="A1967" s="3"/>
      <c r="B1967" s="3"/>
      <c r="C1967" s="3"/>
      <c r="D1967" s="3"/>
      <c r="E1967" s="3"/>
      <c r="F1967" s="2"/>
      <c r="G1967" s="2"/>
      <c r="I1967" s="1"/>
      <c r="J1967" s="1"/>
    </row>
    <row r="1968" spans="1:10" ht="12.75" x14ac:dyDescent="0.2">
      <c r="A1968" s="3"/>
      <c r="B1968" s="3"/>
      <c r="C1968" s="3"/>
      <c r="D1968" s="3"/>
      <c r="E1968" s="3"/>
      <c r="F1968" s="2"/>
      <c r="G1968" s="2"/>
      <c r="I1968" s="1"/>
      <c r="J1968" s="1"/>
    </row>
    <row r="1969" spans="1:10" ht="12.75" x14ac:dyDescent="0.2">
      <c r="A1969" s="3"/>
      <c r="B1969" s="3"/>
      <c r="C1969" s="3"/>
      <c r="D1969" s="3"/>
      <c r="E1969" s="3"/>
      <c r="F1969" s="2"/>
      <c r="G1969" s="2"/>
      <c r="I1969" s="1"/>
      <c r="J1969" s="1"/>
    </row>
    <row r="1970" spans="1:10" ht="12.75" x14ac:dyDescent="0.2">
      <c r="A1970" s="3"/>
      <c r="B1970" s="3"/>
      <c r="C1970" s="3"/>
      <c r="D1970" s="3"/>
      <c r="E1970" s="3"/>
      <c r="F1970" s="2"/>
      <c r="G1970" s="2"/>
      <c r="I1970" s="1"/>
      <c r="J1970" s="1"/>
    </row>
    <row r="1971" spans="1:10" ht="12.75" x14ac:dyDescent="0.2">
      <c r="A1971" s="3"/>
      <c r="B1971" s="3"/>
      <c r="C1971" s="3"/>
      <c r="D1971" s="3"/>
      <c r="E1971" s="3"/>
      <c r="F1971" s="2"/>
      <c r="G1971" s="2"/>
      <c r="I1971" s="1"/>
      <c r="J1971" s="1"/>
    </row>
    <row r="1972" spans="1:10" ht="12.75" x14ac:dyDescent="0.2">
      <c r="A1972" s="3"/>
      <c r="B1972" s="3"/>
      <c r="C1972" s="3"/>
      <c r="D1972" s="3"/>
      <c r="E1972" s="3"/>
      <c r="F1972" s="2"/>
      <c r="G1972" s="2"/>
      <c r="I1972" s="1"/>
      <c r="J1972" s="1"/>
    </row>
    <row r="1973" spans="1:10" ht="12.75" x14ac:dyDescent="0.2">
      <c r="A1973" s="3"/>
      <c r="B1973" s="3"/>
      <c r="C1973" s="3"/>
      <c r="D1973" s="3"/>
      <c r="E1973" s="3"/>
      <c r="F1973" s="2"/>
      <c r="G1973" s="2"/>
      <c r="I1973" s="1"/>
      <c r="J1973" s="1"/>
    </row>
    <row r="1974" spans="1:10" ht="12.75" x14ac:dyDescent="0.2">
      <c r="A1974" s="3"/>
      <c r="B1974" s="3"/>
      <c r="C1974" s="3"/>
      <c r="D1974" s="3"/>
      <c r="E1974" s="3"/>
      <c r="F1974" s="2"/>
      <c r="G1974" s="2"/>
      <c r="I1974" s="1"/>
      <c r="J1974" s="1"/>
    </row>
    <row r="1975" spans="1:10" ht="12.75" x14ac:dyDescent="0.2">
      <c r="A1975" s="3"/>
      <c r="B1975" s="3"/>
      <c r="C1975" s="3"/>
      <c r="D1975" s="3"/>
      <c r="E1975" s="3"/>
      <c r="F1975" s="2"/>
      <c r="G1975" s="2"/>
      <c r="I1975" s="1"/>
      <c r="J1975" s="1"/>
    </row>
    <row r="1976" spans="1:10" ht="12.75" x14ac:dyDescent="0.2">
      <c r="A1976" s="3"/>
      <c r="B1976" s="3"/>
      <c r="C1976" s="3"/>
      <c r="D1976" s="3"/>
      <c r="E1976" s="3"/>
      <c r="F1976" s="2"/>
      <c r="G1976" s="2"/>
      <c r="I1976" s="1"/>
      <c r="J1976" s="1"/>
    </row>
    <row r="1977" spans="1:10" ht="12.75" x14ac:dyDescent="0.2">
      <c r="A1977" s="3"/>
      <c r="B1977" s="3"/>
      <c r="C1977" s="3"/>
      <c r="D1977" s="3"/>
      <c r="E1977" s="3"/>
      <c r="F1977" s="2"/>
      <c r="G1977" s="2"/>
      <c r="I1977" s="1"/>
      <c r="J1977" s="1"/>
    </row>
    <row r="1978" spans="1:10" ht="12.75" x14ac:dyDescent="0.2">
      <c r="A1978" s="3"/>
      <c r="B1978" s="3"/>
      <c r="C1978" s="3"/>
      <c r="D1978" s="3"/>
      <c r="E1978" s="3"/>
      <c r="F1978" s="2"/>
      <c r="G1978" s="2"/>
      <c r="I1978" s="1"/>
      <c r="J1978" s="1"/>
    </row>
    <row r="1979" spans="1:10" ht="12.75" x14ac:dyDescent="0.2">
      <c r="A1979" s="3"/>
      <c r="B1979" s="3"/>
      <c r="C1979" s="3"/>
      <c r="D1979" s="3"/>
      <c r="E1979" s="3"/>
      <c r="F1979" s="2"/>
      <c r="G1979" s="2"/>
      <c r="I1979" s="1"/>
      <c r="J1979" s="1"/>
    </row>
    <row r="1980" spans="1:10" ht="12.75" x14ac:dyDescent="0.2">
      <c r="A1980" s="3"/>
      <c r="B1980" s="3"/>
      <c r="C1980" s="3"/>
      <c r="D1980" s="3"/>
      <c r="E1980" s="3"/>
      <c r="F1980" s="2"/>
      <c r="G1980" s="2"/>
      <c r="I1980" s="1"/>
      <c r="J1980" s="1"/>
    </row>
    <row r="1981" spans="1:10" ht="12.75" x14ac:dyDescent="0.2">
      <c r="A1981" s="3"/>
      <c r="B1981" s="3"/>
      <c r="C1981" s="3"/>
      <c r="D1981" s="3"/>
      <c r="E1981" s="3"/>
      <c r="F1981" s="2"/>
      <c r="G1981" s="2"/>
      <c r="I1981" s="1"/>
      <c r="J1981" s="1"/>
    </row>
    <row r="1982" spans="1:10" ht="12.75" x14ac:dyDescent="0.2">
      <c r="A1982" s="3"/>
      <c r="B1982" s="3"/>
      <c r="C1982" s="3"/>
      <c r="D1982" s="3"/>
      <c r="E1982" s="3"/>
      <c r="F1982" s="2"/>
      <c r="G1982" s="2"/>
      <c r="I1982" s="1"/>
      <c r="J1982" s="1"/>
    </row>
    <row r="1983" spans="1:10" ht="12.75" x14ac:dyDescent="0.2">
      <c r="A1983" s="3"/>
      <c r="B1983" s="3"/>
      <c r="C1983" s="3"/>
      <c r="D1983" s="3"/>
      <c r="E1983" s="3"/>
      <c r="F1983" s="2"/>
      <c r="G1983" s="2"/>
      <c r="I1983" s="1"/>
      <c r="J1983" s="1"/>
    </row>
    <row r="1984" spans="1:10" ht="12.75" x14ac:dyDescent="0.2">
      <c r="A1984" s="3"/>
      <c r="B1984" s="3"/>
      <c r="C1984" s="3"/>
      <c r="D1984" s="3"/>
      <c r="E1984" s="3"/>
      <c r="F1984" s="2"/>
      <c r="G1984" s="2"/>
      <c r="I1984" s="1"/>
      <c r="J1984" s="1"/>
    </row>
    <row r="1985" spans="1:10" ht="12.75" x14ac:dyDescent="0.2">
      <c r="A1985" s="3"/>
      <c r="B1985" s="3"/>
      <c r="C1985" s="3"/>
      <c r="D1985" s="3"/>
      <c r="E1985" s="3"/>
      <c r="F1985" s="2"/>
      <c r="G1985" s="2"/>
      <c r="I1985" s="1"/>
      <c r="J1985" s="1"/>
    </row>
    <row r="1986" spans="1:10" ht="12.75" x14ac:dyDescent="0.2">
      <c r="A1986" s="3"/>
      <c r="B1986" s="3"/>
      <c r="C1986" s="3"/>
      <c r="D1986" s="3"/>
      <c r="E1986" s="3"/>
      <c r="F1986" s="2"/>
      <c r="G1986" s="2"/>
      <c r="I1986" s="1"/>
      <c r="J1986" s="1"/>
    </row>
    <row r="1987" spans="1:10" ht="12.75" x14ac:dyDescent="0.2">
      <c r="A1987" s="3"/>
      <c r="B1987" s="3"/>
      <c r="C1987" s="3"/>
      <c r="D1987" s="3"/>
      <c r="E1987" s="3"/>
      <c r="F1987" s="2"/>
      <c r="G1987" s="2"/>
      <c r="I1987" s="1"/>
      <c r="J1987" s="1"/>
    </row>
    <row r="1988" spans="1:10" ht="12.75" x14ac:dyDescent="0.2">
      <c r="A1988" s="3"/>
      <c r="B1988" s="3"/>
      <c r="C1988" s="3"/>
      <c r="D1988" s="3"/>
      <c r="E1988" s="3"/>
      <c r="F1988" s="2"/>
      <c r="G1988" s="2"/>
      <c r="I1988" s="1"/>
      <c r="J1988" s="1"/>
    </row>
    <row r="1989" spans="1:10" ht="12.75" x14ac:dyDescent="0.2">
      <c r="A1989" s="3"/>
      <c r="B1989" s="3"/>
      <c r="C1989" s="3"/>
      <c r="D1989" s="3"/>
      <c r="E1989" s="3"/>
      <c r="F1989" s="2"/>
      <c r="G1989" s="2"/>
      <c r="I1989" s="1"/>
      <c r="J1989" s="1"/>
    </row>
    <row r="1990" spans="1:10" ht="12.75" x14ac:dyDescent="0.2">
      <c r="A1990" s="3"/>
      <c r="B1990" s="3"/>
      <c r="C1990" s="3"/>
      <c r="D1990" s="3"/>
      <c r="E1990" s="3"/>
      <c r="F1990" s="2"/>
      <c r="G1990" s="2"/>
      <c r="I1990" s="1"/>
      <c r="J1990" s="1"/>
    </row>
    <row r="1991" spans="1:10" ht="12.75" x14ac:dyDescent="0.2">
      <c r="A1991" s="3"/>
      <c r="B1991" s="3"/>
      <c r="C1991" s="3"/>
      <c r="D1991" s="3"/>
      <c r="E1991" s="3"/>
      <c r="F1991" s="2"/>
      <c r="G1991" s="2"/>
      <c r="I1991" s="1"/>
      <c r="J1991" s="1"/>
    </row>
    <row r="1992" spans="1:10" ht="12.75" x14ac:dyDescent="0.2">
      <c r="A1992" s="3"/>
      <c r="B1992" s="3"/>
      <c r="C1992" s="3"/>
      <c r="D1992" s="3"/>
      <c r="E1992" s="3"/>
      <c r="F1992" s="2"/>
      <c r="G1992" s="2"/>
      <c r="I1992" s="1"/>
      <c r="J1992" s="1"/>
    </row>
    <row r="1993" spans="1:10" ht="12.75" x14ac:dyDescent="0.2">
      <c r="A1993" s="3"/>
      <c r="B1993" s="3"/>
      <c r="C1993" s="3"/>
      <c r="D1993" s="3"/>
      <c r="E1993" s="3"/>
      <c r="F1993" s="2"/>
      <c r="G1993" s="2"/>
      <c r="I1993" s="1"/>
      <c r="J1993" s="1"/>
    </row>
    <row r="1994" spans="1:10" ht="12.75" x14ac:dyDescent="0.2">
      <c r="A1994" s="3"/>
      <c r="B1994" s="3"/>
      <c r="C1994" s="3"/>
      <c r="D1994" s="3"/>
      <c r="E1994" s="3"/>
      <c r="F1994" s="2"/>
      <c r="G1994" s="2"/>
      <c r="I1994" s="1"/>
      <c r="J1994" s="1"/>
    </row>
    <row r="1995" spans="1:10" ht="12.75" x14ac:dyDescent="0.2">
      <c r="A1995" s="3"/>
      <c r="B1995" s="3"/>
      <c r="C1995" s="3"/>
      <c r="D1995" s="3"/>
      <c r="E1995" s="3"/>
      <c r="F1995" s="2"/>
      <c r="G1995" s="2"/>
      <c r="I1995" s="1"/>
      <c r="J1995" s="1"/>
    </row>
    <row r="1996" spans="1:10" ht="12.75" x14ac:dyDescent="0.2">
      <c r="A1996" s="3"/>
      <c r="B1996" s="3"/>
      <c r="C1996" s="3"/>
      <c r="D1996" s="3"/>
      <c r="E1996" s="3"/>
      <c r="F1996" s="2"/>
      <c r="G1996" s="2"/>
      <c r="I1996" s="1"/>
      <c r="J1996" s="1"/>
    </row>
    <row r="1997" spans="1:10" ht="12.75" x14ac:dyDescent="0.2">
      <c r="A1997" s="3"/>
      <c r="B1997" s="3"/>
      <c r="C1997" s="3"/>
      <c r="D1997" s="3"/>
      <c r="E1997" s="3"/>
      <c r="F1997" s="2"/>
      <c r="G1997" s="2"/>
      <c r="I1997" s="1"/>
      <c r="J1997" s="1"/>
    </row>
    <row r="1998" spans="1:10" ht="12.75" x14ac:dyDescent="0.2">
      <c r="A1998" s="3"/>
      <c r="B1998" s="3"/>
      <c r="C1998" s="3"/>
      <c r="D1998" s="3"/>
      <c r="E1998" s="3"/>
      <c r="F1998" s="2"/>
      <c r="G1998" s="2"/>
      <c r="I1998" s="1"/>
      <c r="J1998" s="1"/>
    </row>
    <row r="1999" spans="1:10" ht="12.75" x14ac:dyDescent="0.2">
      <c r="A1999" s="3"/>
      <c r="B1999" s="3"/>
      <c r="C1999" s="3"/>
      <c r="D1999" s="3"/>
      <c r="E1999" s="3"/>
      <c r="F1999" s="2"/>
      <c r="G1999" s="2"/>
      <c r="I1999" s="1"/>
      <c r="J1999" s="1"/>
    </row>
    <row r="2000" spans="1:10" ht="12.75" x14ac:dyDescent="0.2">
      <c r="A2000" s="3"/>
      <c r="B2000" s="3"/>
      <c r="C2000" s="3"/>
      <c r="D2000" s="3"/>
      <c r="E2000" s="3"/>
      <c r="F2000" s="2"/>
      <c r="G2000" s="2"/>
      <c r="I2000" s="1"/>
      <c r="J2000" s="1"/>
    </row>
    <row r="2001" spans="1:10" ht="12.75" x14ac:dyDescent="0.2">
      <c r="A2001" s="3"/>
      <c r="B2001" s="3"/>
      <c r="C2001" s="3"/>
      <c r="D2001" s="3"/>
      <c r="E2001" s="3"/>
      <c r="F2001" s="2"/>
      <c r="G2001" s="2"/>
      <c r="I2001" s="1"/>
      <c r="J2001" s="1"/>
    </row>
    <row r="2002" spans="1:10" ht="12.75" x14ac:dyDescent="0.2">
      <c r="A2002" s="3"/>
      <c r="B2002" s="3"/>
      <c r="C2002" s="3"/>
      <c r="D2002" s="3"/>
      <c r="E2002" s="3"/>
      <c r="F2002" s="2"/>
      <c r="G2002" s="2"/>
      <c r="I2002" s="1"/>
      <c r="J2002" s="1"/>
    </row>
    <row r="2003" spans="1:10" ht="12.75" x14ac:dyDescent="0.2">
      <c r="A2003" s="3"/>
      <c r="B2003" s="3"/>
      <c r="C2003" s="3"/>
      <c r="D2003" s="3"/>
      <c r="E2003" s="3"/>
      <c r="F2003" s="2"/>
      <c r="G2003" s="2"/>
      <c r="I2003" s="1"/>
      <c r="J2003" s="1"/>
    </row>
    <row r="2004" spans="1:10" ht="12.75" x14ac:dyDescent="0.2">
      <c r="A2004" s="3"/>
      <c r="B2004" s="3"/>
      <c r="C2004" s="3"/>
      <c r="D2004" s="3"/>
      <c r="E2004" s="3"/>
      <c r="F2004" s="2"/>
      <c r="G2004" s="2"/>
      <c r="I2004" s="1"/>
      <c r="J2004" s="1"/>
    </row>
    <row r="2005" spans="1:10" ht="12.75" x14ac:dyDescent="0.2">
      <c r="A2005" s="3"/>
      <c r="B2005" s="3"/>
      <c r="C2005" s="3"/>
      <c r="D2005" s="3"/>
      <c r="E2005" s="3"/>
      <c r="F2005" s="2"/>
      <c r="G2005" s="2"/>
      <c r="I2005" s="1"/>
      <c r="J2005" s="1"/>
    </row>
    <row r="2006" spans="1:10" ht="12.75" x14ac:dyDescent="0.2">
      <c r="A2006" s="3"/>
      <c r="B2006" s="3"/>
      <c r="C2006" s="3"/>
      <c r="D2006" s="3"/>
      <c r="E2006" s="3"/>
      <c r="F2006" s="2"/>
      <c r="G2006" s="2"/>
      <c r="I2006" s="1"/>
      <c r="J2006" s="1"/>
    </row>
    <row r="2007" spans="1:10" ht="12.75" x14ac:dyDescent="0.2">
      <c r="A2007" s="3"/>
      <c r="B2007" s="3"/>
      <c r="C2007" s="3"/>
      <c r="D2007" s="3"/>
      <c r="E2007" s="3"/>
      <c r="F2007" s="2"/>
      <c r="G2007" s="2"/>
      <c r="I2007" s="1"/>
      <c r="J2007" s="1"/>
    </row>
    <row r="2008" spans="1:10" ht="12.75" x14ac:dyDescent="0.2">
      <c r="A2008" s="3"/>
      <c r="B2008" s="3"/>
      <c r="C2008" s="3"/>
      <c r="D2008" s="3"/>
      <c r="E2008" s="3"/>
      <c r="F2008" s="2"/>
      <c r="G2008" s="2"/>
      <c r="I2008" s="1"/>
      <c r="J2008" s="1"/>
    </row>
    <row r="2009" spans="1:10" ht="12.75" x14ac:dyDescent="0.2">
      <c r="A2009" s="3"/>
      <c r="B2009" s="3"/>
      <c r="C2009" s="3"/>
      <c r="D2009" s="3"/>
      <c r="E2009" s="3"/>
      <c r="F2009" s="2"/>
      <c r="G2009" s="2"/>
      <c r="I2009" s="1"/>
      <c r="J2009" s="1"/>
    </row>
    <row r="2010" spans="1:10" ht="12.75" x14ac:dyDescent="0.2">
      <c r="A2010" s="3"/>
      <c r="B2010" s="3"/>
      <c r="C2010" s="3"/>
      <c r="D2010" s="3"/>
      <c r="E2010" s="3"/>
      <c r="F2010" s="2"/>
      <c r="G2010" s="2"/>
      <c r="I2010" s="1"/>
      <c r="J2010" s="1"/>
    </row>
    <row r="2011" spans="1:10" ht="12.75" x14ac:dyDescent="0.2">
      <c r="A2011" s="3"/>
      <c r="B2011" s="3"/>
      <c r="C2011" s="3"/>
      <c r="D2011" s="3"/>
      <c r="E2011" s="3"/>
      <c r="F2011" s="2"/>
      <c r="G2011" s="2"/>
      <c r="I2011" s="1"/>
      <c r="J2011" s="1"/>
    </row>
    <row r="2012" spans="1:10" ht="12.75" x14ac:dyDescent="0.2">
      <c r="A2012" s="3"/>
      <c r="B2012" s="3"/>
      <c r="C2012" s="3"/>
      <c r="D2012" s="3"/>
      <c r="E2012" s="3"/>
      <c r="F2012" s="2"/>
      <c r="G2012" s="2"/>
      <c r="I2012" s="1"/>
      <c r="J2012" s="1"/>
    </row>
    <row r="2013" spans="1:10" ht="12.75" x14ac:dyDescent="0.2">
      <c r="A2013" s="3"/>
      <c r="B2013" s="3"/>
      <c r="C2013" s="3"/>
      <c r="D2013" s="3"/>
      <c r="E2013" s="3"/>
      <c r="F2013" s="2"/>
      <c r="G2013" s="2"/>
      <c r="I2013" s="1"/>
      <c r="J2013" s="1"/>
    </row>
    <row r="2014" spans="1:10" ht="12.75" x14ac:dyDescent="0.2">
      <c r="A2014" s="3"/>
      <c r="B2014" s="3"/>
      <c r="C2014" s="3"/>
      <c r="D2014" s="3"/>
      <c r="E2014" s="3"/>
      <c r="F2014" s="2"/>
      <c r="G2014" s="2"/>
      <c r="I2014" s="1"/>
      <c r="J2014" s="1"/>
    </row>
    <row r="2015" spans="1:10" ht="12.75" x14ac:dyDescent="0.2">
      <c r="A2015" s="3"/>
      <c r="B2015" s="3"/>
      <c r="C2015" s="3"/>
      <c r="D2015" s="3"/>
      <c r="E2015" s="3"/>
      <c r="F2015" s="2"/>
      <c r="G2015" s="2"/>
      <c r="I2015" s="1"/>
      <c r="J2015" s="1"/>
    </row>
    <row r="2016" spans="1:10" ht="12.75" x14ac:dyDescent="0.2">
      <c r="A2016" s="3"/>
      <c r="B2016" s="3"/>
      <c r="C2016" s="3"/>
      <c r="D2016" s="3"/>
      <c r="E2016" s="3"/>
      <c r="F2016" s="2"/>
      <c r="G2016" s="2"/>
      <c r="I2016" s="1"/>
      <c r="J2016" s="1"/>
    </row>
    <row r="2017" spans="1:10" ht="12.75" x14ac:dyDescent="0.2">
      <c r="A2017" s="3"/>
      <c r="B2017" s="3"/>
      <c r="C2017" s="3"/>
      <c r="D2017" s="3"/>
      <c r="E2017" s="3"/>
      <c r="F2017" s="2"/>
      <c r="G2017" s="2"/>
      <c r="I2017" s="1"/>
      <c r="J2017" s="1"/>
    </row>
    <row r="2018" spans="1:10" ht="12.75" x14ac:dyDescent="0.2">
      <c r="A2018" s="3"/>
      <c r="B2018" s="3"/>
      <c r="C2018" s="3"/>
      <c r="D2018" s="3"/>
      <c r="E2018" s="3"/>
      <c r="F2018" s="2"/>
      <c r="G2018" s="2"/>
      <c r="I2018" s="1"/>
      <c r="J2018" s="1"/>
    </row>
    <row r="2019" spans="1:10" ht="12.75" x14ac:dyDescent="0.2">
      <c r="A2019" s="3"/>
      <c r="B2019" s="3"/>
      <c r="C2019" s="3"/>
      <c r="D2019" s="3"/>
      <c r="E2019" s="3"/>
      <c r="F2019" s="2"/>
      <c r="G2019" s="2"/>
      <c r="I2019" s="1"/>
      <c r="J2019" s="1"/>
    </row>
    <row r="2020" spans="1:10" ht="12.75" x14ac:dyDescent="0.2">
      <c r="A2020" s="3"/>
      <c r="B2020" s="3"/>
      <c r="C2020" s="3"/>
      <c r="D2020" s="3"/>
      <c r="E2020" s="3"/>
      <c r="F2020" s="2"/>
      <c r="G2020" s="2"/>
      <c r="I2020" s="1"/>
      <c r="J2020" s="1"/>
    </row>
    <row r="2021" spans="1:10" ht="12.75" x14ac:dyDescent="0.2">
      <c r="A2021" s="3"/>
      <c r="B2021" s="3"/>
      <c r="C2021" s="3"/>
      <c r="D2021" s="3"/>
      <c r="E2021" s="3"/>
      <c r="F2021" s="2"/>
      <c r="G2021" s="2"/>
      <c r="I2021" s="1"/>
      <c r="J2021" s="1"/>
    </row>
    <row r="2022" spans="1:10" ht="12.75" x14ac:dyDescent="0.2">
      <c r="A2022" s="3"/>
      <c r="B2022" s="3"/>
      <c r="C2022" s="3"/>
      <c r="D2022" s="3"/>
      <c r="E2022" s="3"/>
      <c r="F2022" s="2"/>
      <c r="G2022" s="2"/>
      <c r="I2022" s="1"/>
      <c r="J2022" s="1"/>
    </row>
    <row r="2023" spans="1:10" ht="12.75" x14ac:dyDescent="0.2">
      <c r="A2023" s="3"/>
      <c r="B2023" s="3"/>
      <c r="C2023" s="3"/>
      <c r="D2023" s="3"/>
      <c r="E2023" s="3"/>
      <c r="F2023" s="2"/>
      <c r="G2023" s="2"/>
      <c r="I2023" s="1"/>
      <c r="J2023" s="1"/>
    </row>
    <row r="2024" spans="1:10" ht="12.75" x14ac:dyDescent="0.2">
      <c r="A2024" s="3"/>
      <c r="B2024" s="3"/>
      <c r="C2024" s="3"/>
      <c r="D2024" s="3"/>
      <c r="E2024" s="3"/>
      <c r="F2024" s="2"/>
      <c r="G2024" s="2"/>
      <c r="I2024" s="1"/>
      <c r="J2024" s="1"/>
    </row>
    <row r="2025" spans="1:10" ht="12.75" x14ac:dyDescent="0.2">
      <c r="A2025" s="3"/>
      <c r="B2025" s="3"/>
      <c r="C2025" s="3"/>
      <c r="D2025" s="3"/>
      <c r="E2025" s="3"/>
      <c r="F2025" s="2"/>
      <c r="G2025" s="2"/>
      <c r="I2025" s="1"/>
      <c r="J2025" s="1"/>
    </row>
    <row r="2026" spans="1:10" ht="12.75" x14ac:dyDescent="0.2">
      <c r="A2026" s="3"/>
      <c r="B2026" s="3"/>
      <c r="C2026" s="3"/>
      <c r="D2026" s="3"/>
      <c r="E2026" s="3"/>
      <c r="F2026" s="2"/>
      <c r="G2026" s="2"/>
      <c r="I2026" s="1"/>
      <c r="J2026" s="1"/>
    </row>
    <row r="2027" spans="1:10" ht="12.75" x14ac:dyDescent="0.2">
      <c r="A2027" s="3"/>
      <c r="B2027" s="3"/>
      <c r="C2027" s="3"/>
      <c r="D2027" s="3"/>
      <c r="E2027" s="3"/>
      <c r="F2027" s="2"/>
      <c r="G2027" s="2"/>
      <c r="I2027" s="1"/>
      <c r="J2027" s="1"/>
    </row>
    <row r="2028" spans="1:10" ht="12.75" x14ac:dyDescent="0.2">
      <c r="A2028" s="3"/>
      <c r="B2028" s="3"/>
      <c r="C2028" s="3"/>
      <c r="D2028" s="3"/>
      <c r="E2028" s="3"/>
      <c r="F2028" s="2"/>
      <c r="G2028" s="2"/>
      <c r="I2028" s="1"/>
      <c r="J2028" s="1"/>
    </row>
    <row r="2029" spans="1:10" ht="12.75" x14ac:dyDescent="0.2">
      <c r="A2029" s="3"/>
      <c r="B2029" s="3"/>
      <c r="C2029" s="3"/>
      <c r="D2029" s="3"/>
      <c r="E2029" s="3"/>
      <c r="F2029" s="2"/>
      <c r="G2029" s="2"/>
      <c r="I2029" s="1"/>
      <c r="J2029" s="1"/>
    </row>
    <row r="2030" spans="1:10" ht="12.75" x14ac:dyDescent="0.2">
      <c r="A2030" s="3"/>
      <c r="B2030" s="3"/>
      <c r="C2030" s="3"/>
      <c r="D2030" s="3"/>
      <c r="E2030" s="3"/>
      <c r="F2030" s="2"/>
      <c r="G2030" s="2"/>
      <c r="I2030" s="1"/>
      <c r="J2030" s="1"/>
    </row>
    <row r="2031" spans="1:10" ht="12.75" x14ac:dyDescent="0.2">
      <c r="A2031" s="3"/>
      <c r="B2031" s="3"/>
      <c r="C2031" s="3"/>
      <c r="D2031" s="3"/>
      <c r="E2031" s="3"/>
      <c r="F2031" s="2"/>
      <c r="G2031" s="2"/>
      <c r="I2031" s="1"/>
      <c r="J2031" s="1"/>
    </row>
    <row r="2032" spans="1:10" ht="12.75" x14ac:dyDescent="0.2">
      <c r="A2032" s="3"/>
      <c r="B2032" s="3"/>
      <c r="C2032" s="3"/>
      <c r="D2032" s="3"/>
      <c r="E2032" s="3"/>
      <c r="F2032" s="2"/>
      <c r="G2032" s="2"/>
      <c r="I2032" s="1"/>
      <c r="J2032" s="1"/>
    </row>
    <row r="2033" spans="1:10" ht="12.75" x14ac:dyDescent="0.2">
      <c r="A2033" s="3"/>
      <c r="B2033" s="3"/>
      <c r="C2033" s="3"/>
      <c r="D2033" s="3"/>
      <c r="E2033" s="3"/>
      <c r="F2033" s="2"/>
      <c r="G2033" s="2"/>
      <c r="I2033" s="1"/>
      <c r="J2033" s="1"/>
    </row>
    <row r="2034" spans="1:10" ht="12.75" x14ac:dyDescent="0.2">
      <c r="A2034" s="3"/>
      <c r="B2034" s="3"/>
      <c r="C2034" s="3"/>
      <c r="D2034" s="3"/>
      <c r="E2034" s="3"/>
      <c r="F2034" s="2"/>
      <c r="G2034" s="2"/>
      <c r="I2034" s="1"/>
      <c r="J2034" s="1"/>
    </row>
    <row r="2035" spans="1:10" ht="12.75" x14ac:dyDescent="0.2">
      <c r="A2035" s="3"/>
      <c r="B2035" s="3"/>
      <c r="C2035" s="3"/>
      <c r="D2035" s="3"/>
      <c r="E2035" s="3"/>
      <c r="F2035" s="2"/>
      <c r="G2035" s="2"/>
      <c r="I2035" s="1"/>
      <c r="J2035" s="1"/>
    </row>
    <row r="2036" spans="1:10" ht="12.75" x14ac:dyDescent="0.2">
      <c r="A2036" s="3"/>
      <c r="B2036" s="3"/>
      <c r="C2036" s="3"/>
      <c r="D2036" s="3"/>
      <c r="E2036" s="3"/>
      <c r="F2036" s="2"/>
      <c r="G2036" s="2"/>
      <c r="I2036" s="1"/>
      <c r="J2036" s="1"/>
    </row>
    <row r="2037" spans="1:10" ht="12.75" x14ac:dyDescent="0.2">
      <c r="A2037" s="3"/>
      <c r="B2037" s="3"/>
      <c r="C2037" s="3"/>
      <c r="D2037" s="3"/>
      <c r="E2037" s="3"/>
      <c r="F2037" s="2"/>
      <c r="G2037" s="2"/>
      <c r="I2037" s="1"/>
      <c r="J2037" s="1"/>
    </row>
    <row r="2038" spans="1:10" ht="12.75" x14ac:dyDescent="0.2">
      <c r="A2038" s="3"/>
      <c r="B2038" s="3"/>
      <c r="C2038" s="3"/>
      <c r="D2038" s="3"/>
      <c r="E2038" s="3"/>
      <c r="F2038" s="2"/>
      <c r="G2038" s="2"/>
      <c r="I2038" s="1"/>
      <c r="J2038" s="1"/>
    </row>
    <row r="2039" spans="1:10" ht="12.75" x14ac:dyDescent="0.2">
      <c r="A2039" s="3"/>
      <c r="B2039" s="3"/>
      <c r="C2039" s="3"/>
      <c r="D2039" s="3"/>
      <c r="E2039" s="3"/>
      <c r="F2039" s="2"/>
      <c r="G2039" s="2"/>
      <c r="I2039" s="1"/>
      <c r="J2039" s="1"/>
    </row>
    <row r="2040" spans="1:10" ht="12.75" x14ac:dyDescent="0.2">
      <c r="A2040" s="3"/>
      <c r="B2040" s="3"/>
      <c r="C2040" s="3"/>
      <c r="D2040" s="3"/>
      <c r="E2040" s="3"/>
      <c r="F2040" s="2"/>
      <c r="G2040" s="2"/>
      <c r="I2040" s="1"/>
      <c r="J2040" s="1"/>
    </row>
    <row r="2041" spans="1:10" ht="12.75" x14ac:dyDescent="0.2">
      <c r="A2041" s="3"/>
      <c r="B2041" s="3"/>
      <c r="C2041" s="3"/>
      <c r="D2041" s="3"/>
      <c r="E2041" s="3"/>
      <c r="F2041" s="2"/>
      <c r="G2041" s="2"/>
      <c r="I2041" s="1"/>
      <c r="J2041" s="1"/>
    </row>
    <row r="2042" spans="1:10" ht="12.75" x14ac:dyDescent="0.2">
      <c r="A2042" s="3"/>
      <c r="B2042" s="3"/>
      <c r="C2042" s="3"/>
      <c r="D2042" s="3"/>
      <c r="E2042" s="3"/>
      <c r="F2042" s="2"/>
      <c r="G2042" s="2"/>
      <c r="I2042" s="1"/>
      <c r="J2042" s="1"/>
    </row>
    <row r="2043" spans="1:10" ht="12.75" x14ac:dyDescent="0.2">
      <c r="A2043" s="3"/>
      <c r="B2043" s="3"/>
      <c r="C2043" s="3"/>
      <c r="D2043" s="3"/>
      <c r="E2043" s="3"/>
      <c r="F2043" s="2"/>
      <c r="G2043" s="2"/>
      <c r="I2043" s="1"/>
      <c r="J2043" s="1"/>
    </row>
    <row r="2044" spans="1:10" ht="12.75" x14ac:dyDescent="0.2">
      <c r="A2044" s="3"/>
      <c r="B2044" s="3"/>
      <c r="C2044" s="3"/>
      <c r="D2044" s="3"/>
      <c r="E2044" s="3"/>
      <c r="F2044" s="2"/>
      <c r="G2044" s="2"/>
      <c r="I2044" s="1"/>
      <c r="J2044" s="1"/>
    </row>
    <row r="2045" spans="1:10" ht="12.75" x14ac:dyDescent="0.2">
      <c r="A2045" s="3"/>
      <c r="B2045" s="3"/>
      <c r="C2045" s="3"/>
      <c r="D2045" s="3"/>
      <c r="E2045" s="3"/>
      <c r="F2045" s="2"/>
      <c r="G2045" s="2"/>
      <c r="I2045" s="1"/>
      <c r="J2045" s="1"/>
    </row>
    <row r="2046" spans="1:10" ht="12.75" x14ac:dyDescent="0.2">
      <c r="A2046" s="3"/>
      <c r="B2046" s="3"/>
      <c r="C2046" s="3"/>
      <c r="D2046" s="3"/>
      <c r="E2046" s="3"/>
      <c r="F2046" s="2"/>
      <c r="G2046" s="2"/>
      <c r="I2046" s="1"/>
      <c r="J2046" s="1"/>
    </row>
    <row r="2047" spans="1:10" ht="12.75" x14ac:dyDescent="0.2">
      <c r="A2047" s="3"/>
      <c r="B2047" s="3"/>
      <c r="C2047" s="3"/>
      <c r="D2047" s="3"/>
      <c r="E2047" s="3"/>
      <c r="F2047" s="2"/>
      <c r="G2047" s="2"/>
      <c r="I2047" s="1"/>
      <c r="J2047" s="1"/>
    </row>
    <row r="2048" spans="1:10" ht="12.75" x14ac:dyDescent="0.2">
      <c r="A2048" s="3"/>
      <c r="B2048" s="3"/>
      <c r="C2048" s="3"/>
      <c r="D2048" s="3"/>
      <c r="E2048" s="3"/>
      <c r="F2048" s="2"/>
      <c r="G2048" s="2"/>
      <c r="I2048" s="1"/>
      <c r="J2048" s="1"/>
    </row>
    <row r="2049" spans="1:10" ht="12.75" x14ac:dyDescent="0.2">
      <c r="A2049" s="3"/>
      <c r="B2049" s="3"/>
      <c r="C2049" s="3"/>
      <c r="D2049" s="3"/>
      <c r="E2049" s="3"/>
      <c r="F2049" s="2"/>
      <c r="G2049" s="2"/>
      <c r="I2049" s="1"/>
      <c r="J2049" s="1"/>
    </row>
    <row r="2050" spans="1:10" ht="12.75" x14ac:dyDescent="0.2">
      <c r="A2050" s="3"/>
      <c r="B2050" s="3"/>
      <c r="C2050" s="3"/>
      <c r="D2050" s="3"/>
      <c r="E2050" s="3"/>
      <c r="F2050" s="2"/>
      <c r="G2050" s="2"/>
      <c r="I2050" s="1"/>
      <c r="J2050" s="1"/>
    </row>
    <row r="2051" spans="1:10" ht="12.75" x14ac:dyDescent="0.2">
      <c r="A2051" s="3"/>
      <c r="B2051" s="3"/>
      <c r="C2051" s="3"/>
      <c r="D2051" s="3"/>
      <c r="E2051" s="3"/>
      <c r="F2051" s="2"/>
      <c r="G2051" s="2"/>
      <c r="I2051" s="1"/>
      <c r="J2051" s="1"/>
    </row>
    <row r="2052" spans="1:10" ht="12.75" x14ac:dyDescent="0.2">
      <c r="A2052" s="3"/>
      <c r="B2052" s="3"/>
      <c r="C2052" s="3"/>
      <c r="D2052" s="3"/>
      <c r="E2052" s="3"/>
      <c r="F2052" s="2"/>
      <c r="G2052" s="2"/>
      <c r="I2052" s="1"/>
      <c r="J2052" s="1"/>
    </row>
    <row r="2053" spans="1:10" ht="12.75" x14ac:dyDescent="0.2">
      <c r="A2053" s="3"/>
      <c r="B2053" s="3"/>
      <c r="C2053" s="3"/>
      <c r="D2053" s="3"/>
      <c r="E2053" s="3"/>
      <c r="F2053" s="2"/>
      <c r="G2053" s="2"/>
      <c r="I2053" s="1"/>
      <c r="J2053" s="1"/>
    </row>
    <row r="2054" spans="1:10" ht="12.75" x14ac:dyDescent="0.2">
      <c r="A2054" s="3"/>
      <c r="B2054" s="3"/>
      <c r="C2054" s="3"/>
      <c r="D2054" s="3"/>
      <c r="E2054" s="3"/>
      <c r="F2054" s="2"/>
      <c r="G2054" s="2"/>
      <c r="I2054" s="1"/>
      <c r="J2054" s="1"/>
    </row>
    <row r="2055" spans="1:10" ht="12.75" x14ac:dyDescent="0.2">
      <c r="A2055" s="3"/>
      <c r="B2055" s="3"/>
      <c r="C2055" s="3"/>
      <c r="D2055" s="3"/>
      <c r="E2055" s="3"/>
      <c r="F2055" s="2"/>
      <c r="G2055" s="2"/>
      <c r="I2055" s="1"/>
      <c r="J2055" s="1"/>
    </row>
    <row r="2056" spans="1:10" ht="12.75" x14ac:dyDescent="0.2">
      <c r="A2056" s="3"/>
      <c r="B2056" s="3"/>
      <c r="C2056" s="3"/>
      <c r="D2056" s="3"/>
      <c r="E2056" s="3"/>
      <c r="F2056" s="2"/>
      <c r="G2056" s="2"/>
      <c r="I2056" s="1"/>
      <c r="J2056" s="1"/>
    </row>
    <row r="2057" spans="1:10" ht="12.75" x14ac:dyDescent="0.2">
      <c r="A2057" s="3"/>
      <c r="B2057" s="3"/>
      <c r="C2057" s="3"/>
      <c r="D2057" s="3"/>
      <c r="E2057" s="3"/>
      <c r="F2057" s="2"/>
      <c r="G2057" s="2"/>
      <c r="I2057" s="1"/>
      <c r="J2057" s="1"/>
    </row>
    <row r="2058" spans="1:10" ht="12.75" x14ac:dyDescent="0.2">
      <c r="A2058" s="3"/>
      <c r="B2058" s="3"/>
      <c r="C2058" s="3"/>
      <c r="D2058" s="3"/>
      <c r="E2058" s="3"/>
      <c r="F2058" s="2"/>
      <c r="G2058" s="2"/>
      <c r="I2058" s="1"/>
      <c r="J2058" s="1"/>
    </row>
    <row r="2059" spans="1:10" ht="12.75" x14ac:dyDescent="0.2">
      <c r="A2059" s="3"/>
      <c r="B2059" s="3"/>
      <c r="C2059" s="3"/>
      <c r="D2059" s="3"/>
      <c r="E2059" s="3"/>
      <c r="F2059" s="2"/>
      <c r="G2059" s="2"/>
      <c r="I2059" s="1"/>
      <c r="J2059" s="1"/>
    </row>
    <row r="2060" spans="1:10" ht="12.75" x14ac:dyDescent="0.2">
      <c r="A2060" s="3"/>
      <c r="B2060" s="3"/>
      <c r="C2060" s="3"/>
      <c r="D2060" s="3"/>
      <c r="E2060" s="3"/>
      <c r="F2060" s="2"/>
      <c r="G2060" s="2"/>
      <c r="I2060" s="1"/>
      <c r="J2060" s="1"/>
    </row>
    <row r="2061" spans="1:10" ht="12.75" x14ac:dyDescent="0.2">
      <c r="A2061" s="3"/>
      <c r="B2061" s="3"/>
      <c r="C2061" s="3"/>
      <c r="D2061" s="3"/>
      <c r="E2061" s="3"/>
      <c r="F2061" s="2"/>
      <c r="G2061" s="2"/>
      <c r="I2061" s="1"/>
      <c r="J2061" s="1"/>
    </row>
    <row r="2062" spans="1:10" ht="12.75" x14ac:dyDescent="0.2">
      <c r="A2062" s="3"/>
      <c r="B2062" s="3"/>
      <c r="C2062" s="3"/>
      <c r="D2062" s="3"/>
      <c r="E2062" s="3"/>
      <c r="F2062" s="2"/>
      <c r="G2062" s="2"/>
      <c r="I2062" s="1"/>
      <c r="J2062" s="1"/>
    </row>
    <row r="2063" spans="1:10" ht="12.75" x14ac:dyDescent="0.2">
      <c r="A2063" s="3"/>
      <c r="B2063" s="3"/>
      <c r="C2063" s="3"/>
      <c r="D2063" s="3"/>
      <c r="E2063" s="3"/>
      <c r="F2063" s="2"/>
      <c r="G2063" s="2"/>
      <c r="I2063" s="1"/>
      <c r="J2063" s="1"/>
    </row>
    <row r="2064" spans="1:10" ht="12.75" x14ac:dyDescent="0.2">
      <c r="A2064" s="3"/>
      <c r="B2064" s="3"/>
      <c r="C2064" s="3"/>
      <c r="D2064" s="3"/>
      <c r="E2064" s="3"/>
      <c r="F2064" s="2"/>
      <c r="G2064" s="2"/>
      <c r="I2064" s="1"/>
      <c r="J2064" s="1"/>
    </row>
    <row r="2065" spans="1:10" ht="12.75" x14ac:dyDescent="0.2">
      <c r="A2065" s="3"/>
      <c r="B2065" s="3"/>
      <c r="C2065" s="3"/>
      <c r="D2065" s="3"/>
      <c r="E2065" s="3"/>
      <c r="F2065" s="2"/>
      <c r="G2065" s="2"/>
      <c r="I2065" s="1"/>
      <c r="J2065" s="1"/>
    </row>
    <row r="2066" spans="1:10" ht="12.75" x14ac:dyDescent="0.2">
      <c r="A2066" s="3"/>
      <c r="B2066" s="3"/>
      <c r="C2066" s="3"/>
      <c r="D2066" s="3"/>
      <c r="E2066" s="3"/>
      <c r="F2066" s="2"/>
      <c r="G2066" s="2"/>
      <c r="I2066" s="1"/>
      <c r="J2066" s="1"/>
    </row>
    <row r="2067" spans="1:10" ht="12.75" x14ac:dyDescent="0.2">
      <c r="A2067" s="3"/>
      <c r="B2067" s="3"/>
      <c r="C2067" s="3"/>
      <c r="D2067" s="3"/>
      <c r="E2067" s="3"/>
      <c r="F2067" s="2"/>
      <c r="G2067" s="2"/>
      <c r="I2067" s="1"/>
      <c r="J2067" s="1"/>
    </row>
    <row r="2068" spans="1:10" ht="12.75" x14ac:dyDescent="0.2">
      <c r="A2068" s="3"/>
      <c r="B2068" s="3"/>
      <c r="C2068" s="3"/>
      <c r="D2068" s="3"/>
      <c r="E2068" s="3"/>
      <c r="F2068" s="2"/>
      <c r="G2068" s="2"/>
      <c r="I2068" s="1"/>
      <c r="J2068" s="1"/>
    </row>
    <row r="2069" spans="1:10" ht="12.75" x14ac:dyDescent="0.2">
      <c r="A2069" s="3"/>
      <c r="B2069" s="3"/>
      <c r="C2069" s="3"/>
      <c r="D2069" s="3"/>
      <c r="E2069" s="3"/>
      <c r="F2069" s="2"/>
      <c r="G2069" s="2"/>
      <c r="I2069" s="1"/>
      <c r="J2069" s="1"/>
    </row>
    <row r="2070" spans="1:10" ht="12.75" x14ac:dyDescent="0.2">
      <c r="A2070" s="3"/>
      <c r="B2070" s="3"/>
      <c r="C2070" s="3"/>
      <c r="D2070" s="3"/>
      <c r="E2070" s="3"/>
      <c r="F2070" s="2"/>
      <c r="G2070" s="2"/>
      <c r="I2070" s="1"/>
      <c r="J2070" s="1"/>
    </row>
    <row r="2071" spans="1:10" ht="12.75" x14ac:dyDescent="0.2">
      <c r="A2071" s="3"/>
      <c r="B2071" s="3"/>
      <c r="C2071" s="3"/>
      <c r="D2071" s="3"/>
      <c r="E2071" s="3"/>
      <c r="F2071" s="2"/>
      <c r="G2071" s="2"/>
      <c r="I2071" s="1"/>
      <c r="J2071" s="1"/>
    </row>
    <row r="2072" spans="1:10" ht="12.75" x14ac:dyDescent="0.2">
      <c r="A2072" s="3"/>
      <c r="B2072" s="3"/>
      <c r="C2072" s="3"/>
      <c r="D2072" s="3"/>
      <c r="E2072" s="3"/>
      <c r="F2072" s="2"/>
      <c r="G2072" s="2"/>
      <c r="I2072" s="1"/>
      <c r="J2072" s="1"/>
    </row>
    <row r="2073" spans="1:10" ht="12.75" x14ac:dyDescent="0.2">
      <c r="A2073" s="3"/>
      <c r="B2073" s="3"/>
      <c r="C2073" s="3"/>
      <c r="D2073" s="3"/>
      <c r="E2073" s="3"/>
      <c r="F2073" s="2"/>
      <c r="G2073" s="2"/>
      <c r="I2073" s="1"/>
      <c r="J2073" s="1"/>
    </row>
    <row r="2074" spans="1:10" ht="12.75" x14ac:dyDescent="0.2">
      <c r="A2074" s="3"/>
      <c r="B2074" s="3"/>
      <c r="C2074" s="3"/>
      <c r="D2074" s="3"/>
      <c r="E2074" s="3"/>
      <c r="F2074" s="2"/>
      <c r="G2074" s="2"/>
      <c r="I2074" s="1"/>
      <c r="J2074" s="1"/>
    </row>
    <row r="2075" spans="1:10" ht="12.75" x14ac:dyDescent="0.2">
      <c r="A2075" s="3"/>
      <c r="B2075" s="3"/>
      <c r="C2075" s="3"/>
      <c r="D2075" s="3"/>
      <c r="E2075" s="3"/>
      <c r="F2075" s="2"/>
      <c r="G2075" s="2"/>
      <c r="I2075" s="1"/>
      <c r="J2075" s="1"/>
    </row>
    <row r="2076" spans="1:10" ht="12.75" x14ac:dyDescent="0.2">
      <c r="A2076" s="3"/>
      <c r="B2076" s="3"/>
      <c r="C2076" s="3"/>
      <c r="D2076" s="3"/>
      <c r="E2076" s="3"/>
      <c r="F2076" s="2"/>
      <c r="G2076" s="2"/>
      <c r="I2076" s="1"/>
      <c r="J2076" s="1"/>
    </row>
    <row r="2077" spans="1:10" ht="12.75" x14ac:dyDescent="0.2">
      <c r="A2077" s="3"/>
      <c r="B2077" s="3"/>
      <c r="C2077" s="3"/>
      <c r="D2077" s="3"/>
      <c r="E2077" s="3"/>
      <c r="F2077" s="2"/>
      <c r="G2077" s="2"/>
      <c r="I2077" s="1"/>
      <c r="J2077" s="1"/>
    </row>
    <row r="2078" spans="1:10" ht="12.75" x14ac:dyDescent="0.2">
      <c r="A2078" s="3"/>
      <c r="B2078" s="3"/>
      <c r="C2078" s="3"/>
      <c r="D2078" s="3"/>
      <c r="E2078" s="3"/>
      <c r="F2078" s="2"/>
      <c r="G2078" s="2"/>
      <c r="I2078" s="1"/>
      <c r="J2078" s="1"/>
    </row>
    <row r="2079" spans="1:10" ht="12.75" x14ac:dyDescent="0.2">
      <c r="A2079" s="3"/>
      <c r="B2079" s="3"/>
      <c r="C2079" s="3"/>
      <c r="D2079" s="3"/>
      <c r="E2079" s="3"/>
      <c r="F2079" s="2"/>
      <c r="G2079" s="2"/>
      <c r="I2079" s="1"/>
      <c r="J2079" s="1"/>
    </row>
    <row r="2080" spans="1:10" ht="12.75" x14ac:dyDescent="0.2">
      <c r="A2080" s="3"/>
      <c r="B2080" s="3"/>
      <c r="C2080" s="3"/>
      <c r="D2080" s="3"/>
      <c r="E2080" s="3"/>
      <c r="F2080" s="2"/>
      <c r="G2080" s="2"/>
      <c r="I2080" s="1"/>
      <c r="J2080" s="1"/>
    </row>
    <row r="2081" spans="1:10" ht="12.75" x14ac:dyDescent="0.2">
      <c r="A2081" s="3"/>
      <c r="B2081" s="3"/>
      <c r="C2081" s="3"/>
      <c r="D2081" s="3"/>
      <c r="E2081" s="3"/>
      <c r="F2081" s="2"/>
      <c r="G2081" s="2"/>
      <c r="I2081" s="1"/>
      <c r="J2081" s="1"/>
    </row>
    <row r="2082" spans="1:10" ht="12.75" x14ac:dyDescent="0.2">
      <c r="A2082" s="3"/>
      <c r="B2082" s="3"/>
      <c r="C2082" s="3"/>
      <c r="D2082" s="3"/>
      <c r="E2082" s="3"/>
      <c r="F2082" s="2"/>
      <c r="G2082" s="2"/>
      <c r="I2082" s="1"/>
      <c r="J2082" s="1"/>
    </row>
    <row r="2083" spans="1:10" ht="12.75" x14ac:dyDescent="0.2">
      <c r="A2083" s="3"/>
      <c r="B2083" s="3"/>
      <c r="C2083" s="3"/>
      <c r="D2083" s="3"/>
      <c r="E2083" s="3"/>
      <c r="F2083" s="2"/>
      <c r="G2083" s="2"/>
      <c r="I2083" s="1"/>
      <c r="J2083" s="1"/>
    </row>
    <row r="2084" spans="1:10" ht="12.75" x14ac:dyDescent="0.2">
      <c r="A2084" s="3"/>
      <c r="B2084" s="3"/>
      <c r="C2084" s="3"/>
      <c r="D2084" s="3"/>
      <c r="E2084" s="3"/>
      <c r="F2084" s="2"/>
      <c r="G2084" s="2"/>
      <c r="I2084" s="1"/>
      <c r="J2084" s="1"/>
    </row>
    <row r="2085" spans="1:10" ht="12.75" x14ac:dyDescent="0.2">
      <c r="A2085" s="3"/>
      <c r="B2085" s="3"/>
      <c r="C2085" s="3"/>
      <c r="D2085" s="3"/>
      <c r="E2085" s="3"/>
      <c r="F2085" s="2"/>
      <c r="G2085" s="2"/>
      <c r="I2085" s="1"/>
      <c r="J2085" s="1"/>
    </row>
    <row r="2086" spans="1:10" ht="12.75" x14ac:dyDescent="0.2">
      <c r="A2086" s="3"/>
      <c r="B2086" s="3"/>
      <c r="C2086" s="3"/>
      <c r="D2086" s="3"/>
      <c r="E2086" s="3"/>
      <c r="F2086" s="2"/>
      <c r="G2086" s="2"/>
      <c r="I2086" s="1"/>
      <c r="J2086" s="1"/>
    </row>
    <row r="2087" spans="1:10" ht="12.75" x14ac:dyDescent="0.2">
      <c r="A2087" s="3"/>
      <c r="B2087" s="3"/>
      <c r="C2087" s="3"/>
      <c r="D2087" s="3"/>
      <c r="E2087" s="3"/>
      <c r="F2087" s="2"/>
      <c r="G2087" s="2"/>
      <c r="I2087" s="1"/>
      <c r="J2087" s="1"/>
    </row>
    <row r="2088" spans="1:10" ht="12.75" x14ac:dyDescent="0.2">
      <c r="A2088" s="3"/>
      <c r="B2088" s="3"/>
      <c r="C2088" s="3"/>
      <c r="D2088" s="3"/>
      <c r="E2088" s="3"/>
      <c r="F2088" s="2"/>
      <c r="G2088" s="2"/>
      <c r="I2088" s="1"/>
      <c r="J2088" s="1"/>
    </row>
    <row r="2089" spans="1:10" ht="12.75" x14ac:dyDescent="0.2">
      <c r="A2089" s="3"/>
      <c r="B2089" s="3"/>
      <c r="C2089" s="3"/>
      <c r="D2089" s="3"/>
      <c r="E2089" s="3"/>
      <c r="F2089" s="2"/>
      <c r="G2089" s="2"/>
      <c r="I2089" s="1"/>
      <c r="J2089" s="1"/>
    </row>
    <row r="2090" spans="1:10" ht="12.75" x14ac:dyDescent="0.2">
      <c r="A2090" s="3"/>
      <c r="B2090" s="3"/>
      <c r="C2090" s="3"/>
      <c r="D2090" s="3"/>
      <c r="E2090" s="3"/>
      <c r="F2090" s="2"/>
      <c r="G2090" s="2"/>
      <c r="I2090" s="1"/>
      <c r="J2090" s="1"/>
    </row>
    <row r="2091" spans="1:10" ht="12.75" x14ac:dyDescent="0.2">
      <c r="A2091" s="3"/>
      <c r="B2091" s="3"/>
      <c r="C2091" s="3"/>
      <c r="D2091" s="3"/>
      <c r="E2091" s="3"/>
      <c r="F2091" s="2"/>
      <c r="G2091" s="2"/>
      <c r="I2091" s="1"/>
      <c r="J2091" s="1"/>
    </row>
    <row r="2092" spans="1:10" ht="12.75" x14ac:dyDescent="0.2">
      <c r="A2092" s="3"/>
      <c r="B2092" s="3"/>
      <c r="C2092" s="3"/>
      <c r="D2092" s="3"/>
      <c r="E2092" s="3"/>
      <c r="F2092" s="2"/>
      <c r="G2092" s="2"/>
      <c r="I2092" s="1"/>
      <c r="J2092" s="1"/>
    </row>
    <row r="2093" spans="1:10" ht="12.75" x14ac:dyDescent="0.2">
      <c r="A2093" s="3"/>
      <c r="B2093" s="3"/>
      <c r="C2093" s="3"/>
      <c r="D2093" s="3"/>
      <c r="E2093" s="3"/>
      <c r="F2093" s="2"/>
      <c r="G2093" s="2"/>
      <c r="I2093" s="1"/>
      <c r="J2093" s="1"/>
    </row>
    <row r="2094" spans="1:10" ht="12.75" x14ac:dyDescent="0.2">
      <c r="A2094" s="3"/>
      <c r="B2094" s="3"/>
      <c r="C2094" s="3"/>
      <c r="D2094" s="3"/>
      <c r="E2094" s="3"/>
      <c r="F2094" s="2"/>
      <c r="G2094" s="2"/>
      <c r="I2094" s="1"/>
      <c r="J2094" s="1"/>
    </row>
    <row r="2095" spans="1:10" ht="12.75" x14ac:dyDescent="0.2">
      <c r="A2095" s="3"/>
      <c r="B2095" s="3"/>
      <c r="C2095" s="3"/>
      <c r="D2095" s="3"/>
      <c r="E2095" s="3"/>
      <c r="F2095" s="2"/>
      <c r="G2095" s="2"/>
      <c r="I2095" s="1"/>
      <c r="J2095" s="1"/>
    </row>
    <row r="2096" spans="1:10" ht="12.75" x14ac:dyDescent="0.2">
      <c r="A2096" s="3"/>
      <c r="B2096" s="3"/>
      <c r="C2096" s="3"/>
      <c r="D2096" s="3"/>
      <c r="E2096" s="3"/>
      <c r="F2096" s="2"/>
      <c r="G2096" s="2"/>
      <c r="I2096" s="1"/>
      <c r="J2096" s="1"/>
    </row>
    <row r="2097" spans="1:10" ht="12.75" x14ac:dyDescent="0.2">
      <c r="A2097" s="3"/>
      <c r="B2097" s="3"/>
      <c r="C2097" s="3"/>
      <c r="D2097" s="3"/>
      <c r="E2097" s="3"/>
      <c r="F2097" s="2"/>
      <c r="G2097" s="2"/>
      <c r="I2097" s="1"/>
      <c r="J2097" s="1"/>
    </row>
    <row r="2098" spans="1:10" ht="12.75" x14ac:dyDescent="0.2">
      <c r="A2098" s="3"/>
      <c r="B2098" s="3"/>
      <c r="C2098" s="3"/>
      <c r="D2098" s="3"/>
      <c r="E2098" s="3"/>
      <c r="F2098" s="2"/>
      <c r="G2098" s="2"/>
      <c r="I2098" s="1"/>
      <c r="J2098" s="1"/>
    </row>
    <row r="2099" spans="1:10" ht="12.75" x14ac:dyDescent="0.2">
      <c r="A2099" s="3"/>
      <c r="B2099" s="3"/>
      <c r="C2099" s="3"/>
      <c r="D2099" s="3"/>
      <c r="E2099" s="3"/>
      <c r="F2099" s="2"/>
      <c r="G2099" s="2"/>
      <c r="I2099" s="1"/>
      <c r="J2099" s="1"/>
    </row>
    <row r="2100" spans="1:10" ht="12.75" x14ac:dyDescent="0.2">
      <c r="A2100" s="3"/>
      <c r="B2100" s="3"/>
      <c r="C2100" s="3"/>
      <c r="D2100" s="3"/>
      <c r="E2100" s="3"/>
      <c r="F2100" s="2"/>
      <c r="G2100" s="2"/>
      <c r="I2100" s="1"/>
      <c r="J2100" s="1"/>
    </row>
    <row r="2101" spans="1:10" ht="12.75" x14ac:dyDescent="0.2">
      <c r="A2101" s="3"/>
      <c r="B2101" s="3"/>
      <c r="C2101" s="3"/>
      <c r="D2101" s="3"/>
      <c r="E2101" s="3"/>
      <c r="F2101" s="2"/>
      <c r="G2101" s="2"/>
      <c r="I2101" s="1"/>
      <c r="J2101" s="1"/>
    </row>
    <row r="2102" spans="1:10" ht="12.75" x14ac:dyDescent="0.2">
      <c r="A2102" s="3"/>
      <c r="B2102" s="3"/>
      <c r="C2102" s="3"/>
      <c r="D2102" s="3"/>
      <c r="E2102" s="3"/>
      <c r="F2102" s="2"/>
      <c r="G2102" s="2"/>
      <c r="I2102" s="1"/>
      <c r="J2102" s="1"/>
    </row>
    <row r="2103" spans="1:10" ht="12.75" x14ac:dyDescent="0.2">
      <c r="A2103" s="3"/>
      <c r="B2103" s="3"/>
      <c r="C2103" s="3"/>
      <c r="D2103" s="3"/>
      <c r="E2103" s="3"/>
      <c r="F2103" s="2"/>
      <c r="G2103" s="2"/>
      <c r="I2103" s="1"/>
      <c r="J2103" s="1"/>
    </row>
    <row r="2104" spans="1:10" ht="12.75" x14ac:dyDescent="0.2">
      <c r="A2104" s="3"/>
      <c r="B2104" s="3"/>
      <c r="C2104" s="3"/>
      <c r="D2104" s="3"/>
      <c r="E2104" s="3"/>
      <c r="F2104" s="2"/>
      <c r="G2104" s="2"/>
      <c r="I2104" s="1"/>
      <c r="J2104" s="1"/>
    </row>
    <row r="2105" spans="1:10" ht="12.75" x14ac:dyDescent="0.2">
      <c r="A2105" s="3"/>
      <c r="B2105" s="3"/>
      <c r="C2105" s="3"/>
      <c r="D2105" s="3"/>
      <c r="E2105" s="3"/>
      <c r="F2105" s="2"/>
      <c r="G2105" s="2"/>
      <c r="I2105" s="1"/>
      <c r="J2105" s="1"/>
    </row>
    <row r="2106" spans="1:10" ht="12.75" x14ac:dyDescent="0.2">
      <c r="A2106" s="3"/>
      <c r="B2106" s="3"/>
      <c r="C2106" s="3"/>
      <c r="D2106" s="3"/>
      <c r="E2106" s="3"/>
      <c r="F2106" s="2"/>
      <c r="G2106" s="2"/>
      <c r="I2106" s="1"/>
      <c r="J2106" s="1"/>
    </row>
    <row r="2107" spans="1:10" ht="12.75" x14ac:dyDescent="0.2">
      <c r="A2107" s="3"/>
      <c r="B2107" s="3"/>
      <c r="C2107" s="3"/>
      <c r="D2107" s="3"/>
      <c r="E2107" s="3"/>
      <c r="F2107" s="2"/>
      <c r="G2107" s="2"/>
      <c r="I2107" s="1"/>
      <c r="J2107" s="1"/>
    </row>
    <row r="2108" spans="1:10" ht="12.75" x14ac:dyDescent="0.2">
      <c r="A2108" s="3"/>
      <c r="B2108" s="3"/>
      <c r="C2108" s="3"/>
      <c r="D2108" s="3"/>
      <c r="E2108" s="3"/>
      <c r="F2108" s="2"/>
      <c r="G2108" s="2"/>
      <c r="I2108" s="1"/>
      <c r="J2108" s="1"/>
    </row>
    <row r="2109" spans="1:10" ht="12.75" x14ac:dyDescent="0.2">
      <c r="A2109" s="3"/>
      <c r="B2109" s="3"/>
      <c r="C2109" s="3"/>
      <c r="D2109" s="3"/>
      <c r="E2109" s="3"/>
      <c r="F2109" s="2"/>
      <c r="G2109" s="2"/>
      <c r="I2109" s="1"/>
      <c r="J2109" s="1"/>
    </row>
    <row r="2110" spans="1:10" ht="12.75" x14ac:dyDescent="0.2">
      <c r="A2110" s="3"/>
      <c r="B2110" s="3"/>
      <c r="C2110" s="3"/>
      <c r="D2110" s="3"/>
      <c r="E2110" s="3"/>
      <c r="F2110" s="2"/>
      <c r="G2110" s="2"/>
      <c r="I2110" s="1"/>
      <c r="J2110" s="1"/>
    </row>
    <row r="2111" spans="1:10" ht="12.75" x14ac:dyDescent="0.2">
      <c r="A2111" s="3"/>
      <c r="B2111" s="3"/>
      <c r="C2111" s="3"/>
      <c r="D2111" s="3"/>
      <c r="E2111" s="3"/>
      <c r="F2111" s="2"/>
      <c r="G2111" s="2"/>
      <c r="I2111" s="1"/>
      <c r="J2111" s="1"/>
    </row>
    <row r="2112" spans="1:10" ht="12.75" x14ac:dyDescent="0.2">
      <c r="A2112" s="3"/>
      <c r="B2112" s="3"/>
      <c r="C2112" s="3"/>
      <c r="D2112" s="3"/>
      <c r="E2112" s="3"/>
      <c r="F2112" s="2"/>
      <c r="G2112" s="2"/>
      <c r="I2112" s="1"/>
      <c r="J2112" s="1"/>
    </row>
    <row r="2113" spans="1:10" ht="12.75" x14ac:dyDescent="0.2">
      <c r="A2113" s="3"/>
      <c r="B2113" s="3"/>
      <c r="C2113" s="3"/>
      <c r="D2113" s="3"/>
      <c r="E2113" s="3"/>
      <c r="F2113" s="2"/>
      <c r="G2113" s="2"/>
      <c r="I2113" s="1"/>
      <c r="J2113" s="1"/>
    </row>
    <row r="2114" spans="1:10" ht="12.75" x14ac:dyDescent="0.2">
      <c r="A2114" s="3"/>
      <c r="B2114" s="3"/>
      <c r="C2114" s="3"/>
      <c r="D2114" s="3"/>
      <c r="E2114" s="3"/>
      <c r="F2114" s="2"/>
      <c r="G2114" s="2"/>
      <c r="I2114" s="1"/>
      <c r="J2114" s="1"/>
    </row>
    <row r="2115" spans="1:10" ht="12.75" x14ac:dyDescent="0.2">
      <c r="A2115" s="3"/>
      <c r="B2115" s="3"/>
      <c r="C2115" s="3"/>
      <c r="D2115" s="3"/>
      <c r="E2115" s="3"/>
      <c r="F2115" s="2"/>
      <c r="G2115" s="2"/>
      <c r="I2115" s="1"/>
      <c r="J2115" s="1"/>
    </row>
    <row r="2116" spans="1:10" ht="12.75" x14ac:dyDescent="0.2">
      <c r="A2116" s="3"/>
      <c r="B2116" s="3"/>
      <c r="C2116" s="3"/>
      <c r="D2116" s="3"/>
      <c r="E2116" s="3"/>
      <c r="F2116" s="2"/>
      <c r="G2116" s="2"/>
      <c r="I2116" s="1"/>
      <c r="J2116" s="1"/>
    </row>
    <row r="2117" spans="1:10" ht="12.75" x14ac:dyDescent="0.2">
      <c r="A2117" s="3"/>
      <c r="B2117" s="3"/>
      <c r="C2117" s="3"/>
      <c r="D2117" s="3"/>
      <c r="E2117" s="3"/>
      <c r="F2117" s="2"/>
      <c r="G2117" s="2"/>
      <c r="I2117" s="1"/>
      <c r="J2117" s="1"/>
    </row>
    <row r="2118" spans="1:10" ht="12.75" x14ac:dyDescent="0.2">
      <c r="A2118" s="3"/>
      <c r="B2118" s="3"/>
      <c r="C2118" s="3"/>
      <c r="D2118" s="3"/>
      <c r="E2118" s="3"/>
      <c r="F2118" s="2"/>
      <c r="G2118" s="2"/>
      <c r="I2118" s="1"/>
      <c r="J2118" s="1"/>
    </row>
    <row r="2119" spans="1:10" ht="12.75" x14ac:dyDescent="0.2">
      <c r="A2119" s="3"/>
      <c r="B2119" s="3"/>
      <c r="C2119" s="3"/>
      <c r="D2119" s="3"/>
      <c r="E2119" s="3"/>
      <c r="F2119" s="2"/>
      <c r="G2119" s="2"/>
      <c r="I2119" s="1"/>
      <c r="J2119" s="1"/>
    </row>
    <row r="2120" spans="1:10" ht="12.75" x14ac:dyDescent="0.2">
      <c r="A2120" s="3"/>
      <c r="B2120" s="3"/>
      <c r="C2120" s="3"/>
      <c r="D2120" s="3"/>
      <c r="E2120" s="3"/>
      <c r="F2120" s="2"/>
      <c r="G2120" s="2"/>
      <c r="I2120" s="1"/>
      <c r="J2120" s="1"/>
    </row>
    <row r="2121" spans="1:10" ht="12.75" x14ac:dyDescent="0.2">
      <c r="A2121" s="3"/>
      <c r="B2121" s="3"/>
      <c r="C2121" s="3"/>
      <c r="D2121" s="3"/>
      <c r="E2121" s="3"/>
      <c r="F2121" s="2"/>
      <c r="G2121" s="2"/>
      <c r="I2121" s="1"/>
      <c r="J2121" s="1"/>
    </row>
    <row r="2122" spans="1:10" ht="12.75" x14ac:dyDescent="0.2">
      <c r="A2122" s="3"/>
      <c r="B2122" s="3"/>
      <c r="C2122" s="3"/>
      <c r="D2122" s="3"/>
      <c r="E2122" s="3"/>
      <c r="F2122" s="2"/>
      <c r="G2122" s="2"/>
      <c r="I2122" s="1"/>
      <c r="J2122" s="1"/>
    </row>
    <row r="2123" spans="1:10" ht="12.75" x14ac:dyDescent="0.2">
      <c r="A2123" s="3"/>
      <c r="B2123" s="3"/>
      <c r="C2123" s="3"/>
      <c r="D2123" s="3"/>
      <c r="E2123" s="3"/>
      <c r="F2123" s="2"/>
      <c r="G2123" s="2"/>
      <c r="I2123" s="1"/>
      <c r="J2123" s="1"/>
    </row>
    <row r="2124" spans="1:10" ht="12.75" x14ac:dyDescent="0.2">
      <c r="A2124" s="3"/>
      <c r="B2124" s="3"/>
      <c r="C2124" s="3"/>
      <c r="D2124" s="3"/>
      <c r="E2124" s="3"/>
      <c r="F2124" s="2"/>
      <c r="G2124" s="2"/>
      <c r="I2124" s="1"/>
      <c r="J2124" s="1"/>
    </row>
    <row r="2125" spans="1:10" ht="12.75" x14ac:dyDescent="0.2">
      <c r="A2125" s="3"/>
      <c r="B2125" s="3"/>
      <c r="C2125" s="3"/>
      <c r="D2125" s="3"/>
      <c r="E2125" s="3"/>
      <c r="F2125" s="2"/>
      <c r="G2125" s="2"/>
      <c r="I2125" s="1"/>
      <c r="J2125" s="1"/>
    </row>
    <row r="2126" spans="1:10" ht="12.75" x14ac:dyDescent="0.2">
      <c r="A2126" s="3"/>
      <c r="B2126" s="3"/>
      <c r="C2126" s="3"/>
      <c r="D2126" s="3"/>
      <c r="E2126" s="3"/>
      <c r="F2126" s="2"/>
      <c r="G2126" s="2"/>
      <c r="I2126" s="1"/>
      <c r="J2126" s="1"/>
    </row>
    <row r="2127" spans="1:10" ht="12.75" x14ac:dyDescent="0.2">
      <c r="A2127" s="3"/>
      <c r="B2127" s="3"/>
      <c r="C2127" s="3"/>
      <c r="D2127" s="3"/>
      <c r="E2127" s="3"/>
      <c r="F2127" s="2"/>
      <c r="G2127" s="2"/>
      <c r="I2127" s="1"/>
      <c r="J2127" s="1"/>
    </row>
    <row r="2128" spans="1:10" ht="12.75" x14ac:dyDescent="0.2">
      <c r="A2128" s="3"/>
      <c r="B2128" s="3"/>
      <c r="C2128" s="3"/>
      <c r="D2128" s="3"/>
      <c r="E2128" s="3"/>
      <c r="F2128" s="2"/>
      <c r="G2128" s="2"/>
      <c r="I2128" s="1"/>
      <c r="J2128" s="1"/>
    </row>
    <row r="2129" spans="1:10" ht="12.75" x14ac:dyDescent="0.2">
      <c r="A2129" s="3"/>
      <c r="B2129" s="3"/>
      <c r="C2129" s="3"/>
      <c r="D2129" s="3"/>
      <c r="E2129" s="3"/>
      <c r="F2129" s="2"/>
      <c r="G2129" s="2"/>
      <c r="I2129" s="1"/>
      <c r="J2129" s="1"/>
    </row>
    <row r="2130" spans="1:10" ht="12.75" x14ac:dyDescent="0.2">
      <c r="A2130" s="3"/>
      <c r="B2130" s="3"/>
      <c r="C2130" s="3"/>
      <c r="D2130" s="3"/>
      <c r="E2130" s="3"/>
      <c r="F2130" s="2"/>
      <c r="G2130" s="2"/>
      <c r="I2130" s="1"/>
      <c r="J2130" s="1"/>
    </row>
    <row r="2131" spans="1:10" ht="12.75" x14ac:dyDescent="0.2">
      <c r="A2131" s="3"/>
      <c r="B2131" s="3"/>
      <c r="C2131" s="3"/>
      <c r="D2131" s="3"/>
      <c r="E2131" s="3"/>
      <c r="F2131" s="2"/>
      <c r="G2131" s="2"/>
      <c r="I2131" s="1"/>
      <c r="J2131" s="1"/>
    </row>
    <row r="2132" spans="1:10" ht="12.75" x14ac:dyDescent="0.2">
      <c r="A2132" s="3"/>
      <c r="B2132" s="3"/>
      <c r="C2132" s="3"/>
      <c r="D2132" s="3"/>
      <c r="E2132" s="3"/>
      <c r="F2132" s="2"/>
      <c r="G2132" s="2"/>
      <c r="I2132" s="1"/>
      <c r="J2132" s="1"/>
    </row>
    <row r="2133" spans="1:10" ht="12.75" x14ac:dyDescent="0.2">
      <c r="A2133" s="3"/>
      <c r="B2133" s="3"/>
      <c r="C2133" s="3"/>
      <c r="D2133" s="3"/>
      <c r="E2133" s="3"/>
      <c r="F2133" s="2"/>
      <c r="G2133" s="2"/>
      <c r="I2133" s="1"/>
      <c r="J2133" s="1"/>
    </row>
    <row r="2134" spans="1:10" ht="12.75" x14ac:dyDescent="0.2">
      <c r="A2134" s="3"/>
      <c r="B2134" s="3"/>
      <c r="C2134" s="3"/>
      <c r="D2134" s="3"/>
      <c r="E2134" s="3"/>
      <c r="F2134" s="2"/>
      <c r="G2134" s="2"/>
      <c r="I2134" s="1"/>
      <c r="J2134" s="1"/>
    </row>
    <row r="2135" spans="1:10" ht="12.75" x14ac:dyDescent="0.2">
      <c r="A2135" s="3"/>
      <c r="B2135" s="3"/>
      <c r="C2135" s="3"/>
      <c r="D2135" s="3"/>
      <c r="E2135" s="3"/>
      <c r="F2135" s="2"/>
      <c r="G2135" s="2"/>
      <c r="I2135" s="1"/>
      <c r="J2135" s="1"/>
    </row>
    <row r="2136" spans="1:10" ht="12.75" x14ac:dyDescent="0.2">
      <c r="A2136" s="3"/>
      <c r="B2136" s="3"/>
      <c r="C2136" s="3"/>
      <c r="D2136" s="3"/>
      <c r="E2136" s="3"/>
      <c r="F2136" s="2"/>
      <c r="G2136" s="2"/>
      <c r="I2136" s="1"/>
      <c r="J2136" s="1"/>
    </row>
    <row r="2137" spans="1:10" ht="12.75" x14ac:dyDescent="0.2">
      <c r="A2137" s="3"/>
      <c r="B2137" s="3"/>
      <c r="C2137" s="3"/>
      <c r="D2137" s="3"/>
      <c r="E2137" s="3"/>
      <c r="F2137" s="2"/>
      <c r="G2137" s="2"/>
      <c r="I2137" s="1"/>
      <c r="J2137" s="1"/>
    </row>
    <row r="2138" spans="1:10" ht="12.75" x14ac:dyDescent="0.2">
      <c r="A2138" s="3"/>
      <c r="B2138" s="3"/>
      <c r="C2138" s="3"/>
      <c r="D2138" s="3"/>
      <c r="E2138" s="3"/>
      <c r="F2138" s="2"/>
      <c r="G2138" s="2"/>
      <c r="I2138" s="1"/>
      <c r="J2138" s="1"/>
    </row>
    <row r="2139" spans="1:10" ht="12.75" x14ac:dyDescent="0.2">
      <c r="A2139" s="3"/>
      <c r="B2139" s="3"/>
      <c r="C2139" s="3"/>
      <c r="D2139" s="3"/>
      <c r="E2139" s="3"/>
      <c r="F2139" s="2"/>
      <c r="G2139" s="2"/>
      <c r="I2139" s="1"/>
      <c r="J2139" s="1"/>
    </row>
    <row r="2140" spans="1:10" ht="12.75" x14ac:dyDescent="0.2">
      <c r="A2140" s="3"/>
      <c r="B2140" s="3"/>
      <c r="C2140" s="3"/>
      <c r="D2140" s="3"/>
      <c r="E2140" s="3"/>
      <c r="F2140" s="2"/>
      <c r="G2140" s="2"/>
      <c r="I2140" s="1"/>
      <c r="J2140" s="1"/>
    </row>
    <row r="2141" spans="1:10" ht="12.75" x14ac:dyDescent="0.2">
      <c r="A2141" s="3"/>
      <c r="B2141" s="3"/>
      <c r="C2141" s="3"/>
      <c r="D2141" s="3"/>
      <c r="E2141" s="3"/>
      <c r="F2141" s="2"/>
      <c r="G2141" s="2"/>
      <c r="I2141" s="1"/>
      <c r="J2141" s="1"/>
    </row>
    <row r="2142" spans="1:10" ht="12.75" x14ac:dyDescent="0.2">
      <c r="A2142" s="3"/>
      <c r="B2142" s="3"/>
      <c r="C2142" s="3"/>
      <c r="D2142" s="3"/>
      <c r="E2142" s="3"/>
      <c r="F2142" s="2"/>
      <c r="G2142" s="2"/>
      <c r="I2142" s="1"/>
      <c r="J2142" s="1"/>
    </row>
    <row r="2143" spans="1:10" ht="12.75" x14ac:dyDescent="0.2">
      <c r="A2143" s="3"/>
      <c r="B2143" s="3"/>
      <c r="C2143" s="3"/>
      <c r="D2143" s="3"/>
      <c r="E2143" s="3"/>
      <c r="F2143" s="2"/>
      <c r="G2143" s="2"/>
      <c r="I2143" s="1"/>
      <c r="J2143" s="1"/>
    </row>
    <row r="2144" spans="1:10" ht="12.75" x14ac:dyDescent="0.2">
      <c r="A2144" s="3"/>
      <c r="B2144" s="3"/>
      <c r="C2144" s="3"/>
      <c r="D2144" s="3"/>
      <c r="E2144" s="3"/>
      <c r="F2144" s="2"/>
      <c r="G2144" s="2"/>
      <c r="I2144" s="1"/>
      <c r="J2144" s="1"/>
    </row>
    <row r="2145" spans="1:10" ht="12.75" x14ac:dyDescent="0.2">
      <c r="A2145" s="3"/>
      <c r="B2145" s="3"/>
      <c r="C2145" s="3"/>
      <c r="D2145" s="3"/>
      <c r="E2145" s="3"/>
      <c r="F2145" s="2"/>
      <c r="G2145" s="2"/>
      <c r="I2145" s="1"/>
      <c r="J2145" s="1"/>
    </row>
    <row r="2146" spans="1:10" ht="12.75" x14ac:dyDescent="0.2">
      <c r="A2146" s="3"/>
      <c r="B2146" s="3"/>
      <c r="C2146" s="3"/>
      <c r="D2146" s="3"/>
      <c r="E2146" s="3"/>
      <c r="F2146" s="2"/>
      <c r="G2146" s="2"/>
      <c r="I2146" s="1"/>
      <c r="J2146" s="1"/>
    </row>
    <row r="2147" spans="1:10" ht="12.75" x14ac:dyDescent="0.2">
      <c r="A2147" s="3"/>
      <c r="B2147" s="3"/>
      <c r="C2147" s="3"/>
      <c r="D2147" s="3"/>
      <c r="E2147" s="3"/>
      <c r="F2147" s="2"/>
      <c r="G2147" s="2"/>
      <c r="I2147" s="1"/>
      <c r="J2147" s="1"/>
    </row>
    <row r="2148" spans="1:10" ht="12.75" x14ac:dyDescent="0.2">
      <c r="A2148" s="3"/>
      <c r="B2148" s="3"/>
      <c r="C2148" s="3"/>
      <c r="D2148" s="3"/>
      <c r="E2148" s="3"/>
      <c r="F2148" s="2"/>
      <c r="G2148" s="2"/>
      <c r="I2148" s="1"/>
      <c r="J2148" s="1"/>
    </row>
    <row r="2149" spans="1:10" ht="12.75" x14ac:dyDescent="0.2">
      <c r="A2149" s="3"/>
      <c r="B2149" s="3"/>
      <c r="C2149" s="3"/>
      <c r="D2149" s="3"/>
      <c r="E2149" s="3"/>
      <c r="F2149" s="2"/>
      <c r="G2149" s="2"/>
      <c r="I2149" s="1"/>
      <c r="J2149" s="1"/>
    </row>
    <row r="2150" spans="1:10" ht="12.75" x14ac:dyDescent="0.2">
      <c r="A2150" s="3"/>
      <c r="B2150" s="3"/>
      <c r="C2150" s="3"/>
      <c r="D2150" s="3"/>
      <c r="E2150" s="3"/>
      <c r="F2150" s="2"/>
      <c r="G2150" s="2"/>
      <c r="I2150" s="1"/>
      <c r="J2150" s="1"/>
    </row>
    <row r="2151" spans="1:10" ht="12.75" x14ac:dyDescent="0.2">
      <c r="A2151" s="3"/>
      <c r="B2151" s="3"/>
      <c r="C2151" s="3"/>
      <c r="D2151" s="3"/>
      <c r="E2151" s="3"/>
      <c r="F2151" s="2"/>
      <c r="G2151" s="2"/>
      <c r="I2151" s="1"/>
      <c r="J2151" s="1"/>
    </row>
    <row r="2152" spans="1:10" ht="12.75" x14ac:dyDescent="0.2">
      <c r="A2152" s="3"/>
      <c r="B2152" s="3"/>
      <c r="C2152" s="3"/>
      <c r="D2152" s="3"/>
      <c r="E2152" s="3"/>
      <c r="F2152" s="2"/>
      <c r="G2152" s="2"/>
      <c r="I2152" s="1"/>
      <c r="J2152" s="1"/>
    </row>
    <row r="2153" spans="1:10" ht="12.75" x14ac:dyDescent="0.2">
      <c r="A2153" s="3"/>
      <c r="B2153" s="3"/>
      <c r="C2153" s="3"/>
      <c r="D2153" s="3"/>
      <c r="E2153" s="3"/>
      <c r="F2153" s="2"/>
      <c r="G2153" s="2"/>
      <c r="I2153" s="1"/>
      <c r="J2153" s="1"/>
    </row>
    <row r="2154" spans="1:10" ht="12.75" x14ac:dyDescent="0.2">
      <c r="A2154" s="3"/>
      <c r="B2154" s="3"/>
      <c r="C2154" s="3"/>
      <c r="D2154" s="3"/>
      <c r="E2154" s="3"/>
      <c r="F2154" s="2"/>
      <c r="G2154" s="2"/>
      <c r="I2154" s="1"/>
      <c r="J2154" s="1"/>
    </row>
    <row r="2155" spans="1:10" ht="12.75" x14ac:dyDescent="0.2">
      <c r="A2155" s="3"/>
      <c r="B2155" s="3"/>
      <c r="C2155" s="3"/>
      <c r="D2155" s="3"/>
      <c r="E2155" s="3"/>
      <c r="F2155" s="2"/>
      <c r="G2155" s="2"/>
      <c r="I2155" s="1"/>
      <c r="J2155" s="1"/>
    </row>
    <row r="2156" spans="1:10" ht="12.75" x14ac:dyDescent="0.2">
      <c r="A2156" s="3"/>
      <c r="B2156" s="3"/>
      <c r="C2156" s="3"/>
      <c r="D2156" s="3"/>
      <c r="E2156" s="3"/>
      <c r="F2156" s="2"/>
      <c r="G2156" s="2"/>
      <c r="I2156" s="1"/>
      <c r="J2156" s="1"/>
    </row>
    <row r="2157" spans="1:10" ht="12.75" x14ac:dyDescent="0.2">
      <c r="A2157" s="3"/>
      <c r="B2157" s="3"/>
      <c r="C2157" s="3"/>
      <c r="D2157" s="3"/>
      <c r="E2157" s="3"/>
      <c r="F2157" s="2"/>
      <c r="G2157" s="2"/>
      <c r="I2157" s="1"/>
      <c r="J2157" s="1"/>
    </row>
    <row r="2158" spans="1:10" ht="12.75" x14ac:dyDescent="0.2">
      <c r="A2158" s="3"/>
      <c r="B2158" s="3"/>
      <c r="C2158" s="3"/>
      <c r="D2158" s="3"/>
      <c r="E2158" s="3"/>
      <c r="F2158" s="2"/>
      <c r="G2158" s="2"/>
      <c r="I2158" s="1"/>
      <c r="J2158" s="1"/>
    </row>
    <row r="2159" spans="1:10" ht="12.75" x14ac:dyDescent="0.2">
      <c r="A2159" s="3"/>
      <c r="B2159" s="3"/>
      <c r="C2159" s="3"/>
      <c r="D2159" s="3"/>
      <c r="E2159" s="3"/>
      <c r="F2159" s="2"/>
      <c r="G2159" s="2"/>
      <c r="I2159" s="1"/>
      <c r="J2159" s="1"/>
    </row>
    <row r="2160" spans="1:10" ht="12.75" x14ac:dyDescent="0.2">
      <c r="A2160" s="3"/>
      <c r="B2160" s="3"/>
      <c r="C2160" s="3"/>
      <c r="D2160" s="3"/>
      <c r="E2160" s="3"/>
      <c r="F2160" s="2"/>
      <c r="G2160" s="2"/>
      <c r="I2160" s="1"/>
      <c r="J2160" s="1"/>
    </row>
    <row r="2161" spans="1:10" ht="12.75" x14ac:dyDescent="0.2">
      <c r="A2161" s="3"/>
      <c r="B2161" s="3"/>
      <c r="C2161" s="3"/>
      <c r="D2161" s="3"/>
      <c r="E2161" s="3"/>
      <c r="F2161" s="2"/>
      <c r="G2161" s="2"/>
      <c r="I2161" s="1"/>
      <c r="J2161" s="1"/>
    </row>
    <row r="2162" spans="1:10" ht="12.75" x14ac:dyDescent="0.2">
      <c r="A2162" s="3"/>
      <c r="B2162" s="3"/>
      <c r="C2162" s="3"/>
      <c r="D2162" s="3"/>
      <c r="E2162" s="3"/>
      <c r="F2162" s="2"/>
      <c r="G2162" s="2"/>
      <c r="I2162" s="1"/>
      <c r="J2162" s="1"/>
    </row>
    <row r="2163" spans="1:10" ht="12.75" x14ac:dyDescent="0.2">
      <c r="A2163" s="3"/>
      <c r="B2163" s="3"/>
      <c r="C2163" s="3"/>
      <c r="D2163" s="3"/>
      <c r="E2163" s="3"/>
      <c r="F2163" s="2"/>
      <c r="G2163" s="2"/>
      <c r="I2163" s="1"/>
      <c r="J2163" s="1"/>
    </row>
    <row r="2164" spans="1:10" ht="12.75" x14ac:dyDescent="0.2">
      <c r="A2164" s="3"/>
      <c r="B2164" s="3"/>
      <c r="C2164" s="3"/>
      <c r="D2164" s="3"/>
      <c r="E2164" s="3"/>
      <c r="F2164" s="2"/>
      <c r="G2164" s="2"/>
      <c r="I2164" s="1"/>
      <c r="J2164" s="1"/>
    </row>
    <row r="2165" spans="1:10" ht="12.75" x14ac:dyDescent="0.2">
      <c r="A2165" s="3"/>
      <c r="B2165" s="3"/>
      <c r="C2165" s="3"/>
      <c r="D2165" s="3"/>
      <c r="E2165" s="3"/>
      <c r="F2165" s="2"/>
      <c r="G2165" s="2"/>
      <c r="I2165" s="1"/>
      <c r="J2165" s="1"/>
    </row>
    <row r="2166" spans="1:10" ht="12.75" x14ac:dyDescent="0.2">
      <c r="A2166" s="3"/>
      <c r="B2166" s="3"/>
      <c r="C2166" s="3"/>
      <c r="D2166" s="3"/>
      <c r="E2166" s="3"/>
      <c r="F2166" s="2"/>
      <c r="G2166" s="2"/>
      <c r="I2166" s="1"/>
      <c r="J2166" s="1"/>
    </row>
    <row r="2167" spans="1:10" ht="12.75" x14ac:dyDescent="0.2">
      <c r="A2167" s="3"/>
      <c r="B2167" s="3"/>
      <c r="C2167" s="3"/>
      <c r="D2167" s="3"/>
      <c r="E2167" s="3"/>
      <c r="F2167" s="2"/>
      <c r="G2167" s="2"/>
      <c r="I2167" s="1"/>
      <c r="J2167" s="1"/>
    </row>
    <row r="2168" spans="1:10" ht="12.75" x14ac:dyDescent="0.2">
      <c r="A2168" s="3"/>
      <c r="B2168" s="3"/>
      <c r="C2168" s="3"/>
      <c r="D2168" s="3"/>
      <c r="E2168" s="3"/>
      <c r="F2168" s="2"/>
      <c r="G2168" s="2"/>
      <c r="I2168" s="1"/>
      <c r="J2168" s="1"/>
    </row>
    <row r="2169" spans="1:10" ht="12.75" x14ac:dyDescent="0.2">
      <c r="A2169" s="3"/>
      <c r="B2169" s="3"/>
      <c r="C2169" s="3"/>
      <c r="D2169" s="3"/>
      <c r="E2169" s="3"/>
      <c r="F2169" s="2"/>
      <c r="G2169" s="2"/>
      <c r="I2169" s="1"/>
      <c r="J2169" s="1"/>
    </row>
    <row r="2170" spans="1:10" ht="12.75" x14ac:dyDescent="0.2">
      <c r="A2170" s="3"/>
      <c r="B2170" s="3"/>
      <c r="C2170" s="3"/>
      <c r="D2170" s="3"/>
      <c r="E2170" s="3"/>
      <c r="F2170" s="2"/>
      <c r="G2170" s="2"/>
      <c r="I2170" s="1"/>
      <c r="J2170" s="1"/>
    </row>
    <row r="2171" spans="1:10" ht="12.75" x14ac:dyDescent="0.2">
      <c r="A2171" s="3"/>
      <c r="B2171" s="3"/>
      <c r="C2171" s="3"/>
      <c r="D2171" s="3"/>
      <c r="E2171" s="3"/>
      <c r="F2171" s="2"/>
      <c r="G2171" s="2"/>
      <c r="I2171" s="1"/>
      <c r="J2171" s="1"/>
    </row>
    <row r="2172" spans="1:10" ht="12.75" x14ac:dyDescent="0.2">
      <c r="A2172" s="3"/>
      <c r="B2172" s="3"/>
      <c r="C2172" s="3"/>
      <c r="D2172" s="3"/>
      <c r="E2172" s="3"/>
      <c r="F2172" s="2"/>
      <c r="G2172" s="2"/>
      <c r="I2172" s="1"/>
      <c r="J2172" s="1"/>
    </row>
    <row r="2173" spans="1:10" ht="12.75" x14ac:dyDescent="0.2">
      <c r="A2173" s="3"/>
      <c r="B2173" s="3"/>
      <c r="C2173" s="3"/>
      <c r="D2173" s="3"/>
      <c r="E2173" s="3"/>
      <c r="F2173" s="2"/>
      <c r="G2173" s="2"/>
      <c r="I2173" s="1"/>
      <c r="J2173" s="1"/>
    </row>
    <row r="2174" spans="1:10" ht="12.75" x14ac:dyDescent="0.2">
      <c r="A2174" s="3"/>
      <c r="B2174" s="3"/>
      <c r="C2174" s="3"/>
      <c r="D2174" s="3"/>
      <c r="E2174" s="3"/>
      <c r="F2174" s="2"/>
      <c r="G2174" s="2"/>
      <c r="I2174" s="1"/>
      <c r="J2174" s="1"/>
    </row>
    <row r="2175" spans="1:10" ht="12.75" x14ac:dyDescent="0.2">
      <c r="A2175" s="3"/>
      <c r="B2175" s="3"/>
      <c r="C2175" s="3"/>
      <c r="D2175" s="3"/>
      <c r="E2175" s="3"/>
      <c r="F2175" s="2"/>
      <c r="G2175" s="2"/>
      <c r="I2175" s="1"/>
      <c r="J2175" s="1"/>
    </row>
    <row r="2176" spans="1:10" ht="12.75" x14ac:dyDescent="0.2">
      <c r="A2176" s="3"/>
      <c r="B2176" s="3"/>
      <c r="C2176" s="3"/>
      <c r="D2176" s="3"/>
      <c r="E2176" s="3"/>
      <c r="F2176" s="2"/>
      <c r="G2176" s="2"/>
      <c r="I2176" s="1"/>
      <c r="J2176" s="1"/>
    </row>
    <row r="2177" spans="1:10" ht="12.75" x14ac:dyDescent="0.2">
      <c r="A2177" s="3"/>
      <c r="B2177" s="3"/>
      <c r="C2177" s="3"/>
      <c r="D2177" s="3"/>
      <c r="E2177" s="3"/>
      <c r="F2177" s="2"/>
      <c r="G2177" s="2"/>
      <c r="I2177" s="1"/>
      <c r="J2177" s="1"/>
    </row>
    <row r="2178" spans="1:10" ht="12.75" x14ac:dyDescent="0.2">
      <c r="A2178" s="3"/>
      <c r="B2178" s="3"/>
      <c r="C2178" s="3"/>
      <c r="D2178" s="3"/>
      <c r="E2178" s="3"/>
      <c r="F2178" s="2"/>
      <c r="G2178" s="2"/>
      <c r="I2178" s="1"/>
      <c r="J2178" s="1"/>
    </row>
    <row r="2179" spans="1:10" ht="12.75" x14ac:dyDescent="0.2">
      <c r="A2179" s="3"/>
      <c r="B2179" s="3"/>
      <c r="C2179" s="3"/>
      <c r="D2179" s="3"/>
      <c r="E2179" s="3"/>
      <c r="F2179" s="2"/>
      <c r="G2179" s="2"/>
      <c r="I2179" s="1"/>
      <c r="J2179" s="1"/>
    </row>
    <row r="2180" spans="1:10" ht="12.75" x14ac:dyDescent="0.2">
      <c r="A2180" s="3"/>
      <c r="B2180" s="3"/>
      <c r="C2180" s="3"/>
      <c r="D2180" s="3"/>
      <c r="E2180" s="3"/>
      <c r="F2180" s="2"/>
      <c r="G2180" s="2"/>
      <c r="I2180" s="1"/>
      <c r="J2180" s="1"/>
    </row>
    <row r="2181" spans="1:10" ht="12.75" x14ac:dyDescent="0.2">
      <c r="A2181" s="3"/>
      <c r="B2181" s="3"/>
      <c r="C2181" s="3"/>
      <c r="D2181" s="3"/>
      <c r="E2181" s="3"/>
      <c r="F2181" s="2"/>
      <c r="G2181" s="2"/>
      <c r="I2181" s="1"/>
      <c r="J2181" s="1"/>
    </row>
    <row r="2182" spans="1:10" ht="12.75" x14ac:dyDescent="0.2">
      <c r="A2182" s="3"/>
      <c r="B2182" s="3"/>
      <c r="C2182" s="3"/>
      <c r="D2182" s="3"/>
      <c r="E2182" s="3"/>
      <c r="F2182" s="2"/>
      <c r="G2182" s="2"/>
      <c r="I2182" s="1"/>
      <c r="J2182" s="1"/>
    </row>
    <row r="2183" spans="1:10" ht="12.75" x14ac:dyDescent="0.2">
      <c r="A2183" s="3"/>
      <c r="B2183" s="3"/>
      <c r="C2183" s="3"/>
      <c r="D2183" s="3"/>
      <c r="E2183" s="3"/>
      <c r="F2183" s="2"/>
      <c r="G2183" s="2"/>
      <c r="I2183" s="1"/>
      <c r="J2183" s="1"/>
    </row>
    <row r="2184" spans="1:10" ht="12.75" x14ac:dyDescent="0.2">
      <c r="A2184" s="3"/>
      <c r="B2184" s="3"/>
      <c r="C2184" s="3"/>
      <c r="D2184" s="3"/>
      <c r="E2184" s="3"/>
      <c r="F2184" s="2"/>
      <c r="G2184" s="2"/>
      <c r="I2184" s="1"/>
      <c r="J2184" s="1"/>
    </row>
    <row r="2185" spans="1:10" ht="12.75" x14ac:dyDescent="0.2">
      <c r="A2185" s="3"/>
      <c r="B2185" s="3"/>
      <c r="C2185" s="3"/>
      <c r="D2185" s="3"/>
      <c r="E2185" s="3"/>
      <c r="F2185" s="2"/>
      <c r="G2185" s="2"/>
      <c r="I2185" s="1"/>
      <c r="J2185" s="1"/>
    </row>
    <row r="2186" spans="1:10" ht="12.75" x14ac:dyDescent="0.2">
      <c r="A2186" s="3"/>
      <c r="B2186" s="3"/>
      <c r="C2186" s="3"/>
      <c r="D2186" s="3"/>
      <c r="E2186" s="3"/>
      <c r="F2186" s="2"/>
      <c r="G2186" s="2"/>
      <c r="I2186" s="1"/>
      <c r="J2186" s="1"/>
    </row>
    <row r="2187" spans="1:10" ht="12.75" x14ac:dyDescent="0.2">
      <c r="A2187" s="3"/>
      <c r="B2187" s="3"/>
      <c r="C2187" s="3"/>
      <c r="D2187" s="3"/>
      <c r="E2187" s="3"/>
      <c r="F2187" s="2"/>
      <c r="G2187" s="2"/>
      <c r="I2187" s="1"/>
      <c r="J2187" s="1"/>
    </row>
    <row r="2188" spans="1:10" ht="12.75" x14ac:dyDescent="0.2">
      <c r="A2188" s="3"/>
      <c r="B2188" s="3"/>
      <c r="C2188" s="3"/>
      <c r="D2188" s="3"/>
      <c r="E2188" s="3"/>
      <c r="F2188" s="2"/>
      <c r="G2188" s="2"/>
      <c r="I2188" s="1"/>
      <c r="J2188" s="1"/>
    </row>
    <row r="2189" spans="1:10" ht="12.75" x14ac:dyDescent="0.2">
      <c r="A2189" s="3"/>
      <c r="B2189" s="3"/>
      <c r="C2189" s="3"/>
      <c r="D2189" s="3"/>
      <c r="E2189" s="3"/>
      <c r="F2189" s="2"/>
      <c r="G2189" s="2"/>
      <c r="I2189" s="1"/>
      <c r="J2189" s="1"/>
    </row>
    <row r="2190" spans="1:10" ht="12.75" x14ac:dyDescent="0.2">
      <c r="A2190" s="3"/>
      <c r="B2190" s="3"/>
      <c r="C2190" s="3"/>
      <c r="D2190" s="3"/>
      <c r="E2190" s="3"/>
      <c r="F2190" s="2"/>
      <c r="G2190" s="2"/>
      <c r="I2190" s="1"/>
      <c r="J2190" s="1"/>
    </row>
    <row r="2191" spans="1:10" ht="12.75" x14ac:dyDescent="0.2">
      <c r="A2191" s="3"/>
      <c r="B2191" s="3"/>
      <c r="C2191" s="3"/>
      <c r="D2191" s="3"/>
      <c r="E2191" s="3"/>
      <c r="F2191" s="2"/>
      <c r="G2191" s="2"/>
      <c r="I2191" s="1"/>
      <c r="J2191" s="1"/>
    </row>
    <row r="2192" spans="1:10" ht="12.75" x14ac:dyDescent="0.2">
      <c r="A2192" s="3"/>
      <c r="B2192" s="3"/>
      <c r="C2192" s="3"/>
      <c r="D2192" s="3"/>
      <c r="E2192" s="3"/>
      <c r="F2192" s="2"/>
      <c r="G2192" s="2"/>
      <c r="I2192" s="1"/>
      <c r="J2192" s="1"/>
    </row>
    <row r="2193" spans="1:10" ht="12.75" x14ac:dyDescent="0.2">
      <c r="A2193" s="3"/>
      <c r="B2193" s="3"/>
      <c r="C2193" s="3"/>
      <c r="D2193" s="3"/>
      <c r="E2193" s="3"/>
      <c r="F2193" s="2"/>
      <c r="G2193" s="2"/>
      <c r="I2193" s="1"/>
      <c r="J2193" s="1"/>
    </row>
    <row r="2194" spans="1:10" ht="12.75" x14ac:dyDescent="0.2">
      <c r="A2194" s="3"/>
      <c r="B2194" s="3"/>
      <c r="C2194" s="3"/>
      <c r="D2194" s="3"/>
      <c r="E2194" s="3"/>
      <c r="F2194" s="2"/>
      <c r="G2194" s="2"/>
      <c r="I2194" s="1"/>
      <c r="J2194" s="1"/>
    </row>
    <row r="2195" spans="1:10" ht="12.75" x14ac:dyDescent="0.2">
      <c r="A2195" s="3"/>
      <c r="B2195" s="3"/>
      <c r="C2195" s="3"/>
      <c r="D2195" s="3"/>
      <c r="E2195" s="3"/>
      <c r="F2195" s="2"/>
      <c r="G2195" s="2"/>
      <c r="I2195" s="1"/>
      <c r="J2195" s="1"/>
    </row>
    <row r="2196" spans="1:10" ht="12.75" x14ac:dyDescent="0.2">
      <c r="A2196" s="3"/>
      <c r="B2196" s="3"/>
      <c r="C2196" s="3"/>
      <c r="D2196" s="3"/>
      <c r="E2196" s="3"/>
      <c r="F2196" s="2"/>
      <c r="G2196" s="2"/>
      <c r="I2196" s="1"/>
      <c r="J2196" s="1"/>
    </row>
    <row r="2197" spans="1:10" ht="12.75" x14ac:dyDescent="0.2">
      <c r="A2197" s="3"/>
      <c r="B2197" s="3"/>
      <c r="C2197" s="3"/>
      <c r="D2197" s="3"/>
      <c r="E2197" s="3"/>
      <c r="F2197" s="2"/>
      <c r="G2197" s="2"/>
      <c r="I2197" s="1"/>
      <c r="J2197" s="1"/>
    </row>
    <row r="2198" spans="1:10" ht="12.75" x14ac:dyDescent="0.2">
      <c r="A2198" s="3"/>
      <c r="B2198" s="3"/>
      <c r="C2198" s="3"/>
      <c r="D2198" s="3"/>
      <c r="E2198" s="3"/>
      <c r="F2198" s="2"/>
      <c r="G2198" s="2"/>
      <c r="I2198" s="1"/>
      <c r="J2198" s="1"/>
    </row>
    <row r="2199" spans="1:10" ht="12.75" x14ac:dyDescent="0.2">
      <c r="A2199" s="3"/>
      <c r="B2199" s="3"/>
      <c r="C2199" s="3"/>
      <c r="D2199" s="3"/>
      <c r="E2199" s="3"/>
      <c r="F2199" s="2"/>
      <c r="G2199" s="2"/>
      <c r="I2199" s="1"/>
      <c r="J2199" s="1"/>
    </row>
    <row r="2200" spans="1:10" ht="12.75" x14ac:dyDescent="0.2">
      <c r="A2200" s="3"/>
      <c r="B2200" s="3"/>
      <c r="C2200" s="3"/>
      <c r="D2200" s="3"/>
      <c r="E2200" s="3"/>
      <c r="F2200" s="2"/>
      <c r="G2200" s="2"/>
      <c r="I2200" s="1"/>
      <c r="J2200" s="1"/>
    </row>
    <row r="2201" spans="1:10" ht="12.75" x14ac:dyDescent="0.2">
      <c r="A2201" s="3"/>
      <c r="B2201" s="3"/>
      <c r="C2201" s="3"/>
      <c r="D2201" s="3"/>
      <c r="E2201" s="3"/>
      <c r="F2201" s="2"/>
      <c r="G2201" s="2"/>
      <c r="I2201" s="1"/>
      <c r="J2201" s="1"/>
    </row>
    <row r="2202" spans="1:10" ht="12.75" x14ac:dyDescent="0.2">
      <c r="A2202" s="3"/>
      <c r="B2202" s="3"/>
      <c r="C2202" s="3"/>
      <c r="D2202" s="3"/>
      <c r="E2202" s="3"/>
      <c r="F2202" s="2"/>
      <c r="G2202" s="2"/>
      <c r="I2202" s="1"/>
      <c r="J2202" s="1"/>
    </row>
    <row r="2203" spans="1:10" ht="12.75" x14ac:dyDescent="0.2">
      <c r="A2203" s="3"/>
      <c r="B2203" s="3"/>
      <c r="C2203" s="3"/>
      <c r="D2203" s="3"/>
      <c r="E2203" s="3"/>
      <c r="F2203" s="2"/>
      <c r="G2203" s="2"/>
      <c r="I2203" s="1"/>
      <c r="J2203" s="1"/>
    </row>
    <row r="2204" spans="1:10" ht="12.75" x14ac:dyDescent="0.2">
      <c r="A2204" s="3"/>
      <c r="B2204" s="3"/>
      <c r="C2204" s="3"/>
      <c r="D2204" s="3"/>
      <c r="E2204" s="3"/>
      <c r="F2204" s="2"/>
      <c r="G2204" s="2"/>
      <c r="I2204" s="1"/>
      <c r="J2204" s="1"/>
    </row>
    <row r="2205" spans="1:10" ht="12.75" x14ac:dyDescent="0.2">
      <c r="A2205" s="3"/>
      <c r="B2205" s="3"/>
      <c r="C2205" s="3"/>
      <c r="D2205" s="3"/>
      <c r="E2205" s="3"/>
      <c r="F2205" s="2"/>
      <c r="G2205" s="2"/>
      <c r="I2205" s="1"/>
      <c r="J2205" s="1"/>
    </row>
    <row r="2206" spans="1:10" ht="12.75" x14ac:dyDescent="0.2">
      <c r="A2206" s="3"/>
      <c r="B2206" s="3"/>
      <c r="C2206" s="3"/>
      <c r="D2206" s="3"/>
      <c r="E2206" s="3"/>
      <c r="F2206" s="2"/>
      <c r="G2206" s="2"/>
      <c r="I2206" s="1"/>
      <c r="J2206" s="1"/>
    </row>
    <row r="2207" spans="1:10" ht="12.75" x14ac:dyDescent="0.2">
      <c r="A2207" s="3"/>
      <c r="B2207" s="3"/>
      <c r="C2207" s="3"/>
      <c r="D2207" s="3"/>
      <c r="E2207" s="3"/>
      <c r="F2207" s="2"/>
      <c r="G2207" s="2"/>
      <c r="I2207" s="1"/>
      <c r="J2207" s="1"/>
    </row>
    <row r="2208" spans="1:10" ht="12.75" x14ac:dyDescent="0.2">
      <c r="A2208" s="3"/>
      <c r="B2208" s="3"/>
      <c r="C2208" s="3"/>
      <c r="D2208" s="3"/>
      <c r="E2208" s="3"/>
      <c r="F2208" s="2"/>
      <c r="G2208" s="2"/>
      <c r="I2208" s="1"/>
      <c r="J2208" s="1"/>
    </row>
    <row r="2209" spans="1:10" ht="12.75" x14ac:dyDescent="0.2">
      <c r="A2209" s="3"/>
      <c r="B2209" s="3"/>
      <c r="C2209" s="3"/>
      <c r="D2209" s="3"/>
      <c r="E2209" s="3"/>
      <c r="F2209" s="2"/>
      <c r="G2209" s="2"/>
      <c r="I2209" s="1"/>
      <c r="J2209" s="1"/>
    </row>
    <row r="2210" spans="1:10" ht="12.75" x14ac:dyDescent="0.2">
      <c r="A2210" s="3"/>
      <c r="B2210" s="3"/>
      <c r="C2210" s="3"/>
      <c r="D2210" s="3"/>
      <c r="E2210" s="3"/>
      <c r="F2210" s="2"/>
      <c r="G2210" s="2"/>
      <c r="I2210" s="1"/>
      <c r="J2210" s="1"/>
    </row>
    <row r="2211" spans="1:10" ht="12.75" x14ac:dyDescent="0.2">
      <c r="A2211" s="3"/>
      <c r="B2211" s="3"/>
      <c r="C2211" s="3"/>
      <c r="D2211" s="3"/>
      <c r="E2211" s="3"/>
      <c r="F2211" s="2"/>
      <c r="G2211" s="2"/>
      <c r="I2211" s="1"/>
      <c r="J2211" s="1"/>
    </row>
    <row r="2212" spans="1:10" ht="12.75" x14ac:dyDescent="0.2">
      <c r="A2212" s="3"/>
      <c r="B2212" s="3"/>
      <c r="C2212" s="3"/>
      <c r="D2212" s="3"/>
      <c r="E2212" s="3"/>
      <c r="F2212" s="2"/>
      <c r="G2212" s="2"/>
      <c r="I2212" s="1"/>
      <c r="J2212" s="1"/>
    </row>
    <row r="2213" spans="1:10" ht="12.75" x14ac:dyDescent="0.2">
      <c r="A2213" s="3"/>
      <c r="B2213" s="3"/>
      <c r="C2213" s="3"/>
      <c r="D2213" s="3"/>
      <c r="E2213" s="3"/>
      <c r="F2213" s="2"/>
      <c r="G2213" s="2"/>
      <c r="I2213" s="1"/>
      <c r="J2213" s="1"/>
    </row>
    <row r="2214" spans="1:10" ht="12.75" x14ac:dyDescent="0.2">
      <c r="A2214" s="3"/>
      <c r="B2214" s="3"/>
      <c r="C2214" s="3"/>
      <c r="D2214" s="3"/>
      <c r="E2214" s="3"/>
      <c r="F2214" s="2"/>
      <c r="G2214" s="2"/>
      <c r="I2214" s="1"/>
      <c r="J2214" s="1"/>
    </row>
    <row r="2215" spans="1:10" ht="12.75" x14ac:dyDescent="0.2">
      <c r="A2215" s="3"/>
      <c r="B2215" s="3"/>
      <c r="C2215" s="3"/>
      <c r="D2215" s="3"/>
      <c r="E2215" s="3"/>
      <c r="F2215" s="2"/>
      <c r="G2215" s="2"/>
      <c r="I2215" s="1"/>
      <c r="J2215" s="1"/>
    </row>
    <row r="2216" spans="1:10" ht="12.75" x14ac:dyDescent="0.2">
      <c r="A2216" s="3"/>
      <c r="B2216" s="3"/>
      <c r="C2216" s="3"/>
      <c r="D2216" s="3"/>
      <c r="E2216" s="3"/>
      <c r="F2216" s="2"/>
      <c r="G2216" s="2"/>
      <c r="I2216" s="1"/>
      <c r="J2216" s="1"/>
    </row>
    <row r="2217" spans="1:10" ht="12.75" x14ac:dyDescent="0.2">
      <c r="A2217" s="3"/>
      <c r="B2217" s="3"/>
      <c r="C2217" s="3"/>
      <c r="D2217" s="3"/>
      <c r="E2217" s="3"/>
      <c r="F2217" s="2"/>
      <c r="G2217" s="2"/>
      <c r="I2217" s="1"/>
      <c r="J2217" s="1"/>
    </row>
    <row r="2218" spans="1:10" ht="12.75" x14ac:dyDescent="0.2">
      <c r="A2218" s="3"/>
      <c r="B2218" s="3"/>
      <c r="C2218" s="3"/>
      <c r="D2218" s="3"/>
      <c r="E2218" s="3"/>
      <c r="F2218" s="2"/>
      <c r="G2218" s="2"/>
      <c r="I2218" s="1"/>
      <c r="J2218" s="1"/>
    </row>
    <row r="2219" spans="1:10" ht="12.75" x14ac:dyDescent="0.2">
      <c r="A2219" s="3"/>
      <c r="B2219" s="3"/>
      <c r="C2219" s="3"/>
      <c r="D2219" s="3"/>
      <c r="E2219" s="3"/>
      <c r="F2219" s="2"/>
      <c r="G2219" s="2"/>
      <c r="I2219" s="1"/>
      <c r="J2219" s="1"/>
    </row>
    <row r="2220" spans="1:10" ht="12.75" x14ac:dyDescent="0.2">
      <c r="A2220" s="3"/>
      <c r="B2220" s="3"/>
      <c r="C2220" s="3"/>
      <c r="D2220" s="3"/>
      <c r="E2220" s="3"/>
      <c r="F2220" s="2"/>
      <c r="G2220" s="2"/>
      <c r="I2220" s="1"/>
      <c r="J2220" s="1"/>
    </row>
    <row r="2221" spans="1:10" ht="12.75" x14ac:dyDescent="0.2">
      <c r="A2221" s="3"/>
      <c r="B2221" s="3"/>
      <c r="C2221" s="3"/>
      <c r="D2221" s="3"/>
      <c r="E2221" s="3"/>
      <c r="F2221" s="2"/>
      <c r="G2221" s="2"/>
      <c r="I2221" s="1"/>
      <c r="J2221" s="1"/>
    </row>
    <row r="2222" spans="1:10" ht="12.75" x14ac:dyDescent="0.2">
      <c r="A2222" s="3"/>
      <c r="B2222" s="3"/>
      <c r="C2222" s="3"/>
      <c r="D2222" s="3"/>
      <c r="E2222" s="3"/>
      <c r="F2222" s="2"/>
      <c r="G2222" s="2"/>
      <c r="I2222" s="1"/>
      <c r="J2222" s="1"/>
    </row>
    <row r="2223" spans="1:10" ht="12.75" x14ac:dyDescent="0.2">
      <c r="A2223" s="3"/>
      <c r="B2223" s="3"/>
      <c r="C2223" s="3"/>
      <c r="D2223" s="3"/>
      <c r="E2223" s="3"/>
      <c r="F2223" s="2"/>
      <c r="G2223" s="2"/>
      <c r="I2223" s="1"/>
      <c r="J2223" s="1"/>
    </row>
    <row r="2224" spans="1:10" ht="12.75" x14ac:dyDescent="0.2">
      <c r="A2224" s="3"/>
      <c r="B2224" s="3"/>
      <c r="C2224" s="3"/>
      <c r="D2224" s="3"/>
      <c r="E2224" s="3"/>
      <c r="F2224" s="2"/>
      <c r="G2224" s="2"/>
      <c r="I2224" s="1"/>
      <c r="J2224" s="1"/>
    </row>
    <row r="2225" spans="1:10" ht="12.75" x14ac:dyDescent="0.2">
      <c r="A2225" s="3"/>
      <c r="B2225" s="3"/>
      <c r="C2225" s="3"/>
      <c r="D2225" s="3"/>
      <c r="E2225" s="3"/>
      <c r="F2225" s="2"/>
      <c r="G2225" s="2"/>
      <c r="I2225" s="1"/>
      <c r="J2225" s="1"/>
    </row>
    <row r="2226" spans="1:10" ht="12.75" x14ac:dyDescent="0.2">
      <c r="A2226" s="3"/>
      <c r="B2226" s="3"/>
      <c r="C2226" s="3"/>
      <c r="D2226" s="3"/>
      <c r="E2226" s="3"/>
      <c r="F2226" s="2"/>
      <c r="G2226" s="2"/>
      <c r="I2226" s="1"/>
      <c r="J2226" s="1"/>
    </row>
    <row r="2227" spans="1:10" ht="12.75" x14ac:dyDescent="0.2">
      <c r="A2227" s="3"/>
      <c r="B2227" s="3"/>
      <c r="C2227" s="3"/>
      <c r="D2227" s="3"/>
      <c r="E2227" s="3"/>
      <c r="F2227" s="2"/>
      <c r="G2227" s="2"/>
      <c r="I2227" s="1"/>
      <c r="J2227" s="1"/>
    </row>
    <row r="2228" spans="1:10" ht="12.75" x14ac:dyDescent="0.2">
      <c r="A2228" s="3"/>
      <c r="B2228" s="3"/>
      <c r="C2228" s="3"/>
      <c r="D2228" s="3"/>
      <c r="E2228" s="3"/>
      <c r="F2228" s="2"/>
      <c r="G2228" s="2"/>
      <c r="I2228" s="1"/>
      <c r="J2228" s="1"/>
    </row>
    <row r="2229" spans="1:10" ht="12.75" x14ac:dyDescent="0.2">
      <c r="A2229" s="3"/>
      <c r="B2229" s="3"/>
      <c r="C2229" s="3"/>
      <c r="D2229" s="3"/>
      <c r="E2229" s="3"/>
      <c r="F2229" s="2"/>
      <c r="G2229" s="2"/>
      <c r="I2229" s="1"/>
      <c r="J2229" s="1"/>
    </row>
    <row r="2230" spans="1:10" ht="12.75" x14ac:dyDescent="0.2">
      <c r="A2230" s="3"/>
      <c r="B2230" s="3"/>
      <c r="C2230" s="3"/>
      <c r="D2230" s="3"/>
      <c r="E2230" s="3"/>
      <c r="F2230" s="2"/>
      <c r="G2230" s="2"/>
      <c r="I2230" s="1"/>
      <c r="J2230" s="1"/>
    </row>
    <row r="2231" spans="1:10" ht="12.75" x14ac:dyDescent="0.2">
      <c r="A2231" s="3"/>
      <c r="B2231" s="3"/>
      <c r="C2231" s="3"/>
      <c r="D2231" s="3"/>
      <c r="E2231" s="3"/>
      <c r="F2231" s="2"/>
      <c r="G2231" s="2"/>
      <c r="I2231" s="1"/>
      <c r="J2231" s="1"/>
    </row>
    <row r="2232" spans="1:10" ht="12.75" x14ac:dyDescent="0.2">
      <c r="A2232" s="3"/>
      <c r="B2232" s="3"/>
      <c r="C2232" s="3"/>
      <c r="D2232" s="3"/>
      <c r="E2232" s="3"/>
      <c r="F2232" s="2"/>
      <c r="G2232" s="2"/>
      <c r="I2232" s="1"/>
      <c r="J2232" s="1"/>
    </row>
    <row r="2233" spans="1:10" ht="12.75" x14ac:dyDescent="0.2">
      <c r="A2233" s="3"/>
      <c r="B2233" s="3"/>
      <c r="C2233" s="3"/>
      <c r="D2233" s="3"/>
      <c r="E2233" s="3"/>
      <c r="F2233" s="2"/>
      <c r="G2233" s="2"/>
      <c r="I2233" s="1"/>
      <c r="J2233" s="1"/>
    </row>
    <row r="2234" spans="1:10" ht="12.75" x14ac:dyDescent="0.2">
      <c r="A2234" s="3"/>
      <c r="B2234" s="3"/>
      <c r="C2234" s="3"/>
      <c r="D2234" s="3"/>
      <c r="E2234" s="3"/>
      <c r="F2234" s="2"/>
      <c r="G2234" s="2"/>
      <c r="I2234" s="1"/>
      <c r="J2234" s="1"/>
    </row>
    <row r="2235" spans="1:10" ht="12.75" x14ac:dyDescent="0.2">
      <c r="A2235" s="3"/>
      <c r="B2235" s="3"/>
      <c r="C2235" s="3"/>
      <c r="D2235" s="3"/>
      <c r="E2235" s="3"/>
      <c r="F2235" s="2"/>
      <c r="G2235" s="2"/>
      <c r="I2235" s="1"/>
      <c r="J2235" s="1"/>
    </row>
    <row r="2236" spans="1:10" ht="12.75" x14ac:dyDescent="0.2">
      <c r="A2236" s="3"/>
      <c r="B2236" s="3"/>
      <c r="C2236" s="3"/>
      <c r="D2236" s="3"/>
      <c r="E2236" s="3"/>
      <c r="F2236" s="2"/>
      <c r="G2236" s="2"/>
      <c r="I2236" s="1"/>
      <c r="J2236" s="1"/>
    </row>
    <row r="2237" spans="1:10" ht="12.75" x14ac:dyDescent="0.2">
      <c r="A2237" s="3"/>
      <c r="B2237" s="3"/>
      <c r="C2237" s="3"/>
      <c r="D2237" s="3"/>
      <c r="E2237" s="3"/>
      <c r="F2237" s="2"/>
      <c r="G2237" s="2"/>
      <c r="I2237" s="1"/>
      <c r="J2237" s="1"/>
    </row>
    <row r="2238" spans="1:10" ht="12.75" x14ac:dyDescent="0.2">
      <c r="A2238" s="3"/>
      <c r="B2238" s="3"/>
      <c r="C2238" s="3"/>
      <c r="D2238" s="3"/>
      <c r="E2238" s="3"/>
      <c r="F2238" s="2"/>
      <c r="G2238" s="2"/>
      <c r="I2238" s="1"/>
      <c r="J2238" s="1"/>
    </row>
    <row r="2239" spans="1:10" ht="12.75" x14ac:dyDescent="0.2">
      <c r="A2239" s="3"/>
      <c r="B2239" s="3"/>
      <c r="C2239" s="3"/>
      <c r="D2239" s="3"/>
      <c r="E2239" s="3"/>
      <c r="F2239" s="2"/>
      <c r="G2239" s="2"/>
      <c r="I2239" s="1"/>
      <c r="J2239" s="1"/>
    </row>
    <row r="2240" spans="1:10" ht="12.75" x14ac:dyDescent="0.2">
      <c r="A2240" s="3"/>
      <c r="B2240" s="3"/>
      <c r="C2240" s="3"/>
      <c r="D2240" s="3"/>
      <c r="E2240" s="3"/>
      <c r="F2240" s="2"/>
      <c r="G2240" s="2"/>
      <c r="I2240" s="1"/>
      <c r="J2240" s="1"/>
    </row>
    <row r="2241" spans="1:10" ht="12.75" x14ac:dyDescent="0.2">
      <c r="A2241" s="3"/>
      <c r="B2241" s="3"/>
      <c r="C2241" s="3"/>
      <c r="D2241" s="3"/>
      <c r="E2241" s="3"/>
      <c r="F2241" s="2"/>
      <c r="G2241" s="2"/>
      <c r="I2241" s="1"/>
      <c r="J2241" s="1"/>
    </row>
    <row r="2242" spans="1:10" ht="12.75" x14ac:dyDescent="0.2">
      <c r="A2242" s="3"/>
      <c r="B2242" s="3"/>
      <c r="C2242" s="3"/>
      <c r="D2242" s="3"/>
      <c r="E2242" s="3"/>
      <c r="F2242" s="2"/>
      <c r="G2242" s="2"/>
      <c r="I2242" s="1"/>
      <c r="J2242" s="1"/>
    </row>
    <row r="2243" spans="1:10" ht="12.75" x14ac:dyDescent="0.2">
      <c r="A2243" s="3"/>
      <c r="B2243" s="3"/>
      <c r="C2243" s="3"/>
      <c r="D2243" s="3"/>
      <c r="E2243" s="3"/>
      <c r="F2243" s="2"/>
      <c r="G2243" s="2"/>
      <c r="I2243" s="1"/>
      <c r="J2243" s="1"/>
    </row>
    <row r="2244" spans="1:10" ht="12.75" x14ac:dyDescent="0.2">
      <c r="A2244" s="3"/>
      <c r="B2244" s="3"/>
      <c r="C2244" s="3"/>
      <c r="D2244" s="3"/>
      <c r="E2244" s="3"/>
      <c r="F2244" s="2"/>
      <c r="G2244" s="2"/>
      <c r="I2244" s="1"/>
      <c r="J2244" s="1"/>
    </row>
    <row r="2245" spans="1:10" ht="12.75" x14ac:dyDescent="0.2">
      <c r="A2245" s="3"/>
      <c r="B2245" s="3"/>
      <c r="C2245" s="3"/>
      <c r="D2245" s="3"/>
      <c r="E2245" s="3"/>
      <c r="F2245" s="2"/>
      <c r="G2245" s="2"/>
      <c r="I2245" s="1"/>
      <c r="J2245" s="1"/>
    </row>
    <row r="2246" spans="1:10" ht="12.75" x14ac:dyDescent="0.2">
      <c r="A2246" s="3"/>
      <c r="B2246" s="3"/>
      <c r="C2246" s="3"/>
      <c r="D2246" s="3"/>
      <c r="E2246" s="3"/>
      <c r="F2246" s="2"/>
      <c r="G2246" s="2"/>
      <c r="I2246" s="1"/>
      <c r="J2246" s="1"/>
    </row>
    <row r="2247" spans="1:10" ht="12.75" x14ac:dyDescent="0.2">
      <c r="A2247" s="3"/>
      <c r="B2247" s="3"/>
      <c r="C2247" s="3"/>
      <c r="D2247" s="3"/>
      <c r="E2247" s="3"/>
      <c r="F2247" s="2"/>
      <c r="G2247" s="2"/>
      <c r="I2247" s="1"/>
      <c r="J2247" s="1"/>
    </row>
    <row r="2248" spans="1:10" ht="12.75" x14ac:dyDescent="0.2">
      <c r="A2248" s="3"/>
      <c r="B2248" s="3"/>
      <c r="C2248" s="3"/>
      <c r="D2248" s="3"/>
      <c r="E2248" s="3"/>
      <c r="F2248" s="2"/>
      <c r="G2248" s="2"/>
      <c r="I2248" s="1"/>
      <c r="J2248" s="1"/>
    </row>
    <row r="2249" spans="1:10" ht="12.75" x14ac:dyDescent="0.2">
      <c r="A2249" s="3"/>
      <c r="B2249" s="3"/>
      <c r="C2249" s="3"/>
      <c r="D2249" s="3"/>
      <c r="E2249" s="3"/>
      <c r="F2249" s="2"/>
      <c r="G2249" s="2"/>
      <c r="I2249" s="1"/>
      <c r="J2249" s="1"/>
    </row>
    <row r="2250" spans="1:10" ht="12.75" x14ac:dyDescent="0.2">
      <c r="A2250" s="3"/>
      <c r="B2250" s="3"/>
      <c r="C2250" s="3"/>
      <c r="D2250" s="3"/>
      <c r="E2250" s="3"/>
      <c r="F2250" s="2"/>
      <c r="G2250" s="2"/>
      <c r="I2250" s="1"/>
      <c r="J2250" s="1"/>
    </row>
    <row r="2251" spans="1:10" ht="12.75" x14ac:dyDescent="0.2">
      <c r="A2251" s="3"/>
      <c r="B2251" s="3"/>
      <c r="C2251" s="3"/>
      <c r="D2251" s="3"/>
      <c r="E2251" s="3"/>
      <c r="F2251" s="2"/>
      <c r="G2251" s="2"/>
      <c r="I2251" s="1"/>
      <c r="J2251" s="1"/>
    </row>
    <row r="2252" spans="1:10" ht="12.75" x14ac:dyDescent="0.2">
      <c r="A2252" s="3"/>
      <c r="B2252" s="3"/>
      <c r="C2252" s="3"/>
      <c r="D2252" s="3"/>
      <c r="E2252" s="3"/>
      <c r="F2252" s="2"/>
      <c r="G2252" s="2"/>
      <c r="I2252" s="1"/>
      <c r="J2252" s="1"/>
    </row>
    <row r="2253" spans="1:10" ht="12.75" x14ac:dyDescent="0.2">
      <c r="A2253" s="3"/>
      <c r="B2253" s="3"/>
      <c r="C2253" s="3"/>
      <c r="D2253" s="3"/>
      <c r="E2253" s="3"/>
      <c r="F2253" s="2"/>
      <c r="G2253" s="2"/>
      <c r="I2253" s="1"/>
      <c r="J2253" s="1"/>
    </row>
    <row r="2254" spans="1:10" ht="12.75" x14ac:dyDescent="0.2">
      <c r="A2254" s="3"/>
      <c r="B2254" s="3"/>
      <c r="C2254" s="3"/>
      <c r="D2254" s="3"/>
      <c r="E2254" s="3"/>
      <c r="F2254" s="2"/>
      <c r="G2254" s="2"/>
      <c r="I2254" s="1"/>
      <c r="J2254" s="1"/>
    </row>
    <row r="2255" spans="1:10" ht="12.75" x14ac:dyDescent="0.2">
      <c r="A2255" s="3"/>
      <c r="B2255" s="3"/>
      <c r="C2255" s="3"/>
      <c r="D2255" s="3"/>
      <c r="E2255" s="3"/>
      <c r="F2255" s="2"/>
      <c r="G2255" s="2"/>
      <c r="I2255" s="1"/>
      <c r="J2255" s="1"/>
    </row>
    <row r="2256" spans="1:10" ht="12.75" x14ac:dyDescent="0.2">
      <c r="A2256" s="3"/>
      <c r="B2256" s="3"/>
      <c r="C2256" s="3"/>
      <c r="D2256" s="3"/>
      <c r="E2256" s="3"/>
      <c r="F2256" s="2"/>
      <c r="G2256" s="2"/>
      <c r="I2256" s="1"/>
      <c r="J2256" s="1"/>
    </row>
    <row r="2257" spans="1:10" ht="12.75" x14ac:dyDescent="0.2">
      <c r="A2257" s="3"/>
      <c r="B2257" s="3"/>
      <c r="C2257" s="3"/>
      <c r="D2257" s="3"/>
      <c r="E2257" s="3"/>
      <c r="F2257" s="2"/>
      <c r="G2257" s="2"/>
      <c r="I2257" s="1"/>
      <c r="J2257" s="1"/>
    </row>
    <row r="2258" spans="1:10" ht="12.75" x14ac:dyDescent="0.2">
      <c r="A2258" s="3"/>
      <c r="B2258" s="3"/>
      <c r="C2258" s="3"/>
      <c r="D2258" s="3"/>
      <c r="E2258" s="3"/>
      <c r="F2258" s="2"/>
      <c r="G2258" s="2"/>
      <c r="I2258" s="1"/>
      <c r="J2258" s="1"/>
    </row>
    <row r="2259" spans="1:10" ht="12.75" x14ac:dyDescent="0.2">
      <c r="A2259" s="3"/>
      <c r="B2259" s="3"/>
      <c r="C2259" s="3"/>
      <c r="D2259" s="3"/>
      <c r="E2259" s="3"/>
      <c r="F2259" s="2"/>
      <c r="G2259" s="2"/>
      <c r="I2259" s="1"/>
      <c r="J2259" s="1"/>
    </row>
    <row r="2260" spans="1:10" ht="12.75" x14ac:dyDescent="0.2">
      <c r="A2260" s="3"/>
      <c r="B2260" s="3"/>
      <c r="C2260" s="3"/>
      <c r="D2260" s="3"/>
      <c r="E2260" s="3"/>
      <c r="F2260" s="2"/>
      <c r="G2260" s="2"/>
      <c r="I2260" s="1"/>
      <c r="J2260" s="1"/>
    </row>
    <row r="2261" spans="1:10" ht="12.75" x14ac:dyDescent="0.2">
      <c r="A2261" s="3"/>
      <c r="B2261" s="3"/>
      <c r="C2261" s="3"/>
      <c r="D2261" s="3"/>
      <c r="E2261" s="3"/>
      <c r="F2261" s="2"/>
      <c r="G2261" s="2"/>
      <c r="I2261" s="1"/>
      <c r="J2261" s="1"/>
    </row>
    <row r="2262" spans="1:10" ht="12.75" x14ac:dyDescent="0.2">
      <c r="A2262" s="3"/>
      <c r="B2262" s="3"/>
      <c r="C2262" s="3"/>
      <c r="D2262" s="3"/>
      <c r="E2262" s="3"/>
      <c r="F2262" s="2"/>
      <c r="G2262" s="2"/>
      <c r="I2262" s="1"/>
      <c r="J2262" s="1"/>
    </row>
    <row r="2263" spans="1:10" ht="12.75" x14ac:dyDescent="0.2">
      <c r="A2263" s="3"/>
      <c r="B2263" s="3"/>
      <c r="C2263" s="3"/>
      <c r="D2263" s="3"/>
      <c r="E2263" s="3"/>
      <c r="F2263" s="2"/>
      <c r="G2263" s="2"/>
      <c r="I2263" s="1"/>
      <c r="J2263" s="1"/>
    </row>
    <row r="2264" spans="1:10" ht="12.75" x14ac:dyDescent="0.2">
      <c r="A2264" s="3"/>
      <c r="B2264" s="3"/>
      <c r="C2264" s="3"/>
      <c r="D2264" s="3"/>
      <c r="E2264" s="3"/>
      <c r="F2264" s="2"/>
      <c r="G2264" s="2"/>
      <c r="I2264" s="1"/>
      <c r="J2264" s="1"/>
    </row>
    <row r="2265" spans="1:10" ht="12.75" x14ac:dyDescent="0.2">
      <c r="A2265" s="3"/>
      <c r="B2265" s="3"/>
      <c r="C2265" s="3"/>
      <c r="D2265" s="3"/>
      <c r="E2265" s="3"/>
      <c r="F2265" s="2"/>
      <c r="G2265" s="2"/>
      <c r="I2265" s="1"/>
      <c r="J2265" s="1"/>
    </row>
    <row r="2266" spans="1:10" ht="12.75" x14ac:dyDescent="0.2">
      <c r="A2266" s="3"/>
      <c r="B2266" s="3"/>
      <c r="C2266" s="3"/>
      <c r="D2266" s="3"/>
      <c r="E2266" s="3"/>
      <c r="F2266" s="2"/>
      <c r="G2266" s="2"/>
      <c r="I2266" s="1"/>
      <c r="J2266" s="1"/>
    </row>
    <row r="2267" spans="1:10" ht="12.75" x14ac:dyDescent="0.2">
      <c r="A2267" s="3"/>
      <c r="B2267" s="3"/>
      <c r="C2267" s="3"/>
      <c r="D2267" s="3"/>
      <c r="E2267" s="3"/>
      <c r="F2267" s="2"/>
      <c r="G2267" s="2"/>
      <c r="I2267" s="1"/>
      <c r="J2267" s="1"/>
    </row>
    <row r="2268" spans="1:10" ht="12.75" x14ac:dyDescent="0.2">
      <c r="A2268" s="3"/>
      <c r="B2268" s="3"/>
      <c r="C2268" s="3"/>
      <c r="D2268" s="3"/>
      <c r="E2268" s="3"/>
      <c r="F2268" s="2"/>
      <c r="G2268" s="2"/>
      <c r="I2268" s="1"/>
      <c r="J2268" s="1"/>
    </row>
    <row r="2269" spans="1:10" ht="12.75" x14ac:dyDescent="0.2">
      <c r="A2269" s="3"/>
      <c r="B2269" s="3"/>
      <c r="C2269" s="3"/>
      <c r="D2269" s="3"/>
      <c r="E2269" s="3"/>
      <c r="F2269" s="2"/>
      <c r="G2269" s="2"/>
      <c r="I2269" s="1"/>
      <c r="J2269" s="1"/>
    </row>
    <row r="2270" spans="1:10" ht="12.75" x14ac:dyDescent="0.2">
      <c r="A2270" s="3"/>
      <c r="B2270" s="3"/>
      <c r="C2270" s="3"/>
      <c r="D2270" s="3"/>
      <c r="E2270" s="3"/>
      <c r="F2270" s="2"/>
      <c r="G2270" s="2"/>
      <c r="I2270" s="1"/>
      <c r="J2270" s="1"/>
    </row>
    <row r="2271" spans="1:10" ht="12.75" x14ac:dyDescent="0.2">
      <c r="A2271" s="3"/>
      <c r="B2271" s="3"/>
      <c r="C2271" s="3"/>
      <c r="D2271" s="3"/>
      <c r="E2271" s="3"/>
      <c r="F2271" s="2"/>
      <c r="G2271" s="2"/>
      <c r="I2271" s="1"/>
      <c r="J2271" s="1"/>
    </row>
    <row r="2272" spans="1:10" ht="12.75" x14ac:dyDescent="0.2">
      <c r="A2272" s="3"/>
      <c r="B2272" s="3"/>
      <c r="C2272" s="3"/>
      <c r="D2272" s="3"/>
      <c r="E2272" s="3"/>
      <c r="F2272" s="2"/>
      <c r="G2272" s="2"/>
      <c r="I2272" s="1"/>
      <c r="J2272" s="1"/>
    </row>
    <row r="2273" spans="1:10" ht="12.75" x14ac:dyDescent="0.2">
      <c r="A2273" s="3"/>
      <c r="B2273" s="3"/>
      <c r="C2273" s="3"/>
      <c r="D2273" s="3"/>
      <c r="E2273" s="3"/>
      <c r="F2273" s="2"/>
      <c r="G2273" s="2"/>
      <c r="I2273" s="1"/>
      <c r="J2273" s="1"/>
    </row>
    <row r="2274" spans="1:10" ht="12.75" x14ac:dyDescent="0.2">
      <c r="A2274" s="3"/>
      <c r="B2274" s="3"/>
      <c r="C2274" s="3"/>
      <c r="D2274" s="3"/>
      <c r="E2274" s="3"/>
      <c r="F2274" s="2"/>
      <c r="G2274" s="2"/>
      <c r="I2274" s="1"/>
      <c r="J2274" s="1"/>
    </row>
    <row r="2275" spans="1:10" ht="12.75" x14ac:dyDescent="0.2">
      <c r="A2275" s="3"/>
      <c r="B2275" s="3"/>
      <c r="C2275" s="3"/>
      <c r="D2275" s="3"/>
      <c r="E2275" s="3"/>
      <c r="F2275" s="2"/>
      <c r="G2275" s="2"/>
      <c r="I2275" s="1"/>
      <c r="J2275" s="1"/>
    </row>
    <row r="2276" spans="1:10" ht="12.75" x14ac:dyDescent="0.2">
      <c r="A2276" s="3"/>
      <c r="B2276" s="3"/>
      <c r="C2276" s="3"/>
      <c r="D2276" s="3"/>
      <c r="E2276" s="3"/>
      <c r="F2276" s="2"/>
      <c r="G2276" s="2"/>
      <c r="I2276" s="1"/>
      <c r="J2276" s="1"/>
    </row>
    <row r="2277" spans="1:10" ht="12.75" x14ac:dyDescent="0.2">
      <c r="A2277" s="3"/>
      <c r="B2277" s="3"/>
      <c r="C2277" s="3"/>
      <c r="D2277" s="3"/>
      <c r="E2277" s="3"/>
      <c r="F2277" s="2"/>
      <c r="G2277" s="2"/>
      <c r="I2277" s="1"/>
      <c r="J2277" s="1"/>
    </row>
    <row r="2278" spans="1:10" ht="12.75" x14ac:dyDescent="0.2">
      <c r="A2278" s="3"/>
      <c r="B2278" s="3"/>
      <c r="C2278" s="3"/>
      <c r="D2278" s="3"/>
      <c r="E2278" s="3"/>
      <c r="F2278" s="2"/>
      <c r="G2278" s="2"/>
      <c r="I2278" s="1"/>
      <c r="J2278" s="1"/>
    </row>
    <row r="2279" spans="1:10" ht="12.75" x14ac:dyDescent="0.2">
      <c r="A2279" s="3"/>
      <c r="B2279" s="3"/>
      <c r="C2279" s="3"/>
      <c r="D2279" s="3"/>
      <c r="E2279" s="3"/>
      <c r="F2279" s="2"/>
      <c r="G2279" s="2"/>
      <c r="I2279" s="1"/>
      <c r="J2279" s="1"/>
    </row>
    <row r="2280" spans="1:10" ht="12.75" x14ac:dyDescent="0.2">
      <c r="A2280" s="3"/>
      <c r="B2280" s="3"/>
      <c r="C2280" s="3"/>
      <c r="D2280" s="3"/>
      <c r="E2280" s="3"/>
      <c r="F2280" s="2"/>
      <c r="G2280" s="2"/>
      <c r="I2280" s="1"/>
      <c r="J2280" s="1"/>
    </row>
    <row r="2281" spans="1:10" ht="12.75" x14ac:dyDescent="0.2">
      <c r="A2281" s="3"/>
      <c r="B2281" s="3"/>
      <c r="C2281" s="3"/>
      <c r="D2281" s="3"/>
      <c r="E2281" s="3"/>
      <c r="F2281" s="2"/>
      <c r="G2281" s="2"/>
      <c r="I2281" s="1"/>
      <c r="J2281" s="1"/>
    </row>
    <row r="2282" spans="1:10" ht="12.75" x14ac:dyDescent="0.2">
      <c r="A2282" s="3"/>
      <c r="B2282" s="3"/>
      <c r="C2282" s="3"/>
      <c r="D2282" s="3"/>
      <c r="E2282" s="3"/>
      <c r="F2282" s="2"/>
      <c r="G2282" s="2"/>
      <c r="I2282" s="1"/>
      <c r="J2282" s="1"/>
    </row>
    <row r="2283" spans="1:10" ht="12.75" x14ac:dyDescent="0.2">
      <c r="A2283" s="3"/>
      <c r="B2283" s="3"/>
      <c r="C2283" s="3"/>
      <c r="D2283" s="3"/>
      <c r="E2283" s="3"/>
      <c r="F2283" s="2"/>
      <c r="G2283" s="2"/>
      <c r="I2283" s="1"/>
      <c r="J2283" s="1"/>
    </row>
    <row r="2284" spans="1:10" ht="12.75" x14ac:dyDescent="0.2">
      <c r="A2284" s="3"/>
      <c r="B2284" s="3"/>
      <c r="C2284" s="3"/>
      <c r="D2284" s="3"/>
      <c r="E2284" s="3"/>
      <c r="F2284" s="2"/>
      <c r="G2284" s="2"/>
      <c r="I2284" s="1"/>
      <c r="J2284" s="1"/>
    </row>
    <row r="2285" spans="1:10" ht="12.75" x14ac:dyDescent="0.2">
      <c r="A2285" s="3"/>
      <c r="B2285" s="3"/>
      <c r="C2285" s="3"/>
      <c r="D2285" s="3"/>
      <c r="E2285" s="3"/>
      <c r="F2285" s="2"/>
      <c r="G2285" s="2"/>
      <c r="I2285" s="1"/>
      <c r="J2285" s="1"/>
    </row>
    <row r="2286" spans="1:10" ht="12.75" x14ac:dyDescent="0.2">
      <c r="A2286" s="3"/>
      <c r="B2286" s="3"/>
      <c r="C2286" s="3"/>
      <c r="D2286" s="3"/>
      <c r="E2286" s="3"/>
      <c r="F2286" s="2"/>
      <c r="G2286" s="2"/>
      <c r="I2286" s="1"/>
      <c r="J2286" s="1"/>
    </row>
    <row r="2287" spans="1:10" ht="12.75" x14ac:dyDescent="0.2">
      <c r="A2287" s="3"/>
      <c r="B2287" s="3"/>
      <c r="C2287" s="3"/>
      <c r="D2287" s="3"/>
      <c r="E2287" s="3"/>
      <c r="F2287" s="2"/>
      <c r="G2287" s="2"/>
      <c r="I2287" s="1"/>
      <c r="J2287" s="1"/>
    </row>
    <row r="2288" spans="1:10" ht="12.75" x14ac:dyDescent="0.2">
      <c r="A2288" s="3"/>
      <c r="B2288" s="3"/>
      <c r="C2288" s="3"/>
      <c r="D2288" s="3"/>
      <c r="E2288" s="3"/>
      <c r="F2288" s="2"/>
      <c r="G2288" s="2"/>
      <c r="I2288" s="1"/>
      <c r="J2288" s="1"/>
    </row>
    <row r="2289" spans="1:10" ht="12.75" x14ac:dyDescent="0.2">
      <c r="A2289" s="3"/>
      <c r="B2289" s="3"/>
      <c r="C2289" s="3"/>
      <c r="D2289" s="3"/>
      <c r="E2289" s="3"/>
      <c r="F2289" s="2"/>
      <c r="G2289" s="2"/>
      <c r="I2289" s="1"/>
      <c r="J2289" s="1"/>
    </row>
    <row r="2290" spans="1:10" ht="12.75" x14ac:dyDescent="0.2">
      <c r="A2290" s="3"/>
      <c r="B2290" s="3"/>
      <c r="C2290" s="3"/>
      <c r="D2290" s="3"/>
      <c r="E2290" s="3"/>
      <c r="F2290" s="2"/>
      <c r="G2290" s="2"/>
      <c r="I2290" s="1"/>
      <c r="J2290" s="1"/>
    </row>
    <row r="2291" spans="1:10" ht="12.75" x14ac:dyDescent="0.2">
      <c r="A2291" s="3"/>
      <c r="B2291" s="3"/>
      <c r="C2291" s="3"/>
      <c r="D2291" s="3"/>
      <c r="E2291" s="3"/>
      <c r="F2291" s="2"/>
      <c r="G2291" s="2"/>
      <c r="I2291" s="1"/>
      <c r="J2291" s="1"/>
    </row>
    <row r="2292" spans="1:10" ht="12.75" x14ac:dyDescent="0.2">
      <c r="A2292" s="3"/>
      <c r="B2292" s="3"/>
      <c r="C2292" s="3"/>
      <c r="D2292" s="3"/>
      <c r="E2292" s="3"/>
      <c r="F2292" s="2"/>
      <c r="G2292" s="2"/>
      <c r="I2292" s="1"/>
      <c r="J2292" s="1"/>
    </row>
    <row r="2293" spans="1:10" ht="12.75" x14ac:dyDescent="0.2">
      <c r="A2293" s="3"/>
      <c r="B2293" s="3"/>
      <c r="C2293" s="3"/>
      <c r="D2293" s="3"/>
      <c r="E2293" s="3"/>
      <c r="F2293" s="2"/>
      <c r="G2293" s="2"/>
      <c r="I2293" s="1"/>
      <c r="J2293" s="1"/>
    </row>
    <row r="2294" spans="1:10" ht="12.75" x14ac:dyDescent="0.2">
      <c r="A2294" s="3"/>
      <c r="B2294" s="3"/>
      <c r="C2294" s="3"/>
      <c r="D2294" s="3"/>
      <c r="E2294" s="3"/>
      <c r="F2294" s="2"/>
      <c r="G2294" s="2"/>
      <c r="I2294" s="1"/>
      <c r="J2294" s="1"/>
    </row>
    <row r="2295" spans="1:10" ht="12.75" x14ac:dyDescent="0.2">
      <c r="A2295" s="3"/>
      <c r="B2295" s="3"/>
      <c r="C2295" s="3"/>
      <c r="D2295" s="3"/>
      <c r="E2295" s="3"/>
      <c r="F2295" s="2"/>
      <c r="G2295" s="2"/>
      <c r="I2295" s="1"/>
      <c r="J2295" s="1"/>
    </row>
    <row r="2296" spans="1:10" ht="12.75" x14ac:dyDescent="0.2">
      <c r="A2296" s="3"/>
      <c r="B2296" s="3"/>
      <c r="C2296" s="3"/>
      <c r="D2296" s="3"/>
      <c r="E2296" s="3"/>
      <c r="F2296" s="2"/>
      <c r="G2296" s="2"/>
      <c r="I2296" s="1"/>
      <c r="J2296" s="1"/>
    </row>
    <row r="2297" spans="1:10" ht="12.75" x14ac:dyDescent="0.2">
      <c r="A2297" s="3"/>
      <c r="B2297" s="3"/>
      <c r="C2297" s="3"/>
      <c r="D2297" s="3"/>
      <c r="E2297" s="3"/>
      <c r="F2297" s="2"/>
      <c r="G2297" s="2"/>
      <c r="I2297" s="1"/>
      <c r="J2297" s="1"/>
    </row>
    <row r="2298" spans="1:10" ht="12.75" x14ac:dyDescent="0.2">
      <c r="A2298" s="3"/>
      <c r="B2298" s="3"/>
      <c r="C2298" s="3"/>
      <c r="D2298" s="3"/>
      <c r="E2298" s="3"/>
      <c r="F2298" s="2"/>
      <c r="G2298" s="2"/>
      <c r="I2298" s="1"/>
      <c r="J2298" s="1"/>
    </row>
    <row r="2299" spans="1:10" ht="12.75" x14ac:dyDescent="0.2">
      <c r="A2299" s="3"/>
      <c r="B2299" s="3"/>
      <c r="C2299" s="3"/>
      <c r="D2299" s="3"/>
      <c r="E2299" s="3"/>
      <c r="F2299" s="2"/>
      <c r="G2299" s="2"/>
      <c r="I2299" s="1"/>
      <c r="J2299" s="1"/>
    </row>
    <row r="2300" spans="1:10" ht="12.75" x14ac:dyDescent="0.2">
      <c r="A2300" s="3"/>
      <c r="B2300" s="3"/>
      <c r="C2300" s="3"/>
      <c r="D2300" s="3"/>
      <c r="E2300" s="3"/>
      <c r="F2300" s="2"/>
      <c r="G2300" s="2"/>
      <c r="I2300" s="1"/>
      <c r="J2300" s="1"/>
    </row>
    <row r="2301" spans="1:10" ht="12.75" x14ac:dyDescent="0.2">
      <c r="A2301" s="3"/>
      <c r="B2301" s="3"/>
      <c r="C2301" s="3"/>
      <c r="D2301" s="3"/>
      <c r="E2301" s="3"/>
      <c r="F2301" s="2"/>
      <c r="G2301" s="2"/>
      <c r="I2301" s="1"/>
      <c r="J2301" s="1"/>
    </row>
    <row r="2302" spans="1:10" ht="12.75" x14ac:dyDescent="0.2">
      <c r="A2302" s="3"/>
      <c r="B2302" s="3"/>
      <c r="C2302" s="3"/>
      <c r="D2302" s="3"/>
      <c r="E2302" s="3"/>
      <c r="F2302" s="2"/>
      <c r="G2302" s="2"/>
      <c r="I2302" s="1"/>
      <c r="J2302" s="1"/>
    </row>
    <row r="2303" spans="1:10" ht="12.75" x14ac:dyDescent="0.2">
      <c r="A2303" s="3"/>
      <c r="B2303" s="3"/>
      <c r="C2303" s="3"/>
      <c r="D2303" s="3"/>
      <c r="E2303" s="3"/>
      <c r="F2303" s="2"/>
      <c r="G2303" s="2"/>
      <c r="I2303" s="1"/>
      <c r="J2303" s="1"/>
    </row>
    <row r="2304" spans="1:10" ht="12.75" x14ac:dyDescent="0.2">
      <c r="A2304" s="3"/>
      <c r="B2304" s="3"/>
      <c r="C2304" s="3"/>
      <c r="D2304" s="3"/>
      <c r="E2304" s="3"/>
      <c r="F2304" s="2"/>
      <c r="G2304" s="2"/>
      <c r="I2304" s="1"/>
      <c r="J2304" s="1"/>
    </row>
    <row r="2305" spans="1:10" ht="12.75" x14ac:dyDescent="0.2">
      <c r="A2305" s="3"/>
      <c r="B2305" s="3"/>
      <c r="C2305" s="3"/>
      <c r="D2305" s="3"/>
      <c r="E2305" s="3"/>
      <c r="F2305" s="2"/>
      <c r="G2305" s="2"/>
      <c r="I2305" s="1"/>
      <c r="J2305" s="1"/>
    </row>
    <row r="2306" spans="1:10" ht="12.75" x14ac:dyDescent="0.2">
      <c r="A2306" s="3"/>
      <c r="B2306" s="3"/>
      <c r="C2306" s="3"/>
      <c r="D2306" s="3"/>
      <c r="E2306" s="3"/>
      <c r="F2306" s="2"/>
      <c r="G2306" s="2"/>
      <c r="I2306" s="1"/>
      <c r="J2306" s="1"/>
    </row>
    <row r="2307" spans="1:10" ht="12.75" x14ac:dyDescent="0.2">
      <c r="A2307" s="3"/>
      <c r="B2307" s="3"/>
      <c r="C2307" s="3"/>
      <c r="D2307" s="3"/>
      <c r="E2307" s="3"/>
      <c r="F2307" s="2"/>
      <c r="G2307" s="2"/>
      <c r="I2307" s="1"/>
      <c r="J2307" s="1"/>
    </row>
    <row r="2308" spans="1:10" ht="12.75" x14ac:dyDescent="0.2">
      <c r="A2308" s="3"/>
      <c r="B2308" s="3"/>
      <c r="C2308" s="3"/>
      <c r="D2308" s="3"/>
      <c r="E2308" s="3"/>
      <c r="F2308" s="2"/>
      <c r="G2308" s="2"/>
      <c r="I2308" s="1"/>
      <c r="J2308" s="1"/>
    </row>
    <row r="2309" spans="1:10" ht="12.75" x14ac:dyDescent="0.2">
      <c r="A2309" s="3"/>
      <c r="B2309" s="3"/>
      <c r="C2309" s="3"/>
      <c r="D2309" s="3"/>
      <c r="E2309" s="3"/>
      <c r="F2309" s="2"/>
      <c r="G2309" s="2"/>
      <c r="I2309" s="1"/>
      <c r="J2309" s="1"/>
    </row>
    <row r="2310" spans="1:10" ht="12.75" x14ac:dyDescent="0.2">
      <c r="A2310" s="3"/>
      <c r="B2310" s="3"/>
      <c r="C2310" s="3"/>
      <c r="D2310" s="3"/>
      <c r="E2310" s="3"/>
      <c r="F2310" s="2"/>
      <c r="G2310" s="2"/>
      <c r="I2310" s="1"/>
      <c r="J2310" s="1"/>
    </row>
    <row r="2311" spans="1:10" ht="12.75" x14ac:dyDescent="0.2">
      <c r="A2311" s="3"/>
      <c r="B2311" s="3"/>
      <c r="C2311" s="3"/>
      <c r="D2311" s="3"/>
      <c r="E2311" s="3"/>
      <c r="F2311" s="2"/>
      <c r="G2311" s="2"/>
      <c r="I2311" s="1"/>
      <c r="J2311" s="1"/>
    </row>
    <row r="2312" spans="1:10" ht="12.75" x14ac:dyDescent="0.2">
      <c r="A2312" s="3"/>
      <c r="B2312" s="3"/>
      <c r="C2312" s="3"/>
      <c r="D2312" s="3"/>
      <c r="E2312" s="3"/>
      <c r="F2312" s="2"/>
      <c r="G2312" s="2"/>
      <c r="I2312" s="1"/>
      <c r="J2312" s="1"/>
    </row>
    <row r="2313" spans="1:10" ht="12.75" x14ac:dyDescent="0.2">
      <c r="A2313" s="3"/>
      <c r="B2313" s="3"/>
      <c r="C2313" s="3"/>
      <c r="D2313" s="3"/>
      <c r="E2313" s="3"/>
      <c r="F2313" s="2"/>
      <c r="G2313" s="2"/>
      <c r="I2313" s="1"/>
      <c r="J2313" s="1"/>
    </row>
    <row r="2314" spans="1:10" ht="12.75" x14ac:dyDescent="0.2">
      <c r="A2314" s="3"/>
      <c r="B2314" s="3"/>
      <c r="C2314" s="3"/>
      <c r="D2314" s="3"/>
      <c r="E2314" s="3"/>
      <c r="F2314" s="2"/>
      <c r="G2314" s="2"/>
      <c r="I2314" s="1"/>
      <c r="J2314" s="1"/>
    </row>
    <row r="2315" spans="1:10" ht="12.75" x14ac:dyDescent="0.2">
      <c r="A2315" s="3"/>
      <c r="B2315" s="3"/>
      <c r="C2315" s="3"/>
      <c r="D2315" s="3"/>
      <c r="E2315" s="3"/>
      <c r="F2315" s="2"/>
      <c r="G2315" s="2"/>
      <c r="I2315" s="1"/>
      <c r="J2315" s="1"/>
    </row>
    <row r="2316" spans="1:10" ht="12.75" x14ac:dyDescent="0.2">
      <c r="A2316" s="3"/>
      <c r="B2316" s="3"/>
      <c r="C2316" s="3"/>
      <c r="D2316" s="3"/>
      <c r="E2316" s="3"/>
      <c r="F2316" s="2"/>
      <c r="G2316" s="2"/>
      <c r="I2316" s="1"/>
      <c r="J2316" s="1"/>
    </row>
    <row r="2317" spans="1:10" ht="12.75" x14ac:dyDescent="0.2">
      <c r="A2317" s="3"/>
      <c r="B2317" s="3"/>
      <c r="C2317" s="3"/>
      <c r="D2317" s="3"/>
      <c r="E2317" s="3"/>
      <c r="F2317" s="2"/>
      <c r="G2317" s="2"/>
      <c r="I2317" s="1"/>
      <c r="J2317" s="1"/>
    </row>
    <row r="2318" spans="1:10" ht="12.75" x14ac:dyDescent="0.2">
      <c r="A2318" s="3"/>
      <c r="B2318" s="3"/>
      <c r="C2318" s="3"/>
      <c r="D2318" s="3"/>
      <c r="E2318" s="3"/>
      <c r="F2318" s="2"/>
      <c r="G2318" s="2"/>
      <c r="I2318" s="1"/>
      <c r="J2318" s="1"/>
    </row>
    <row r="2319" spans="1:10" ht="12.75" x14ac:dyDescent="0.2">
      <c r="A2319" s="3"/>
      <c r="B2319" s="3"/>
      <c r="C2319" s="3"/>
      <c r="D2319" s="3"/>
      <c r="E2319" s="3"/>
      <c r="F2319" s="2"/>
      <c r="G2319" s="2"/>
      <c r="I2319" s="1"/>
      <c r="J2319" s="1"/>
    </row>
    <row r="2320" spans="1:10" ht="12.75" x14ac:dyDescent="0.2">
      <c r="A2320" s="3"/>
      <c r="B2320" s="3"/>
      <c r="C2320" s="3"/>
      <c r="D2320" s="3"/>
      <c r="E2320" s="3"/>
      <c r="F2320" s="2"/>
      <c r="G2320" s="2"/>
      <c r="I2320" s="1"/>
      <c r="J2320" s="1"/>
    </row>
    <row r="2321" spans="1:10" ht="12.75" x14ac:dyDescent="0.2">
      <c r="A2321" s="3"/>
      <c r="B2321" s="3"/>
      <c r="C2321" s="3"/>
      <c r="D2321" s="3"/>
      <c r="E2321" s="3"/>
      <c r="F2321" s="2"/>
      <c r="G2321" s="2"/>
      <c r="I2321" s="1"/>
      <c r="J2321" s="1"/>
    </row>
    <row r="2322" spans="1:10" ht="12.75" x14ac:dyDescent="0.2">
      <c r="A2322" s="3"/>
      <c r="B2322" s="3"/>
      <c r="C2322" s="3"/>
      <c r="D2322" s="3"/>
      <c r="E2322" s="3"/>
      <c r="F2322" s="2"/>
      <c r="G2322" s="2"/>
      <c r="I2322" s="1"/>
      <c r="J2322" s="1"/>
    </row>
    <row r="2323" spans="1:10" ht="12.75" x14ac:dyDescent="0.2">
      <c r="A2323" s="3"/>
      <c r="B2323" s="3"/>
      <c r="C2323" s="3"/>
      <c r="D2323" s="3"/>
      <c r="E2323" s="3"/>
      <c r="F2323" s="2"/>
      <c r="G2323" s="2"/>
      <c r="I2323" s="1"/>
      <c r="J2323" s="1"/>
    </row>
    <row r="2324" spans="1:10" ht="12.75" x14ac:dyDescent="0.2">
      <c r="A2324" s="3"/>
      <c r="B2324" s="3"/>
      <c r="C2324" s="3"/>
      <c r="D2324" s="3"/>
      <c r="E2324" s="3"/>
      <c r="F2324" s="2"/>
      <c r="G2324" s="2"/>
      <c r="I2324" s="1"/>
      <c r="J2324" s="1"/>
    </row>
    <row r="2325" spans="1:10" ht="12.75" x14ac:dyDescent="0.2">
      <c r="A2325" s="3"/>
      <c r="B2325" s="3"/>
      <c r="C2325" s="3"/>
      <c r="D2325" s="3"/>
      <c r="E2325" s="3"/>
      <c r="F2325" s="2"/>
      <c r="G2325" s="2"/>
      <c r="I2325" s="1"/>
      <c r="J2325" s="1"/>
    </row>
    <row r="2326" spans="1:10" ht="12.75" x14ac:dyDescent="0.2">
      <c r="A2326" s="3"/>
      <c r="B2326" s="3"/>
      <c r="C2326" s="3"/>
      <c r="D2326" s="3"/>
      <c r="E2326" s="3"/>
      <c r="F2326" s="2"/>
      <c r="G2326" s="2"/>
      <c r="I2326" s="1"/>
      <c r="J2326" s="1"/>
    </row>
    <row r="2327" spans="1:10" ht="12.75" x14ac:dyDescent="0.2">
      <c r="A2327" s="3"/>
      <c r="B2327" s="3"/>
      <c r="C2327" s="3"/>
      <c r="D2327" s="3"/>
      <c r="E2327" s="3"/>
      <c r="F2327" s="2"/>
      <c r="G2327" s="2"/>
      <c r="I2327" s="1"/>
      <c r="J2327" s="1"/>
    </row>
    <row r="2328" spans="1:10" ht="12.75" x14ac:dyDescent="0.2">
      <c r="A2328" s="3"/>
      <c r="B2328" s="3"/>
      <c r="C2328" s="3"/>
      <c r="D2328" s="3"/>
      <c r="E2328" s="3"/>
      <c r="F2328" s="2"/>
      <c r="G2328" s="2"/>
      <c r="I2328" s="1"/>
      <c r="J2328" s="1"/>
    </row>
    <row r="2329" spans="1:10" ht="12.75" x14ac:dyDescent="0.2">
      <c r="A2329" s="3"/>
      <c r="B2329" s="3"/>
      <c r="C2329" s="3"/>
      <c r="D2329" s="3"/>
      <c r="E2329" s="3"/>
      <c r="F2329" s="2"/>
      <c r="G2329" s="2"/>
      <c r="I2329" s="1"/>
      <c r="J2329" s="1"/>
    </row>
    <row r="2330" spans="1:10" ht="12.75" x14ac:dyDescent="0.2">
      <c r="A2330" s="3"/>
      <c r="B2330" s="3"/>
      <c r="C2330" s="3"/>
      <c r="D2330" s="3"/>
      <c r="E2330" s="3"/>
      <c r="F2330" s="2"/>
      <c r="G2330" s="2"/>
      <c r="I2330" s="1"/>
      <c r="J2330" s="1"/>
    </row>
    <row r="2331" spans="1:10" ht="12.75" x14ac:dyDescent="0.2">
      <c r="A2331" s="3"/>
      <c r="B2331" s="3"/>
      <c r="C2331" s="3"/>
      <c r="D2331" s="3"/>
      <c r="E2331" s="3"/>
      <c r="F2331" s="2"/>
      <c r="G2331" s="2"/>
      <c r="I2331" s="1"/>
      <c r="J2331" s="1"/>
    </row>
    <row r="2332" spans="1:10" ht="12.75" x14ac:dyDescent="0.2">
      <c r="A2332" s="3"/>
      <c r="B2332" s="3"/>
      <c r="C2332" s="3"/>
      <c r="D2332" s="3"/>
      <c r="E2332" s="3"/>
      <c r="F2332" s="2"/>
      <c r="G2332" s="2"/>
      <c r="I2332" s="1"/>
      <c r="J2332" s="1"/>
    </row>
    <row r="2333" spans="1:10" ht="12.75" x14ac:dyDescent="0.2">
      <c r="A2333" s="3"/>
      <c r="B2333" s="3"/>
      <c r="C2333" s="3"/>
      <c r="D2333" s="3"/>
      <c r="E2333" s="3"/>
      <c r="F2333" s="2"/>
      <c r="G2333" s="2"/>
      <c r="I2333" s="1"/>
      <c r="J2333" s="1"/>
    </row>
    <row r="2334" spans="1:10" ht="12.75" x14ac:dyDescent="0.2">
      <c r="A2334" s="3"/>
      <c r="B2334" s="3"/>
      <c r="C2334" s="3"/>
      <c r="D2334" s="3"/>
      <c r="E2334" s="3"/>
      <c r="F2334" s="2"/>
      <c r="G2334" s="2"/>
      <c r="I2334" s="1"/>
      <c r="J2334" s="1"/>
    </row>
    <row r="2335" spans="1:10" ht="12.75" x14ac:dyDescent="0.2">
      <c r="A2335" s="3"/>
      <c r="B2335" s="3"/>
      <c r="C2335" s="3"/>
      <c r="D2335" s="3"/>
      <c r="E2335" s="3"/>
      <c r="F2335" s="2"/>
      <c r="G2335" s="2"/>
      <c r="I2335" s="1"/>
      <c r="J2335" s="1"/>
    </row>
    <row r="2336" spans="1:10" ht="12.75" x14ac:dyDescent="0.2">
      <c r="A2336" s="3"/>
      <c r="B2336" s="3"/>
      <c r="C2336" s="3"/>
      <c r="D2336" s="3"/>
      <c r="E2336" s="3"/>
      <c r="F2336" s="2"/>
      <c r="G2336" s="2"/>
      <c r="I2336" s="1"/>
      <c r="J2336" s="1"/>
    </row>
    <row r="2337" spans="1:10" ht="12.75" x14ac:dyDescent="0.2">
      <c r="A2337" s="3"/>
      <c r="B2337" s="3"/>
      <c r="C2337" s="3"/>
      <c r="D2337" s="3"/>
      <c r="E2337" s="3"/>
      <c r="F2337" s="2"/>
      <c r="G2337" s="2"/>
      <c r="I2337" s="1"/>
      <c r="J2337" s="1"/>
    </row>
    <row r="2338" spans="1:10" ht="12.75" x14ac:dyDescent="0.2">
      <c r="A2338" s="3"/>
      <c r="B2338" s="3"/>
      <c r="C2338" s="3"/>
      <c r="D2338" s="3"/>
      <c r="E2338" s="3"/>
      <c r="F2338" s="2"/>
      <c r="G2338" s="2"/>
      <c r="I2338" s="1"/>
      <c r="J2338" s="1"/>
    </row>
    <row r="2339" spans="1:10" ht="12.75" x14ac:dyDescent="0.2">
      <c r="A2339" s="3"/>
      <c r="B2339" s="3"/>
      <c r="C2339" s="3"/>
      <c r="D2339" s="3"/>
      <c r="E2339" s="3"/>
      <c r="F2339" s="2"/>
      <c r="G2339" s="2"/>
      <c r="I2339" s="1"/>
      <c r="J2339" s="1"/>
    </row>
    <row r="2340" spans="1:10" ht="12.75" x14ac:dyDescent="0.2">
      <c r="A2340" s="3"/>
      <c r="B2340" s="3"/>
      <c r="C2340" s="3"/>
      <c r="D2340" s="3"/>
      <c r="E2340" s="3"/>
      <c r="F2340" s="2"/>
      <c r="G2340" s="2"/>
      <c r="I2340" s="1"/>
      <c r="J2340" s="1"/>
    </row>
    <row r="2341" spans="1:10" ht="12.75" x14ac:dyDescent="0.2">
      <c r="A2341" s="3"/>
      <c r="B2341" s="3"/>
      <c r="C2341" s="3"/>
      <c r="D2341" s="3"/>
      <c r="E2341" s="3"/>
      <c r="F2341" s="2"/>
      <c r="G2341" s="2"/>
      <c r="I2341" s="1"/>
      <c r="J2341" s="1"/>
    </row>
    <row r="2342" spans="1:10" ht="12.75" x14ac:dyDescent="0.2">
      <c r="A2342" s="3"/>
      <c r="B2342" s="3"/>
      <c r="C2342" s="3"/>
      <c r="D2342" s="3"/>
      <c r="E2342" s="3"/>
      <c r="F2342" s="2"/>
      <c r="G2342" s="2"/>
      <c r="I2342" s="1"/>
      <c r="J2342" s="1"/>
    </row>
    <row r="2343" spans="1:10" ht="12.75" x14ac:dyDescent="0.2">
      <c r="A2343" s="3"/>
      <c r="B2343" s="3"/>
      <c r="C2343" s="3"/>
      <c r="D2343" s="3"/>
      <c r="E2343" s="3"/>
      <c r="F2343" s="2"/>
      <c r="G2343" s="2"/>
      <c r="I2343" s="1"/>
      <c r="J2343" s="1"/>
    </row>
    <row r="2344" spans="1:10" ht="12.75" x14ac:dyDescent="0.2">
      <c r="A2344" s="3"/>
      <c r="B2344" s="3"/>
      <c r="C2344" s="3"/>
      <c r="D2344" s="3"/>
      <c r="E2344" s="3"/>
      <c r="F2344" s="2"/>
      <c r="G2344" s="2"/>
      <c r="I2344" s="1"/>
      <c r="J2344" s="1"/>
    </row>
    <row r="2345" spans="1:10" ht="12.75" x14ac:dyDescent="0.2">
      <c r="A2345" s="3"/>
      <c r="B2345" s="3"/>
      <c r="C2345" s="3"/>
      <c r="D2345" s="3"/>
      <c r="E2345" s="3"/>
      <c r="F2345" s="2"/>
      <c r="G2345" s="2"/>
      <c r="I2345" s="1"/>
      <c r="J2345" s="1"/>
    </row>
    <row r="2346" spans="1:10" ht="12.75" x14ac:dyDescent="0.2">
      <c r="A2346" s="3"/>
      <c r="B2346" s="3"/>
      <c r="C2346" s="3"/>
      <c r="D2346" s="3"/>
      <c r="E2346" s="3"/>
      <c r="F2346" s="2"/>
      <c r="G2346" s="2"/>
      <c r="I2346" s="1"/>
      <c r="J2346" s="1"/>
    </row>
    <row r="2347" spans="1:10" ht="12.75" x14ac:dyDescent="0.2">
      <c r="A2347" s="3"/>
      <c r="B2347" s="3"/>
      <c r="C2347" s="3"/>
      <c r="D2347" s="3"/>
      <c r="E2347" s="3"/>
      <c r="F2347" s="2"/>
      <c r="G2347" s="2"/>
      <c r="I2347" s="1"/>
      <c r="J2347" s="1"/>
    </row>
    <row r="2348" spans="1:10" ht="12.75" x14ac:dyDescent="0.2">
      <c r="A2348" s="3"/>
      <c r="B2348" s="3"/>
      <c r="C2348" s="3"/>
      <c r="D2348" s="3"/>
      <c r="E2348" s="3"/>
      <c r="F2348" s="2"/>
      <c r="G2348" s="2"/>
      <c r="I2348" s="1"/>
      <c r="J2348" s="1"/>
    </row>
    <row r="2349" spans="1:10" ht="12.75" x14ac:dyDescent="0.2">
      <c r="A2349" s="3"/>
      <c r="B2349" s="3"/>
      <c r="C2349" s="3"/>
      <c r="D2349" s="3"/>
      <c r="E2349" s="3"/>
      <c r="F2349" s="2"/>
      <c r="G2349" s="2"/>
      <c r="I2349" s="1"/>
      <c r="J2349" s="1"/>
    </row>
    <row r="2350" spans="1:10" ht="12.75" x14ac:dyDescent="0.2">
      <c r="A2350" s="3"/>
      <c r="B2350" s="3"/>
      <c r="C2350" s="3"/>
      <c r="D2350" s="3"/>
      <c r="E2350" s="3"/>
      <c r="F2350" s="2"/>
      <c r="G2350" s="2"/>
      <c r="I2350" s="1"/>
      <c r="J2350" s="1"/>
    </row>
    <row r="2351" spans="1:10" ht="12.75" x14ac:dyDescent="0.2">
      <c r="A2351" s="3"/>
      <c r="B2351" s="3"/>
      <c r="C2351" s="3"/>
      <c r="D2351" s="3"/>
      <c r="E2351" s="3"/>
      <c r="F2351" s="2"/>
      <c r="G2351" s="2"/>
      <c r="I2351" s="1"/>
      <c r="J2351" s="1"/>
    </row>
    <row r="2352" spans="1:10" ht="12.75" x14ac:dyDescent="0.2">
      <c r="A2352" s="3"/>
      <c r="B2352" s="3"/>
      <c r="C2352" s="3"/>
      <c r="D2352" s="3"/>
      <c r="E2352" s="3"/>
      <c r="F2352" s="2"/>
      <c r="G2352" s="2"/>
      <c r="I2352" s="1"/>
      <c r="J2352" s="1"/>
    </row>
    <row r="2353" spans="1:10" ht="12.75" x14ac:dyDescent="0.2">
      <c r="A2353" s="3"/>
      <c r="B2353" s="3"/>
      <c r="C2353" s="3"/>
      <c r="D2353" s="3"/>
      <c r="E2353" s="3"/>
      <c r="F2353" s="2"/>
      <c r="G2353" s="2"/>
      <c r="I2353" s="1"/>
      <c r="J2353" s="1"/>
    </row>
    <row r="2354" spans="1:10" ht="12.75" x14ac:dyDescent="0.2">
      <c r="A2354" s="3"/>
      <c r="B2354" s="3"/>
      <c r="C2354" s="3"/>
      <c r="D2354" s="3"/>
      <c r="E2354" s="3"/>
      <c r="F2354" s="2"/>
      <c r="G2354" s="2"/>
      <c r="I2354" s="1"/>
      <c r="J2354" s="1"/>
    </row>
    <row r="2355" spans="1:10" ht="12.75" x14ac:dyDescent="0.2">
      <c r="A2355" s="3"/>
      <c r="B2355" s="3"/>
      <c r="C2355" s="3"/>
      <c r="D2355" s="3"/>
      <c r="E2355" s="3"/>
      <c r="F2355" s="2"/>
      <c r="G2355" s="2"/>
      <c r="I2355" s="1"/>
      <c r="J2355" s="1"/>
    </row>
    <row r="2356" spans="1:10" ht="12.75" x14ac:dyDescent="0.2">
      <c r="A2356" s="3"/>
      <c r="B2356" s="3"/>
      <c r="C2356" s="3"/>
      <c r="D2356" s="3"/>
      <c r="E2356" s="3"/>
      <c r="F2356" s="2"/>
      <c r="G2356" s="2"/>
      <c r="I2356" s="1"/>
      <c r="J2356" s="1"/>
    </row>
    <row r="2357" spans="1:10" ht="12.75" x14ac:dyDescent="0.2">
      <c r="A2357" s="3"/>
      <c r="B2357" s="3"/>
      <c r="C2357" s="3"/>
      <c r="D2357" s="3"/>
      <c r="E2357" s="3"/>
      <c r="F2357" s="2"/>
      <c r="G2357" s="2"/>
      <c r="I2357" s="1"/>
      <c r="J2357" s="1"/>
    </row>
    <row r="2358" spans="1:10" ht="12.75" x14ac:dyDescent="0.2">
      <c r="A2358" s="3"/>
      <c r="B2358" s="3"/>
      <c r="C2358" s="3"/>
      <c r="D2358" s="3"/>
      <c r="E2358" s="3"/>
      <c r="F2358" s="2"/>
      <c r="G2358" s="2"/>
      <c r="I2358" s="1"/>
      <c r="J2358" s="1"/>
    </row>
    <row r="2359" spans="1:10" ht="12.75" x14ac:dyDescent="0.2">
      <c r="A2359" s="3"/>
      <c r="B2359" s="3"/>
      <c r="C2359" s="3"/>
      <c r="D2359" s="3"/>
      <c r="E2359" s="3"/>
      <c r="F2359" s="2"/>
      <c r="G2359" s="2"/>
      <c r="I2359" s="1"/>
      <c r="J2359" s="1"/>
    </row>
    <row r="2360" spans="1:10" ht="12.75" x14ac:dyDescent="0.2">
      <c r="A2360" s="3"/>
      <c r="B2360" s="3"/>
      <c r="C2360" s="3"/>
      <c r="D2360" s="3"/>
      <c r="E2360" s="3"/>
      <c r="F2360" s="2"/>
      <c r="G2360" s="2"/>
      <c r="I2360" s="1"/>
      <c r="J2360" s="1"/>
    </row>
    <row r="2361" spans="1:10" ht="12.75" x14ac:dyDescent="0.2">
      <c r="A2361" s="3"/>
      <c r="B2361" s="3"/>
      <c r="C2361" s="3"/>
      <c r="D2361" s="3"/>
      <c r="E2361" s="3"/>
      <c r="F2361" s="2"/>
      <c r="G2361" s="2"/>
      <c r="I2361" s="1"/>
      <c r="J2361" s="1"/>
    </row>
    <row r="2362" spans="1:10" ht="12.75" x14ac:dyDescent="0.2">
      <c r="A2362" s="3"/>
      <c r="B2362" s="3"/>
      <c r="C2362" s="3"/>
      <c r="D2362" s="3"/>
      <c r="E2362" s="3"/>
      <c r="F2362" s="2"/>
      <c r="G2362" s="2"/>
      <c r="I2362" s="1"/>
      <c r="J2362" s="1"/>
    </row>
    <row r="2363" spans="1:10" ht="12.75" x14ac:dyDescent="0.2">
      <c r="A2363" s="3"/>
      <c r="B2363" s="3"/>
      <c r="C2363" s="3"/>
      <c r="D2363" s="3"/>
      <c r="E2363" s="3"/>
      <c r="F2363" s="2"/>
      <c r="G2363" s="2"/>
      <c r="I2363" s="1"/>
      <c r="J2363" s="1"/>
    </row>
    <row r="2364" spans="1:10" ht="12.75" x14ac:dyDescent="0.2">
      <c r="A2364" s="3"/>
      <c r="B2364" s="3"/>
      <c r="C2364" s="3"/>
      <c r="D2364" s="3"/>
      <c r="E2364" s="3"/>
      <c r="F2364" s="2"/>
      <c r="G2364" s="2"/>
      <c r="I2364" s="1"/>
      <c r="J2364" s="1"/>
    </row>
    <row r="2365" spans="1:10" ht="12.75" x14ac:dyDescent="0.2">
      <c r="A2365" s="3"/>
      <c r="B2365" s="3"/>
      <c r="C2365" s="3"/>
      <c r="D2365" s="3"/>
      <c r="E2365" s="3"/>
      <c r="F2365" s="2"/>
      <c r="G2365" s="2"/>
      <c r="I2365" s="1"/>
      <c r="J2365" s="1"/>
    </row>
    <row r="2366" spans="1:10" ht="12.75" x14ac:dyDescent="0.2">
      <c r="A2366" s="3"/>
      <c r="B2366" s="3"/>
      <c r="C2366" s="3"/>
      <c r="D2366" s="3"/>
      <c r="E2366" s="3"/>
      <c r="F2366" s="2"/>
      <c r="G2366" s="2"/>
      <c r="I2366" s="1"/>
      <c r="J2366" s="1"/>
    </row>
    <row r="2367" spans="1:10" ht="12.75" x14ac:dyDescent="0.2">
      <c r="A2367" s="3"/>
      <c r="B2367" s="3"/>
      <c r="C2367" s="3"/>
      <c r="D2367" s="3"/>
      <c r="E2367" s="3"/>
      <c r="F2367" s="2"/>
      <c r="G2367" s="2"/>
      <c r="I2367" s="1"/>
      <c r="J2367" s="1"/>
    </row>
    <row r="2368" spans="1:10" ht="12.75" x14ac:dyDescent="0.2">
      <c r="A2368" s="3"/>
      <c r="B2368" s="3"/>
      <c r="C2368" s="3"/>
      <c r="D2368" s="3"/>
      <c r="E2368" s="3"/>
      <c r="F2368" s="2"/>
      <c r="G2368" s="2"/>
      <c r="I2368" s="1"/>
      <c r="J2368" s="1"/>
    </row>
    <row r="2369" spans="1:10" ht="12.75" x14ac:dyDescent="0.2">
      <c r="A2369" s="3"/>
      <c r="B2369" s="3"/>
      <c r="C2369" s="3"/>
      <c r="D2369" s="3"/>
      <c r="E2369" s="3"/>
      <c r="F2369" s="2"/>
      <c r="G2369" s="2"/>
      <c r="I2369" s="1"/>
      <c r="J2369" s="1"/>
    </row>
    <row r="2370" spans="1:10" ht="12.75" x14ac:dyDescent="0.2">
      <c r="A2370" s="3"/>
      <c r="B2370" s="3"/>
      <c r="C2370" s="3"/>
      <c r="D2370" s="3"/>
      <c r="E2370" s="3"/>
      <c r="F2370" s="2"/>
      <c r="G2370" s="2"/>
      <c r="I2370" s="1"/>
      <c r="J2370" s="1"/>
    </row>
    <row r="2371" spans="1:10" ht="12.75" x14ac:dyDescent="0.2">
      <c r="A2371" s="3"/>
      <c r="B2371" s="3"/>
      <c r="C2371" s="3"/>
      <c r="D2371" s="3"/>
      <c r="E2371" s="3"/>
      <c r="F2371" s="2"/>
      <c r="G2371" s="2"/>
      <c r="I2371" s="1"/>
      <c r="J2371" s="1"/>
    </row>
    <row r="2372" spans="1:10" ht="12.75" x14ac:dyDescent="0.2">
      <c r="A2372" s="3"/>
      <c r="B2372" s="3"/>
      <c r="C2372" s="3"/>
      <c r="D2372" s="3"/>
      <c r="E2372" s="3"/>
      <c r="F2372" s="2"/>
      <c r="G2372" s="2"/>
      <c r="I2372" s="1"/>
      <c r="J2372" s="1"/>
    </row>
    <row r="2373" spans="1:10" ht="12.75" x14ac:dyDescent="0.2">
      <c r="A2373" s="3"/>
      <c r="B2373" s="3"/>
      <c r="C2373" s="3"/>
      <c r="D2373" s="3"/>
      <c r="E2373" s="3"/>
      <c r="F2373" s="2"/>
      <c r="G2373" s="2"/>
      <c r="I2373" s="1"/>
      <c r="J2373" s="1"/>
    </row>
    <row r="2374" spans="1:10" ht="12.75" x14ac:dyDescent="0.2">
      <c r="A2374" s="3"/>
      <c r="B2374" s="3"/>
      <c r="C2374" s="3"/>
      <c r="D2374" s="3"/>
      <c r="E2374" s="3"/>
      <c r="F2374" s="2"/>
      <c r="G2374" s="2"/>
      <c r="I2374" s="1"/>
      <c r="J2374" s="1"/>
    </row>
    <row r="2375" spans="1:10" ht="12.75" x14ac:dyDescent="0.2">
      <c r="A2375" s="3"/>
      <c r="B2375" s="3"/>
      <c r="C2375" s="3"/>
      <c r="D2375" s="3"/>
      <c r="E2375" s="3"/>
      <c r="F2375" s="2"/>
      <c r="G2375" s="2"/>
      <c r="I2375" s="1"/>
      <c r="J2375" s="1"/>
    </row>
    <row r="2376" spans="1:10" ht="12.75" x14ac:dyDescent="0.2">
      <c r="A2376" s="3"/>
      <c r="B2376" s="3"/>
      <c r="C2376" s="3"/>
      <c r="D2376" s="3"/>
      <c r="E2376" s="3"/>
      <c r="F2376" s="2"/>
      <c r="G2376" s="2"/>
      <c r="I2376" s="1"/>
      <c r="J2376" s="1"/>
    </row>
    <row r="2377" spans="1:10" ht="12.75" x14ac:dyDescent="0.2">
      <c r="A2377" s="3"/>
      <c r="B2377" s="3"/>
      <c r="C2377" s="3"/>
      <c r="D2377" s="3"/>
      <c r="E2377" s="3"/>
      <c r="F2377" s="2"/>
      <c r="G2377" s="2"/>
      <c r="I2377" s="1"/>
      <c r="J2377" s="1"/>
    </row>
    <row r="2378" spans="1:10" ht="12.75" x14ac:dyDescent="0.2">
      <c r="A2378" s="3"/>
      <c r="B2378" s="3"/>
      <c r="C2378" s="3"/>
      <c r="D2378" s="3"/>
      <c r="E2378" s="3"/>
      <c r="F2378" s="2"/>
      <c r="G2378" s="2"/>
      <c r="I2378" s="1"/>
      <c r="J2378" s="1"/>
    </row>
    <row r="2379" spans="1:10" ht="12.75" x14ac:dyDescent="0.2">
      <c r="A2379" s="3"/>
      <c r="B2379" s="3"/>
      <c r="C2379" s="3"/>
      <c r="D2379" s="3"/>
      <c r="E2379" s="3"/>
      <c r="F2379" s="2"/>
      <c r="G2379" s="2"/>
      <c r="I2379" s="1"/>
      <c r="J2379" s="1"/>
    </row>
    <row r="2380" spans="1:10" ht="12.75" x14ac:dyDescent="0.2">
      <c r="A2380" s="3"/>
      <c r="B2380" s="3"/>
      <c r="C2380" s="3"/>
      <c r="D2380" s="3"/>
      <c r="E2380" s="3"/>
      <c r="F2380" s="2"/>
      <c r="G2380" s="2"/>
      <c r="I2380" s="1"/>
      <c r="J2380" s="1"/>
    </row>
    <row r="2381" spans="1:10" ht="12.75" x14ac:dyDescent="0.2">
      <c r="A2381" s="3"/>
      <c r="B2381" s="3"/>
      <c r="C2381" s="3"/>
      <c r="D2381" s="3"/>
      <c r="E2381" s="3"/>
      <c r="F2381" s="2"/>
      <c r="G2381" s="2"/>
      <c r="I2381" s="1"/>
      <c r="J2381" s="1"/>
    </row>
    <row r="2382" spans="1:10" ht="12.75" x14ac:dyDescent="0.2">
      <c r="A2382" s="3"/>
      <c r="B2382" s="3"/>
      <c r="C2382" s="3"/>
      <c r="D2382" s="3"/>
      <c r="E2382" s="3"/>
      <c r="F2382" s="2"/>
      <c r="G2382" s="2"/>
      <c r="I2382" s="1"/>
      <c r="J2382" s="1"/>
    </row>
    <row r="2383" spans="1:10" ht="12.75" x14ac:dyDescent="0.2">
      <c r="A2383" s="3"/>
      <c r="B2383" s="3"/>
      <c r="C2383" s="3"/>
      <c r="D2383" s="3"/>
      <c r="E2383" s="3"/>
      <c r="F2383" s="2"/>
      <c r="G2383" s="2"/>
      <c r="I2383" s="1"/>
      <c r="J2383" s="1"/>
    </row>
    <row r="2384" spans="1:10" ht="12.75" x14ac:dyDescent="0.2">
      <c r="A2384" s="3"/>
      <c r="B2384" s="3"/>
      <c r="C2384" s="3"/>
      <c r="D2384" s="3"/>
      <c r="E2384" s="3"/>
      <c r="F2384" s="2"/>
      <c r="G2384" s="2"/>
      <c r="I2384" s="1"/>
      <c r="J2384" s="1"/>
    </row>
    <row r="2385" spans="1:10" ht="12.75" x14ac:dyDescent="0.2">
      <c r="A2385" s="3"/>
      <c r="B2385" s="3"/>
      <c r="C2385" s="3"/>
      <c r="D2385" s="3"/>
      <c r="E2385" s="3"/>
      <c r="F2385" s="2"/>
      <c r="G2385" s="2"/>
      <c r="I2385" s="1"/>
      <c r="J2385" s="1"/>
    </row>
    <row r="2386" spans="1:10" ht="12.75" x14ac:dyDescent="0.2">
      <c r="A2386" s="3"/>
      <c r="B2386" s="3"/>
      <c r="C2386" s="3"/>
      <c r="D2386" s="3"/>
      <c r="E2386" s="3"/>
      <c r="F2386" s="2"/>
      <c r="G2386" s="2"/>
      <c r="I2386" s="1"/>
      <c r="J2386" s="1"/>
    </row>
    <row r="2387" spans="1:10" ht="12.75" x14ac:dyDescent="0.2">
      <c r="A2387" s="3"/>
      <c r="B2387" s="3"/>
      <c r="C2387" s="3"/>
      <c r="D2387" s="3"/>
      <c r="E2387" s="3"/>
      <c r="F2387" s="2"/>
      <c r="G2387" s="2"/>
      <c r="I2387" s="1"/>
      <c r="J2387" s="1"/>
    </row>
    <row r="2388" spans="1:10" ht="12.75" x14ac:dyDescent="0.2">
      <c r="A2388" s="3"/>
      <c r="B2388" s="3"/>
      <c r="C2388" s="3"/>
      <c r="D2388" s="3"/>
      <c r="E2388" s="3"/>
      <c r="F2388" s="2"/>
      <c r="G2388" s="2"/>
      <c r="I2388" s="1"/>
      <c r="J2388" s="1"/>
    </row>
    <row r="2389" spans="1:10" ht="12.75" x14ac:dyDescent="0.2">
      <c r="A2389" s="3"/>
      <c r="B2389" s="3"/>
      <c r="C2389" s="3"/>
      <c r="D2389" s="3"/>
      <c r="E2389" s="3"/>
      <c r="F2389" s="2"/>
      <c r="G2389" s="2"/>
      <c r="I2389" s="1"/>
      <c r="J2389" s="1"/>
    </row>
    <row r="2390" spans="1:10" ht="12.75" x14ac:dyDescent="0.2">
      <c r="A2390" s="3"/>
      <c r="B2390" s="3"/>
      <c r="C2390" s="3"/>
      <c r="D2390" s="3"/>
      <c r="E2390" s="3"/>
      <c r="F2390" s="2"/>
      <c r="G2390" s="2"/>
      <c r="I2390" s="1"/>
      <c r="J2390" s="1"/>
    </row>
    <row r="2391" spans="1:10" ht="12.75" x14ac:dyDescent="0.2">
      <c r="A2391" s="3"/>
      <c r="B2391" s="3"/>
      <c r="C2391" s="3"/>
      <c r="D2391" s="3"/>
      <c r="E2391" s="3"/>
      <c r="F2391" s="2"/>
      <c r="G2391" s="2"/>
      <c r="I2391" s="1"/>
      <c r="J2391" s="1"/>
    </row>
    <row r="2392" spans="1:10" ht="12.75" x14ac:dyDescent="0.2">
      <c r="A2392" s="3"/>
      <c r="B2392" s="3"/>
      <c r="C2392" s="3"/>
      <c r="D2392" s="3"/>
      <c r="E2392" s="3"/>
      <c r="F2392" s="2"/>
      <c r="G2392" s="2"/>
      <c r="I2392" s="1"/>
      <c r="J2392" s="1"/>
    </row>
    <row r="2393" spans="1:10" ht="12.75" x14ac:dyDescent="0.2">
      <c r="A2393" s="3"/>
      <c r="B2393" s="3"/>
      <c r="C2393" s="3"/>
      <c r="D2393" s="3"/>
      <c r="E2393" s="3"/>
      <c r="F2393" s="2"/>
      <c r="G2393" s="2"/>
      <c r="I2393" s="1"/>
      <c r="J2393" s="1"/>
    </row>
    <row r="2394" spans="1:10" ht="12.75" x14ac:dyDescent="0.2">
      <c r="A2394" s="3"/>
      <c r="B2394" s="3"/>
      <c r="C2394" s="3"/>
      <c r="D2394" s="3"/>
      <c r="E2394" s="3"/>
      <c r="F2394" s="2"/>
      <c r="G2394" s="2"/>
      <c r="I2394" s="1"/>
      <c r="J2394" s="1"/>
    </row>
    <row r="2395" spans="1:10" ht="12.75" x14ac:dyDescent="0.2">
      <c r="A2395" s="3"/>
      <c r="B2395" s="3"/>
      <c r="C2395" s="3"/>
      <c r="D2395" s="3"/>
      <c r="E2395" s="3"/>
      <c r="F2395" s="2"/>
      <c r="G2395" s="2"/>
      <c r="I2395" s="1"/>
      <c r="J2395" s="1"/>
    </row>
    <row r="2396" spans="1:10" ht="12.75" x14ac:dyDescent="0.2">
      <c r="A2396" s="3"/>
      <c r="B2396" s="3"/>
      <c r="C2396" s="3"/>
      <c r="D2396" s="3"/>
      <c r="E2396" s="3"/>
      <c r="F2396" s="2"/>
      <c r="G2396" s="2"/>
      <c r="I2396" s="1"/>
      <c r="J2396" s="1"/>
    </row>
    <row r="2397" spans="1:10" ht="12.75" x14ac:dyDescent="0.2">
      <c r="A2397" s="3"/>
      <c r="B2397" s="3"/>
      <c r="C2397" s="3"/>
      <c r="D2397" s="3"/>
      <c r="E2397" s="3"/>
      <c r="F2397" s="2"/>
      <c r="G2397" s="2"/>
      <c r="I2397" s="1"/>
      <c r="J2397" s="1"/>
    </row>
    <row r="2398" spans="1:10" ht="12.75" x14ac:dyDescent="0.2">
      <c r="A2398" s="3"/>
      <c r="B2398" s="3"/>
      <c r="C2398" s="3"/>
      <c r="D2398" s="3"/>
      <c r="E2398" s="3"/>
      <c r="F2398" s="2"/>
      <c r="G2398" s="2"/>
      <c r="I2398" s="1"/>
      <c r="J2398" s="1"/>
    </row>
    <row r="2399" spans="1:10" ht="12.75" x14ac:dyDescent="0.2">
      <c r="A2399" s="3"/>
      <c r="B2399" s="3"/>
      <c r="C2399" s="3"/>
      <c r="D2399" s="3"/>
      <c r="E2399" s="3"/>
      <c r="F2399" s="2"/>
      <c r="G2399" s="2"/>
      <c r="I2399" s="1"/>
      <c r="J2399" s="1"/>
    </row>
    <row r="2400" spans="1:10" ht="12.75" x14ac:dyDescent="0.2">
      <c r="A2400" s="3"/>
      <c r="B2400" s="3"/>
      <c r="C2400" s="3"/>
      <c r="D2400" s="3"/>
      <c r="E2400" s="3"/>
      <c r="F2400" s="2"/>
      <c r="G2400" s="2"/>
      <c r="I2400" s="1"/>
      <c r="J2400" s="1"/>
    </row>
    <row r="2401" spans="1:10" ht="12.75" x14ac:dyDescent="0.2">
      <c r="A2401" s="3"/>
      <c r="B2401" s="3"/>
      <c r="C2401" s="3"/>
      <c r="D2401" s="3"/>
      <c r="E2401" s="3"/>
      <c r="F2401" s="2"/>
      <c r="G2401" s="2"/>
      <c r="I2401" s="1"/>
      <c r="J2401" s="1"/>
    </row>
    <row r="2402" spans="1:10" ht="12.75" x14ac:dyDescent="0.2">
      <c r="A2402" s="3"/>
      <c r="B2402" s="3"/>
      <c r="C2402" s="3"/>
      <c r="D2402" s="3"/>
      <c r="E2402" s="3"/>
      <c r="F2402" s="2"/>
      <c r="G2402" s="2"/>
      <c r="I2402" s="1"/>
      <c r="J2402" s="1"/>
    </row>
    <row r="2403" spans="1:10" ht="12.75" x14ac:dyDescent="0.2">
      <c r="A2403" s="3"/>
      <c r="B2403" s="3"/>
      <c r="C2403" s="3"/>
      <c r="D2403" s="3"/>
      <c r="E2403" s="3"/>
      <c r="F2403" s="2"/>
      <c r="G2403" s="2"/>
      <c r="I2403" s="1"/>
      <c r="J2403" s="1"/>
    </row>
    <row r="2404" spans="1:10" ht="12.75" x14ac:dyDescent="0.2">
      <c r="A2404" s="3"/>
      <c r="B2404" s="3"/>
      <c r="C2404" s="3"/>
      <c r="D2404" s="3"/>
      <c r="E2404" s="3"/>
      <c r="F2404" s="2"/>
      <c r="G2404" s="2"/>
      <c r="I2404" s="1"/>
      <c r="J2404" s="1"/>
    </row>
    <row r="2405" spans="1:10" ht="12.75" x14ac:dyDescent="0.2">
      <c r="A2405" s="3"/>
      <c r="B2405" s="3"/>
      <c r="C2405" s="3"/>
      <c r="D2405" s="3"/>
      <c r="E2405" s="3"/>
      <c r="F2405" s="2"/>
      <c r="G2405" s="2"/>
      <c r="I2405" s="1"/>
      <c r="J2405" s="1"/>
    </row>
    <row r="2406" spans="1:10" ht="12.75" x14ac:dyDescent="0.2">
      <c r="A2406" s="3"/>
      <c r="B2406" s="3"/>
      <c r="C2406" s="3"/>
      <c r="D2406" s="3"/>
      <c r="E2406" s="3"/>
      <c r="F2406" s="2"/>
      <c r="G2406" s="2"/>
      <c r="I2406" s="1"/>
      <c r="J2406" s="1"/>
    </row>
    <row r="2407" spans="1:10" ht="12.75" x14ac:dyDescent="0.2">
      <c r="A2407" s="3"/>
      <c r="B2407" s="3"/>
      <c r="C2407" s="3"/>
      <c r="D2407" s="3"/>
      <c r="E2407" s="3"/>
      <c r="F2407" s="2"/>
      <c r="G2407" s="2"/>
      <c r="I2407" s="1"/>
      <c r="J2407" s="1"/>
    </row>
    <row r="2408" spans="1:10" ht="12.75" x14ac:dyDescent="0.2">
      <c r="A2408" s="3"/>
      <c r="B2408" s="3"/>
      <c r="C2408" s="3"/>
      <c r="D2408" s="3"/>
      <c r="E2408" s="3"/>
      <c r="F2408" s="2"/>
      <c r="G2408" s="2"/>
      <c r="I2408" s="1"/>
      <c r="J2408" s="1"/>
    </row>
    <row r="2409" spans="1:10" ht="12.75" x14ac:dyDescent="0.2">
      <c r="A2409" s="3"/>
      <c r="B2409" s="3"/>
      <c r="C2409" s="3"/>
      <c r="D2409" s="3"/>
      <c r="E2409" s="3"/>
      <c r="F2409" s="2"/>
      <c r="G2409" s="2"/>
      <c r="I2409" s="1"/>
      <c r="J2409" s="1"/>
    </row>
    <row r="2410" spans="1:10" ht="12.75" x14ac:dyDescent="0.2">
      <c r="A2410" s="3"/>
      <c r="B2410" s="3"/>
      <c r="C2410" s="3"/>
      <c r="D2410" s="3"/>
      <c r="E2410" s="3"/>
      <c r="F2410" s="2"/>
      <c r="G2410" s="2"/>
      <c r="I2410" s="1"/>
      <c r="J2410" s="1"/>
    </row>
    <row r="2411" spans="1:10" ht="12.75" x14ac:dyDescent="0.2">
      <c r="A2411" s="3"/>
      <c r="B2411" s="3"/>
      <c r="C2411" s="3"/>
      <c r="D2411" s="3"/>
      <c r="E2411" s="3"/>
      <c r="F2411" s="2"/>
      <c r="G2411" s="2"/>
      <c r="I2411" s="1"/>
      <c r="J2411" s="1"/>
    </row>
    <row r="2412" spans="1:10" ht="12.75" x14ac:dyDescent="0.2">
      <c r="A2412" s="3"/>
      <c r="B2412" s="3"/>
      <c r="C2412" s="3"/>
      <c r="D2412" s="3"/>
      <c r="E2412" s="3"/>
      <c r="F2412" s="2"/>
      <c r="G2412" s="2"/>
      <c r="I2412" s="1"/>
      <c r="J2412" s="1"/>
    </row>
    <row r="2413" spans="1:10" ht="12.75" x14ac:dyDescent="0.2">
      <c r="A2413" s="3"/>
      <c r="B2413" s="3"/>
      <c r="C2413" s="3"/>
      <c r="D2413" s="3"/>
      <c r="E2413" s="3"/>
      <c r="F2413" s="2"/>
      <c r="G2413" s="2"/>
      <c r="I2413" s="1"/>
      <c r="J2413" s="1"/>
    </row>
    <row r="2414" spans="1:10" ht="12.75" x14ac:dyDescent="0.2">
      <c r="A2414" s="3"/>
      <c r="B2414" s="3"/>
      <c r="C2414" s="3"/>
      <c r="D2414" s="3"/>
      <c r="E2414" s="3"/>
      <c r="F2414" s="2"/>
      <c r="G2414" s="2"/>
      <c r="I2414" s="1"/>
      <c r="J2414" s="1"/>
    </row>
    <row r="2415" spans="1:10" ht="12.75" x14ac:dyDescent="0.2">
      <c r="A2415" s="3"/>
      <c r="B2415" s="3"/>
      <c r="C2415" s="3"/>
      <c r="D2415" s="3"/>
      <c r="E2415" s="3"/>
      <c r="F2415" s="2"/>
      <c r="G2415" s="2"/>
      <c r="I2415" s="1"/>
      <c r="J2415" s="1"/>
    </row>
    <row r="2416" spans="1:10" ht="12.75" x14ac:dyDescent="0.2">
      <c r="A2416" s="3"/>
      <c r="B2416" s="3"/>
      <c r="C2416" s="3"/>
      <c r="D2416" s="3"/>
      <c r="E2416" s="3"/>
      <c r="F2416" s="2"/>
      <c r="G2416" s="2"/>
      <c r="I2416" s="1"/>
      <c r="J2416" s="1"/>
    </row>
    <row r="2417" spans="1:10" ht="12.75" x14ac:dyDescent="0.2">
      <c r="A2417" s="3"/>
      <c r="B2417" s="3"/>
      <c r="C2417" s="3"/>
      <c r="D2417" s="3"/>
      <c r="E2417" s="3"/>
      <c r="F2417" s="2"/>
      <c r="G2417" s="2"/>
      <c r="I2417" s="1"/>
      <c r="J2417" s="1"/>
    </row>
    <row r="2418" spans="1:10" ht="12.75" x14ac:dyDescent="0.2">
      <c r="A2418" s="3"/>
      <c r="B2418" s="3"/>
      <c r="C2418" s="3"/>
      <c r="D2418" s="3"/>
      <c r="E2418" s="3"/>
      <c r="F2418" s="2"/>
      <c r="G2418" s="2"/>
      <c r="I2418" s="1"/>
      <c r="J2418" s="1"/>
    </row>
    <row r="2419" spans="1:10" ht="12.75" x14ac:dyDescent="0.2">
      <c r="A2419" s="3"/>
      <c r="B2419" s="3"/>
      <c r="C2419" s="3"/>
      <c r="D2419" s="3"/>
      <c r="E2419" s="3"/>
      <c r="F2419" s="2"/>
      <c r="G2419" s="2"/>
      <c r="I2419" s="1"/>
      <c r="J2419" s="1"/>
    </row>
    <row r="2420" spans="1:10" ht="12.75" x14ac:dyDescent="0.2">
      <c r="A2420" s="3"/>
      <c r="B2420" s="3"/>
      <c r="C2420" s="3"/>
      <c r="D2420" s="3"/>
      <c r="E2420" s="3"/>
      <c r="F2420" s="2"/>
      <c r="G2420" s="2"/>
      <c r="I2420" s="1"/>
      <c r="J2420" s="1"/>
    </row>
    <row r="2421" spans="1:10" ht="12.75" x14ac:dyDescent="0.2">
      <c r="A2421" s="3"/>
      <c r="B2421" s="3"/>
      <c r="C2421" s="3"/>
      <c r="D2421" s="3"/>
      <c r="E2421" s="3"/>
      <c r="F2421" s="2"/>
      <c r="G2421" s="2"/>
      <c r="I2421" s="1"/>
      <c r="J2421" s="1"/>
    </row>
    <row r="2422" spans="1:10" ht="12.75" x14ac:dyDescent="0.2">
      <c r="A2422" s="3"/>
      <c r="B2422" s="3"/>
      <c r="C2422" s="3"/>
      <c r="D2422" s="3"/>
      <c r="E2422" s="3"/>
      <c r="F2422" s="2"/>
      <c r="G2422" s="2"/>
      <c r="I2422" s="1"/>
      <c r="J2422" s="1"/>
    </row>
    <row r="2423" spans="1:10" ht="12.75" x14ac:dyDescent="0.2">
      <c r="A2423" s="3"/>
      <c r="B2423" s="3"/>
      <c r="C2423" s="3"/>
      <c r="D2423" s="3"/>
      <c r="E2423" s="3"/>
      <c r="F2423" s="2"/>
      <c r="G2423" s="2"/>
      <c r="I2423" s="1"/>
      <c r="J2423" s="1"/>
    </row>
    <row r="2424" spans="1:10" ht="12.75" x14ac:dyDescent="0.2">
      <c r="A2424" s="3"/>
      <c r="B2424" s="3"/>
      <c r="C2424" s="3"/>
      <c r="D2424" s="3"/>
      <c r="E2424" s="3"/>
      <c r="F2424" s="2"/>
      <c r="G2424" s="2"/>
      <c r="I2424" s="1"/>
      <c r="J2424" s="1"/>
    </row>
    <row r="2425" spans="1:10" ht="12.75" x14ac:dyDescent="0.2">
      <c r="A2425" s="3"/>
      <c r="B2425" s="3"/>
      <c r="C2425" s="3"/>
      <c r="D2425" s="3"/>
      <c r="E2425" s="3"/>
      <c r="F2425" s="2"/>
      <c r="G2425" s="2"/>
      <c r="I2425" s="1"/>
      <c r="J2425" s="1"/>
    </row>
    <row r="2426" spans="1:10" ht="12.75" x14ac:dyDescent="0.2">
      <c r="A2426" s="3"/>
      <c r="B2426" s="3"/>
      <c r="C2426" s="3"/>
      <c r="D2426" s="3"/>
      <c r="E2426" s="3"/>
      <c r="F2426" s="2"/>
      <c r="G2426" s="2"/>
      <c r="I2426" s="1"/>
      <c r="J2426" s="1"/>
    </row>
    <row r="2427" spans="1:10" ht="12.75" x14ac:dyDescent="0.2">
      <c r="A2427" s="3"/>
      <c r="B2427" s="3"/>
      <c r="C2427" s="3"/>
      <c r="D2427" s="3"/>
      <c r="E2427" s="3"/>
      <c r="F2427" s="2"/>
      <c r="G2427" s="2"/>
      <c r="I2427" s="1"/>
      <c r="J2427" s="1"/>
    </row>
    <row r="2428" spans="1:10" ht="12.75" x14ac:dyDescent="0.2">
      <c r="A2428" s="3"/>
      <c r="B2428" s="3"/>
      <c r="C2428" s="3"/>
      <c r="D2428" s="3"/>
      <c r="E2428" s="3"/>
      <c r="F2428" s="2"/>
      <c r="G2428" s="2"/>
      <c r="I2428" s="1"/>
      <c r="J2428" s="1"/>
    </row>
    <row r="2429" spans="1:10" ht="12.75" x14ac:dyDescent="0.2">
      <c r="A2429" s="3"/>
      <c r="B2429" s="3"/>
      <c r="C2429" s="3"/>
      <c r="D2429" s="3"/>
      <c r="E2429" s="3"/>
      <c r="F2429" s="2"/>
      <c r="G2429" s="2"/>
      <c r="I2429" s="1"/>
      <c r="J2429" s="1"/>
    </row>
    <row r="2430" spans="1:10" ht="12.75" x14ac:dyDescent="0.2">
      <c r="A2430" s="3"/>
      <c r="B2430" s="3"/>
      <c r="C2430" s="3"/>
      <c r="D2430" s="3"/>
      <c r="E2430" s="3"/>
      <c r="F2430" s="2"/>
      <c r="G2430" s="2"/>
      <c r="I2430" s="1"/>
      <c r="J2430" s="1"/>
    </row>
    <row r="2431" spans="1:10" ht="12.75" x14ac:dyDescent="0.2">
      <c r="A2431" s="3"/>
      <c r="B2431" s="3"/>
      <c r="C2431" s="3"/>
      <c r="D2431" s="3"/>
      <c r="E2431" s="3"/>
      <c r="F2431" s="2"/>
      <c r="G2431" s="2"/>
      <c r="I2431" s="1"/>
      <c r="J2431" s="1"/>
    </row>
    <row r="2432" spans="1:10" ht="12.75" x14ac:dyDescent="0.2">
      <c r="A2432" s="3"/>
      <c r="B2432" s="3"/>
      <c r="C2432" s="3"/>
      <c r="D2432" s="3"/>
      <c r="E2432" s="3"/>
      <c r="F2432" s="2"/>
      <c r="G2432" s="2"/>
      <c r="I2432" s="1"/>
      <c r="J2432" s="1"/>
    </row>
    <row r="2433" spans="1:10" ht="12.75" x14ac:dyDescent="0.2">
      <c r="A2433" s="3"/>
      <c r="B2433" s="3"/>
      <c r="C2433" s="3"/>
      <c r="D2433" s="3"/>
      <c r="E2433" s="3"/>
      <c r="F2433" s="2"/>
      <c r="G2433" s="2"/>
      <c r="I2433" s="1"/>
      <c r="J2433" s="1"/>
    </row>
    <row r="2434" spans="1:10" ht="12.75" x14ac:dyDescent="0.2">
      <c r="A2434" s="3"/>
      <c r="B2434" s="3"/>
      <c r="C2434" s="3"/>
      <c r="D2434" s="3"/>
      <c r="E2434" s="3"/>
      <c r="F2434" s="2"/>
      <c r="G2434" s="2"/>
      <c r="I2434" s="1"/>
      <c r="J2434" s="1"/>
    </row>
    <row r="2435" spans="1:10" ht="12.75" x14ac:dyDescent="0.2">
      <c r="A2435" s="3"/>
      <c r="B2435" s="3"/>
      <c r="C2435" s="3"/>
      <c r="D2435" s="3"/>
      <c r="E2435" s="3"/>
      <c r="F2435" s="2"/>
      <c r="G2435" s="2"/>
      <c r="I2435" s="1"/>
      <c r="J2435" s="1"/>
    </row>
    <row r="2436" spans="1:10" ht="12.75" x14ac:dyDescent="0.2">
      <c r="A2436" s="3"/>
      <c r="B2436" s="3"/>
      <c r="C2436" s="3"/>
      <c r="D2436" s="3"/>
      <c r="E2436" s="3"/>
      <c r="F2436" s="2"/>
      <c r="G2436" s="2"/>
      <c r="I2436" s="1"/>
      <c r="J2436" s="1"/>
    </row>
    <row r="2437" spans="1:10" ht="12.75" x14ac:dyDescent="0.2">
      <c r="A2437" s="3"/>
      <c r="B2437" s="3"/>
      <c r="C2437" s="3"/>
      <c r="D2437" s="3"/>
      <c r="E2437" s="3"/>
      <c r="F2437" s="2"/>
      <c r="G2437" s="2"/>
      <c r="I2437" s="1"/>
      <c r="J2437" s="1"/>
    </row>
    <row r="2438" spans="1:10" ht="12.75" x14ac:dyDescent="0.2">
      <c r="A2438" s="3"/>
      <c r="B2438" s="3"/>
      <c r="C2438" s="3"/>
      <c r="D2438" s="3"/>
      <c r="E2438" s="3"/>
      <c r="F2438" s="2"/>
      <c r="G2438" s="2"/>
      <c r="I2438" s="1"/>
      <c r="J2438" s="1"/>
    </row>
    <row r="2439" spans="1:10" ht="12.75" x14ac:dyDescent="0.2">
      <c r="A2439" s="3"/>
      <c r="B2439" s="3"/>
      <c r="C2439" s="3"/>
      <c r="D2439" s="3"/>
      <c r="E2439" s="3"/>
      <c r="F2439" s="2"/>
      <c r="G2439" s="2"/>
      <c r="I2439" s="1"/>
      <c r="J2439" s="1"/>
    </row>
    <row r="2440" spans="1:10" ht="12.75" x14ac:dyDescent="0.2">
      <c r="A2440" s="3"/>
      <c r="B2440" s="3"/>
      <c r="C2440" s="3"/>
      <c r="D2440" s="3"/>
      <c r="E2440" s="3"/>
      <c r="F2440" s="2"/>
      <c r="G2440" s="2"/>
      <c r="I2440" s="1"/>
      <c r="J2440" s="1"/>
    </row>
    <row r="2441" spans="1:10" ht="12.75" x14ac:dyDescent="0.2">
      <c r="A2441" s="3"/>
      <c r="B2441" s="3"/>
      <c r="C2441" s="3"/>
      <c r="D2441" s="3"/>
      <c r="E2441" s="3"/>
      <c r="F2441" s="2"/>
      <c r="G2441" s="2"/>
      <c r="I2441" s="1"/>
      <c r="J2441" s="1"/>
    </row>
    <row r="2442" spans="1:10" ht="12.75" x14ac:dyDescent="0.2">
      <c r="A2442" s="3"/>
      <c r="B2442" s="3"/>
      <c r="C2442" s="3"/>
      <c r="D2442" s="3"/>
      <c r="E2442" s="3"/>
      <c r="F2442" s="2"/>
      <c r="G2442" s="2"/>
      <c r="I2442" s="1"/>
      <c r="J2442" s="1"/>
    </row>
    <row r="2443" spans="1:10" ht="12.75" x14ac:dyDescent="0.2">
      <c r="A2443" s="3"/>
      <c r="B2443" s="3"/>
      <c r="C2443" s="3"/>
      <c r="D2443" s="3"/>
      <c r="E2443" s="3"/>
      <c r="F2443" s="2"/>
      <c r="G2443" s="2"/>
      <c r="I2443" s="1"/>
      <c r="J2443" s="1"/>
    </row>
    <row r="2444" spans="1:10" ht="12.75" x14ac:dyDescent="0.2">
      <c r="A2444" s="3"/>
      <c r="B2444" s="3"/>
      <c r="C2444" s="3"/>
      <c r="D2444" s="3"/>
      <c r="E2444" s="3"/>
      <c r="F2444" s="2"/>
      <c r="G2444" s="2"/>
      <c r="I2444" s="1"/>
      <c r="J2444" s="1"/>
    </row>
    <row r="2445" spans="1:10" ht="12.75" x14ac:dyDescent="0.2">
      <c r="A2445" s="3"/>
      <c r="B2445" s="3"/>
      <c r="C2445" s="3"/>
      <c r="D2445" s="3"/>
      <c r="E2445" s="3"/>
      <c r="F2445" s="2"/>
      <c r="G2445" s="2"/>
      <c r="I2445" s="1"/>
      <c r="J2445" s="1"/>
    </row>
    <row r="2446" spans="1:10" ht="12.75" x14ac:dyDescent="0.2">
      <c r="A2446" s="3"/>
      <c r="B2446" s="3"/>
      <c r="C2446" s="3"/>
      <c r="D2446" s="3"/>
      <c r="E2446" s="3"/>
      <c r="F2446" s="2"/>
      <c r="G2446" s="2"/>
      <c r="I2446" s="1"/>
      <c r="J2446" s="1"/>
    </row>
    <row r="2447" spans="1:10" ht="12.75" x14ac:dyDescent="0.2">
      <c r="A2447" s="3"/>
      <c r="B2447" s="3"/>
      <c r="C2447" s="3"/>
      <c r="D2447" s="3"/>
      <c r="E2447" s="3"/>
      <c r="F2447" s="2"/>
      <c r="G2447" s="2"/>
      <c r="I2447" s="1"/>
      <c r="J2447" s="1"/>
    </row>
    <row r="2448" spans="1:10" ht="12.75" x14ac:dyDescent="0.2">
      <c r="A2448" s="3"/>
      <c r="B2448" s="3"/>
      <c r="C2448" s="3"/>
      <c r="D2448" s="3"/>
      <c r="E2448" s="3"/>
      <c r="F2448" s="2"/>
      <c r="G2448" s="2"/>
      <c r="I2448" s="1"/>
      <c r="J2448" s="1"/>
    </row>
    <row r="2449" spans="1:10" ht="12.75" x14ac:dyDescent="0.2">
      <c r="A2449" s="3"/>
      <c r="B2449" s="3"/>
      <c r="C2449" s="3"/>
      <c r="D2449" s="3"/>
      <c r="E2449" s="3"/>
      <c r="F2449" s="2"/>
      <c r="G2449" s="2"/>
      <c r="I2449" s="1"/>
      <c r="J2449" s="1"/>
    </row>
    <row r="2450" spans="1:10" ht="12.75" x14ac:dyDescent="0.2">
      <c r="A2450" s="3"/>
      <c r="B2450" s="3"/>
      <c r="C2450" s="3"/>
      <c r="D2450" s="3"/>
      <c r="E2450" s="3"/>
      <c r="F2450" s="2"/>
      <c r="G2450" s="2"/>
      <c r="I2450" s="1"/>
      <c r="J2450" s="1"/>
    </row>
    <row r="2451" spans="1:10" ht="12.75" x14ac:dyDescent="0.2">
      <c r="A2451" s="3"/>
      <c r="B2451" s="3"/>
      <c r="C2451" s="3"/>
      <c r="D2451" s="3"/>
      <c r="E2451" s="3"/>
      <c r="F2451" s="2"/>
      <c r="G2451" s="2"/>
      <c r="I2451" s="1"/>
      <c r="J2451" s="1"/>
    </row>
    <row r="2452" spans="1:10" ht="12.75" x14ac:dyDescent="0.2">
      <c r="A2452" s="3"/>
      <c r="B2452" s="3"/>
      <c r="C2452" s="3"/>
      <c r="D2452" s="3"/>
      <c r="E2452" s="3"/>
      <c r="F2452" s="2"/>
      <c r="G2452" s="2"/>
      <c r="I2452" s="1"/>
      <c r="J2452" s="1"/>
    </row>
    <row r="2453" spans="1:10" ht="12.75" x14ac:dyDescent="0.2">
      <c r="A2453" s="3"/>
      <c r="B2453" s="3"/>
      <c r="C2453" s="3"/>
      <c r="D2453" s="3"/>
      <c r="E2453" s="3"/>
      <c r="F2453" s="2"/>
      <c r="G2453" s="2"/>
      <c r="I2453" s="1"/>
      <c r="J2453" s="1"/>
    </row>
    <row r="2454" spans="1:10" ht="12.75" x14ac:dyDescent="0.2">
      <c r="A2454" s="3"/>
      <c r="B2454" s="3"/>
      <c r="C2454" s="3"/>
      <c r="D2454" s="3"/>
      <c r="E2454" s="3"/>
      <c r="F2454" s="2"/>
      <c r="G2454" s="2"/>
      <c r="I2454" s="1"/>
      <c r="J2454" s="1"/>
    </row>
    <row r="2455" spans="1:10" ht="12.75" x14ac:dyDescent="0.2">
      <c r="A2455" s="3"/>
      <c r="B2455" s="3"/>
      <c r="C2455" s="3"/>
      <c r="D2455" s="3"/>
      <c r="E2455" s="3"/>
      <c r="F2455" s="2"/>
      <c r="G2455" s="2"/>
      <c r="I2455" s="1"/>
      <c r="J2455" s="1"/>
    </row>
    <row r="2456" spans="1:10" ht="12.75" x14ac:dyDescent="0.2">
      <c r="A2456" s="3"/>
      <c r="B2456" s="3"/>
      <c r="C2456" s="3"/>
      <c r="D2456" s="3"/>
      <c r="E2456" s="3"/>
      <c r="F2456" s="2"/>
      <c r="G2456" s="2"/>
      <c r="I2456" s="1"/>
      <c r="J2456" s="1"/>
    </row>
    <row r="2457" spans="1:10" ht="12.75" x14ac:dyDescent="0.2">
      <c r="A2457" s="3"/>
      <c r="B2457" s="3"/>
      <c r="C2457" s="3"/>
      <c r="D2457" s="3"/>
      <c r="E2457" s="3"/>
      <c r="F2457" s="2"/>
      <c r="G2457" s="2"/>
      <c r="I2457" s="1"/>
      <c r="J2457" s="1"/>
    </row>
    <row r="2458" spans="1:10" ht="12.75" x14ac:dyDescent="0.2">
      <c r="A2458" s="3"/>
      <c r="B2458" s="3"/>
      <c r="C2458" s="3"/>
      <c r="D2458" s="3"/>
      <c r="E2458" s="3"/>
      <c r="F2458" s="2"/>
      <c r="G2458" s="2"/>
      <c r="I2458" s="1"/>
      <c r="J2458" s="1"/>
    </row>
    <row r="2459" spans="1:10" ht="12.75" x14ac:dyDescent="0.2">
      <c r="A2459" s="3"/>
      <c r="B2459" s="3"/>
      <c r="C2459" s="3"/>
      <c r="D2459" s="3"/>
      <c r="E2459" s="3"/>
      <c r="F2459" s="2"/>
      <c r="G2459" s="2"/>
      <c r="I2459" s="1"/>
      <c r="J2459" s="1"/>
    </row>
    <row r="2460" spans="1:10" ht="12.75" x14ac:dyDescent="0.2">
      <c r="A2460" s="3"/>
      <c r="B2460" s="3"/>
      <c r="C2460" s="3"/>
      <c r="D2460" s="3"/>
      <c r="E2460" s="3"/>
      <c r="F2460" s="2"/>
      <c r="G2460" s="2"/>
      <c r="I2460" s="1"/>
      <c r="J2460" s="1"/>
    </row>
    <row r="2461" spans="1:10" ht="12.75" x14ac:dyDescent="0.2">
      <c r="A2461" s="3"/>
      <c r="B2461" s="3"/>
      <c r="C2461" s="3"/>
      <c r="D2461" s="3"/>
      <c r="E2461" s="3"/>
      <c r="F2461" s="2"/>
      <c r="G2461" s="2"/>
      <c r="I2461" s="1"/>
      <c r="J2461" s="1"/>
    </row>
    <row r="2462" spans="1:10" ht="12.75" x14ac:dyDescent="0.2">
      <c r="A2462" s="3"/>
      <c r="B2462" s="3"/>
      <c r="C2462" s="3"/>
      <c r="D2462" s="3"/>
      <c r="E2462" s="3"/>
      <c r="F2462" s="2"/>
      <c r="G2462" s="2"/>
      <c r="I2462" s="1"/>
      <c r="J2462" s="1"/>
    </row>
    <row r="2463" spans="1:10" ht="12.75" x14ac:dyDescent="0.2">
      <c r="A2463" s="3"/>
      <c r="B2463" s="3"/>
      <c r="C2463" s="3"/>
      <c r="D2463" s="3"/>
      <c r="E2463" s="3"/>
      <c r="F2463" s="2"/>
      <c r="G2463" s="2"/>
      <c r="I2463" s="1"/>
      <c r="J2463" s="1"/>
    </row>
    <row r="2464" spans="1:10" ht="12.75" x14ac:dyDescent="0.2">
      <c r="A2464" s="3"/>
      <c r="B2464" s="3"/>
      <c r="C2464" s="3"/>
      <c r="D2464" s="3"/>
      <c r="E2464" s="3"/>
      <c r="F2464" s="2"/>
      <c r="G2464" s="2"/>
      <c r="I2464" s="1"/>
      <c r="J2464" s="1"/>
    </row>
    <row r="2465" spans="1:10" ht="12.75" x14ac:dyDescent="0.2">
      <c r="A2465" s="3"/>
      <c r="B2465" s="3"/>
      <c r="C2465" s="3"/>
      <c r="D2465" s="3"/>
      <c r="E2465" s="3"/>
      <c r="F2465" s="2"/>
      <c r="G2465" s="2"/>
      <c r="I2465" s="1"/>
      <c r="J2465" s="1"/>
    </row>
    <row r="2466" spans="1:10" ht="12.75" x14ac:dyDescent="0.2">
      <c r="A2466" s="3"/>
      <c r="B2466" s="3"/>
      <c r="C2466" s="3"/>
      <c r="D2466" s="3"/>
      <c r="E2466" s="3"/>
      <c r="F2466" s="2"/>
      <c r="G2466" s="2"/>
      <c r="I2466" s="1"/>
      <c r="J2466" s="1"/>
    </row>
    <row r="2467" spans="1:10" ht="12.75" x14ac:dyDescent="0.2">
      <c r="A2467" s="3"/>
      <c r="B2467" s="3"/>
      <c r="C2467" s="3"/>
      <c r="D2467" s="3"/>
      <c r="E2467" s="3"/>
      <c r="F2467" s="2"/>
      <c r="G2467" s="2"/>
      <c r="I2467" s="1"/>
      <c r="J2467" s="1"/>
    </row>
    <row r="2468" spans="1:10" ht="12.75" x14ac:dyDescent="0.2">
      <c r="A2468" s="3"/>
      <c r="B2468" s="3"/>
      <c r="C2468" s="3"/>
      <c r="D2468" s="3"/>
      <c r="E2468" s="3"/>
      <c r="F2468" s="2"/>
      <c r="G2468" s="2"/>
      <c r="I2468" s="1"/>
      <c r="J2468" s="1"/>
    </row>
    <row r="2469" spans="1:10" ht="12.75" x14ac:dyDescent="0.2">
      <c r="A2469" s="3"/>
      <c r="B2469" s="3"/>
      <c r="C2469" s="3"/>
      <c r="D2469" s="3"/>
      <c r="E2469" s="3"/>
      <c r="F2469" s="2"/>
      <c r="G2469" s="2"/>
      <c r="I2469" s="1"/>
      <c r="J2469" s="1"/>
    </row>
    <row r="2470" spans="1:10" ht="12.75" x14ac:dyDescent="0.2">
      <c r="A2470" s="3"/>
      <c r="B2470" s="3"/>
      <c r="C2470" s="3"/>
      <c r="D2470" s="3"/>
      <c r="E2470" s="3"/>
      <c r="F2470" s="2"/>
      <c r="G2470" s="2"/>
      <c r="I2470" s="1"/>
      <c r="J2470" s="1"/>
    </row>
    <row r="2471" spans="1:10" ht="12.75" x14ac:dyDescent="0.2">
      <c r="A2471" s="3"/>
      <c r="B2471" s="3"/>
      <c r="C2471" s="3"/>
      <c r="D2471" s="3"/>
      <c r="E2471" s="3"/>
      <c r="F2471" s="2"/>
      <c r="G2471" s="2"/>
      <c r="I2471" s="1"/>
      <c r="J2471" s="1"/>
    </row>
    <row r="2472" spans="1:10" ht="12.75" x14ac:dyDescent="0.2">
      <c r="A2472" s="3"/>
      <c r="B2472" s="3"/>
      <c r="C2472" s="3"/>
      <c r="D2472" s="3"/>
      <c r="E2472" s="3"/>
      <c r="F2472" s="2"/>
      <c r="G2472" s="2"/>
      <c r="I2472" s="1"/>
      <c r="J2472" s="1"/>
    </row>
    <row r="2473" spans="1:10" ht="12.75" x14ac:dyDescent="0.2">
      <c r="A2473" s="3"/>
      <c r="B2473" s="3"/>
      <c r="C2473" s="3"/>
      <c r="D2473" s="3"/>
      <c r="E2473" s="3"/>
      <c r="F2473" s="2"/>
      <c r="G2473" s="2"/>
      <c r="I2473" s="1"/>
      <c r="J2473" s="1"/>
    </row>
    <row r="2474" spans="1:10" ht="12.75" x14ac:dyDescent="0.2">
      <c r="A2474" s="3"/>
      <c r="B2474" s="3"/>
      <c r="C2474" s="3"/>
      <c r="D2474" s="3"/>
      <c r="E2474" s="3"/>
      <c r="F2474" s="2"/>
      <c r="G2474" s="2"/>
      <c r="I2474" s="1"/>
      <c r="J2474" s="1"/>
    </row>
    <row r="2475" spans="1:10" ht="12.75" x14ac:dyDescent="0.2">
      <c r="A2475" s="3"/>
      <c r="B2475" s="3"/>
      <c r="C2475" s="3"/>
      <c r="D2475" s="3"/>
      <c r="E2475" s="3"/>
      <c r="F2475" s="2"/>
      <c r="G2475" s="2"/>
      <c r="I2475" s="1"/>
      <c r="J2475" s="1"/>
    </row>
    <row r="2476" spans="1:10" ht="12.75" x14ac:dyDescent="0.2">
      <c r="A2476" s="3"/>
      <c r="B2476" s="3"/>
      <c r="C2476" s="3"/>
      <c r="D2476" s="3"/>
      <c r="E2476" s="3"/>
      <c r="F2476" s="2"/>
      <c r="G2476" s="2"/>
      <c r="I2476" s="1"/>
      <c r="J2476" s="1"/>
    </row>
    <row r="2477" spans="1:10" ht="12.75" x14ac:dyDescent="0.2">
      <c r="A2477" s="3"/>
      <c r="B2477" s="3"/>
      <c r="C2477" s="3"/>
      <c r="D2477" s="3"/>
      <c r="E2477" s="3"/>
      <c r="F2477" s="2"/>
      <c r="G2477" s="2"/>
      <c r="I2477" s="1"/>
      <c r="J2477" s="1"/>
    </row>
    <row r="2478" spans="1:10" ht="12.75" x14ac:dyDescent="0.2">
      <c r="A2478" s="3"/>
      <c r="B2478" s="3"/>
      <c r="C2478" s="3"/>
      <c r="D2478" s="3"/>
      <c r="E2478" s="3"/>
      <c r="F2478" s="2"/>
      <c r="G2478" s="2"/>
      <c r="I2478" s="1"/>
      <c r="J2478" s="1"/>
    </row>
    <row r="2479" spans="1:10" ht="12.75" x14ac:dyDescent="0.2">
      <c r="A2479" s="3"/>
      <c r="B2479" s="3"/>
      <c r="C2479" s="3"/>
      <c r="D2479" s="3"/>
      <c r="E2479" s="3"/>
      <c r="F2479" s="2"/>
      <c r="G2479" s="2"/>
      <c r="I2479" s="1"/>
      <c r="J2479" s="1"/>
    </row>
    <row r="2480" spans="1:10" ht="12.75" x14ac:dyDescent="0.2">
      <c r="A2480" s="3"/>
      <c r="B2480" s="3"/>
      <c r="C2480" s="3"/>
      <c r="D2480" s="3"/>
      <c r="E2480" s="3"/>
      <c r="F2480" s="2"/>
      <c r="G2480" s="2"/>
      <c r="I2480" s="1"/>
      <c r="J2480" s="1"/>
    </row>
    <row r="2481" spans="1:10" ht="12.75" x14ac:dyDescent="0.2">
      <c r="A2481" s="3"/>
      <c r="B2481" s="3"/>
      <c r="C2481" s="3"/>
      <c r="D2481" s="3"/>
      <c r="E2481" s="3"/>
      <c r="F2481" s="2"/>
      <c r="G2481" s="2"/>
      <c r="I2481" s="1"/>
      <c r="J2481" s="1"/>
    </row>
    <row r="2482" spans="1:10" ht="12.75" x14ac:dyDescent="0.2">
      <c r="A2482" s="3"/>
      <c r="B2482" s="3"/>
      <c r="C2482" s="3"/>
      <c r="D2482" s="3"/>
      <c r="E2482" s="3"/>
      <c r="F2482" s="2"/>
      <c r="G2482" s="2"/>
      <c r="I2482" s="1"/>
      <c r="J2482" s="1"/>
    </row>
    <row r="2483" spans="1:10" ht="12.75" x14ac:dyDescent="0.2">
      <c r="A2483" s="3"/>
      <c r="B2483" s="3"/>
      <c r="C2483" s="3"/>
      <c r="D2483" s="3"/>
      <c r="E2483" s="3"/>
      <c r="F2483" s="2"/>
      <c r="G2483" s="2"/>
      <c r="I2483" s="1"/>
      <c r="J2483" s="1"/>
    </row>
    <row r="2484" spans="1:10" ht="12.75" x14ac:dyDescent="0.2">
      <c r="A2484" s="3"/>
      <c r="B2484" s="3"/>
      <c r="C2484" s="3"/>
      <c r="D2484" s="3"/>
      <c r="E2484" s="3"/>
      <c r="F2484" s="2"/>
      <c r="G2484" s="2"/>
      <c r="I2484" s="1"/>
      <c r="J2484" s="1"/>
    </row>
    <row r="2485" spans="1:10" ht="12.75" x14ac:dyDescent="0.2">
      <c r="A2485" s="3"/>
      <c r="B2485" s="3"/>
      <c r="C2485" s="3"/>
      <c r="D2485" s="3"/>
      <c r="E2485" s="3"/>
      <c r="F2485" s="2"/>
      <c r="G2485" s="2"/>
      <c r="I2485" s="1"/>
      <c r="J2485" s="1"/>
    </row>
    <row r="2486" spans="1:10" ht="12.75" x14ac:dyDescent="0.2">
      <c r="A2486" s="3"/>
      <c r="B2486" s="3"/>
      <c r="C2486" s="3"/>
      <c r="D2486" s="3"/>
      <c r="E2486" s="3"/>
      <c r="F2486" s="2"/>
      <c r="G2486" s="2"/>
      <c r="I2486" s="1"/>
      <c r="J2486" s="1"/>
    </row>
    <row r="2487" spans="1:10" ht="12.75" x14ac:dyDescent="0.2">
      <c r="A2487" s="3"/>
      <c r="B2487" s="3"/>
      <c r="C2487" s="3"/>
      <c r="D2487" s="3"/>
      <c r="E2487" s="3"/>
      <c r="F2487" s="2"/>
      <c r="G2487" s="2"/>
      <c r="I2487" s="1"/>
      <c r="J2487" s="1"/>
    </row>
    <row r="2488" spans="1:10" ht="12.75" x14ac:dyDescent="0.2">
      <c r="A2488" s="3"/>
      <c r="B2488" s="3"/>
      <c r="C2488" s="3"/>
      <c r="D2488" s="3"/>
      <c r="E2488" s="3"/>
      <c r="F2488" s="2"/>
      <c r="G2488" s="2"/>
      <c r="I2488" s="1"/>
      <c r="J2488" s="1"/>
    </row>
    <row r="2489" spans="1:10" ht="12.75" x14ac:dyDescent="0.2">
      <c r="A2489" s="3"/>
      <c r="B2489" s="3"/>
      <c r="C2489" s="3"/>
      <c r="D2489" s="3"/>
      <c r="E2489" s="3"/>
      <c r="F2489" s="2"/>
      <c r="G2489" s="2"/>
      <c r="I2489" s="1"/>
      <c r="J2489" s="1"/>
    </row>
    <row r="2490" spans="1:10" ht="12.75" x14ac:dyDescent="0.2">
      <c r="A2490" s="3"/>
      <c r="B2490" s="3"/>
      <c r="C2490" s="3"/>
      <c r="D2490" s="3"/>
      <c r="E2490" s="3"/>
      <c r="F2490" s="2"/>
      <c r="G2490" s="2"/>
      <c r="I2490" s="1"/>
      <c r="J2490" s="1"/>
    </row>
    <row r="2491" spans="1:10" ht="12.75" x14ac:dyDescent="0.2">
      <c r="A2491" s="3"/>
      <c r="B2491" s="3"/>
      <c r="C2491" s="3"/>
      <c r="D2491" s="3"/>
      <c r="E2491" s="3"/>
      <c r="F2491" s="2"/>
      <c r="G2491" s="2"/>
      <c r="I2491" s="1"/>
      <c r="J2491" s="1"/>
    </row>
    <row r="2492" spans="1:10" ht="12.75" x14ac:dyDescent="0.2">
      <c r="A2492" s="3"/>
      <c r="B2492" s="3"/>
      <c r="C2492" s="3"/>
      <c r="D2492" s="3"/>
      <c r="E2492" s="3"/>
      <c r="F2492" s="2"/>
      <c r="G2492" s="2"/>
      <c r="I2492" s="1"/>
      <c r="J2492" s="1"/>
    </row>
    <row r="2493" spans="1:10" ht="12.75" x14ac:dyDescent="0.2">
      <c r="A2493" s="3"/>
      <c r="B2493" s="3"/>
      <c r="C2493" s="3"/>
      <c r="D2493" s="3"/>
      <c r="E2493" s="3"/>
      <c r="F2493" s="2"/>
      <c r="G2493" s="2"/>
      <c r="I2493" s="1"/>
      <c r="J2493" s="1"/>
    </row>
    <row r="2494" spans="1:10" ht="12.75" x14ac:dyDescent="0.2">
      <c r="A2494" s="3"/>
      <c r="B2494" s="3"/>
      <c r="C2494" s="3"/>
      <c r="D2494" s="3"/>
      <c r="E2494" s="3"/>
      <c r="F2494" s="2"/>
      <c r="G2494" s="2"/>
      <c r="I2494" s="1"/>
      <c r="J2494" s="1"/>
    </row>
    <row r="2495" spans="1:10" ht="12.75" x14ac:dyDescent="0.2">
      <c r="A2495" s="3"/>
      <c r="B2495" s="3"/>
      <c r="C2495" s="3"/>
      <c r="D2495" s="3"/>
      <c r="E2495" s="3"/>
      <c r="F2495" s="2"/>
      <c r="G2495" s="2"/>
      <c r="I2495" s="1"/>
      <c r="J2495" s="1"/>
    </row>
    <row r="2496" spans="1:10" ht="12.75" x14ac:dyDescent="0.2">
      <c r="A2496" s="3"/>
      <c r="B2496" s="3"/>
      <c r="C2496" s="3"/>
      <c r="D2496" s="3"/>
      <c r="E2496" s="3"/>
      <c r="F2496" s="2"/>
      <c r="G2496" s="2"/>
      <c r="I2496" s="1"/>
      <c r="J2496" s="1"/>
    </row>
    <row r="2497" spans="1:10" ht="12.75" x14ac:dyDescent="0.2">
      <c r="A2497" s="3"/>
      <c r="B2497" s="3"/>
      <c r="C2497" s="3"/>
      <c r="D2497" s="3"/>
      <c r="E2497" s="3"/>
      <c r="F2497" s="2"/>
      <c r="G2497" s="2"/>
      <c r="I2497" s="1"/>
      <c r="J2497" s="1"/>
    </row>
    <row r="2498" spans="1:10" ht="12.75" x14ac:dyDescent="0.2">
      <c r="A2498" s="3"/>
      <c r="B2498" s="3"/>
      <c r="C2498" s="3"/>
      <c r="D2498" s="3"/>
      <c r="E2498" s="3"/>
      <c r="F2498" s="2"/>
      <c r="G2498" s="2"/>
      <c r="I2498" s="1"/>
      <c r="J2498" s="1"/>
    </row>
    <row r="2499" spans="1:10" ht="12.75" x14ac:dyDescent="0.2">
      <c r="A2499" s="3"/>
      <c r="B2499" s="3"/>
      <c r="C2499" s="3"/>
      <c r="D2499" s="3"/>
      <c r="E2499" s="3"/>
      <c r="F2499" s="2"/>
      <c r="G2499" s="2"/>
      <c r="I2499" s="1"/>
      <c r="J2499" s="1"/>
    </row>
    <row r="2500" spans="1:10" ht="12.75" x14ac:dyDescent="0.2">
      <c r="A2500" s="3"/>
      <c r="B2500" s="3"/>
      <c r="C2500" s="3"/>
      <c r="D2500" s="3"/>
      <c r="E2500" s="3"/>
      <c r="F2500" s="2"/>
      <c r="G2500" s="2"/>
      <c r="I2500" s="1"/>
      <c r="J2500" s="1"/>
    </row>
    <row r="2501" spans="1:10" ht="12.75" x14ac:dyDescent="0.2">
      <c r="A2501" s="3"/>
      <c r="B2501" s="3"/>
      <c r="C2501" s="3"/>
      <c r="D2501" s="3"/>
      <c r="E2501" s="3"/>
      <c r="F2501" s="2"/>
      <c r="G2501" s="2"/>
      <c r="I2501" s="1"/>
      <c r="J2501" s="1"/>
    </row>
    <row r="2502" spans="1:10" ht="12.75" x14ac:dyDescent="0.2">
      <c r="A2502" s="3"/>
      <c r="B2502" s="3"/>
      <c r="C2502" s="3"/>
      <c r="D2502" s="3"/>
      <c r="E2502" s="3"/>
      <c r="F2502" s="2"/>
      <c r="G2502" s="2"/>
      <c r="I2502" s="1"/>
      <c r="J2502" s="1"/>
    </row>
    <row r="2503" spans="1:10" ht="12.75" x14ac:dyDescent="0.2">
      <c r="A2503" s="3"/>
      <c r="B2503" s="3"/>
      <c r="C2503" s="3"/>
      <c r="D2503" s="3"/>
      <c r="E2503" s="3"/>
      <c r="F2503" s="2"/>
      <c r="G2503" s="2"/>
      <c r="I2503" s="1"/>
      <c r="J2503" s="1"/>
    </row>
    <row r="2504" spans="1:10" ht="12.75" x14ac:dyDescent="0.2">
      <c r="A2504" s="3"/>
      <c r="B2504" s="3"/>
      <c r="C2504" s="3"/>
      <c r="D2504" s="3"/>
      <c r="E2504" s="3"/>
      <c r="F2504" s="2"/>
      <c r="G2504" s="2"/>
      <c r="I2504" s="1"/>
      <c r="J2504" s="1"/>
    </row>
    <row r="2505" spans="1:10" ht="12.75" x14ac:dyDescent="0.2">
      <c r="A2505" s="3"/>
      <c r="B2505" s="3"/>
      <c r="C2505" s="3"/>
      <c r="D2505" s="3"/>
      <c r="E2505" s="3"/>
      <c r="F2505" s="2"/>
      <c r="G2505" s="2"/>
      <c r="I2505" s="1"/>
      <c r="J2505" s="1"/>
    </row>
    <row r="2506" spans="1:10" ht="12.75" x14ac:dyDescent="0.2">
      <c r="A2506" s="3"/>
      <c r="B2506" s="3"/>
      <c r="C2506" s="3"/>
      <c r="D2506" s="3"/>
      <c r="E2506" s="3"/>
      <c r="F2506" s="2"/>
      <c r="G2506" s="2"/>
      <c r="I2506" s="1"/>
      <c r="J2506" s="1"/>
    </row>
    <row r="2507" spans="1:10" ht="12.75" x14ac:dyDescent="0.2">
      <c r="A2507" s="3"/>
      <c r="B2507" s="3"/>
      <c r="C2507" s="3"/>
      <c r="D2507" s="3"/>
      <c r="E2507" s="3"/>
      <c r="F2507" s="2"/>
      <c r="G2507" s="2"/>
      <c r="I2507" s="1"/>
      <c r="J2507" s="1"/>
    </row>
    <row r="2508" spans="1:10" ht="12.75" x14ac:dyDescent="0.2">
      <c r="A2508" s="3"/>
      <c r="B2508" s="3"/>
      <c r="C2508" s="3"/>
      <c r="D2508" s="3"/>
      <c r="E2508" s="3"/>
      <c r="F2508" s="2"/>
      <c r="G2508" s="2"/>
      <c r="I2508" s="1"/>
      <c r="J2508" s="1"/>
    </row>
    <row r="2509" spans="1:10" ht="12.75" x14ac:dyDescent="0.2">
      <c r="A2509" s="3"/>
      <c r="B2509" s="3"/>
      <c r="C2509" s="3"/>
      <c r="D2509" s="3"/>
      <c r="E2509" s="3"/>
      <c r="F2509" s="2"/>
      <c r="G2509" s="2"/>
      <c r="I2509" s="1"/>
      <c r="J2509" s="1"/>
    </row>
    <row r="2510" spans="1:10" ht="12.75" x14ac:dyDescent="0.2">
      <c r="A2510" s="3"/>
      <c r="B2510" s="3"/>
      <c r="C2510" s="3"/>
      <c r="D2510" s="3"/>
      <c r="E2510" s="3"/>
      <c r="F2510" s="2"/>
      <c r="G2510" s="2"/>
      <c r="I2510" s="1"/>
      <c r="J2510" s="1"/>
    </row>
    <row r="2511" spans="1:10" ht="12.75" x14ac:dyDescent="0.2">
      <c r="A2511" s="3"/>
      <c r="B2511" s="3"/>
      <c r="C2511" s="3"/>
      <c r="D2511" s="3"/>
      <c r="E2511" s="3"/>
      <c r="F2511" s="2"/>
      <c r="G2511" s="2"/>
      <c r="I2511" s="1"/>
      <c r="J2511" s="1"/>
    </row>
    <row r="2512" spans="1:10" ht="12.75" x14ac:dyDescent="0.2">
      <c r="A2512" s="3"/>
      <c r="B2512" s="3"/>
      <c r="C2512" s="3"/>
      <c r="D2512" s="3"/>
      <c r="E2512" s="3"/>
      <c r="F2512" s="2"/>
      <c r="G2512" s="2"/>
      <c r="I2512" s="1"/>
      <c r="J2512" s="1"/>
    </row>
    <row r="2513" spans="1:10" ht="12.75" x14ac:dyDescent="0.2">
      <c r="A2513" s="3"/>
      <c r="B2513" s="3"/>
      <c r="C2513" s="3"/>
      <c r="D2513" s="3"/>
      <c r="E2513" s="3"/>
      <c r="F2513" s="2"/>
      <c r="G2513" s="2"/>
      <c r="I2513" s="1"/>
      <c r="J2513" s="1"/>
    </row>
    <row r="2514" spans="1:10" ht="12.75" x14ac:dyDescent="0.2">
      <c r="A2514" s="3"/>
      <c r="B2514" s="3"/>
      <c r="C2514" s="3"/>
      <c r="D2514" s="3"/>
      <c r="E2514" s="3"/>
      <c r="F2514" s="2"/>
      <c r="G2514" s="2"/>
      <c r="I2514" s="1"/>
      <c r="J2514" s="1"/>
    </row>
    <row r="2515" spans="1:10" ht="12.75" x14ac:dyDescent="0.2">
      <c r="A2515" s="3"/>
      <c r="B2515" s="3"/>
      <c r="C2515" s="3"/>
      <c r="D2515" s="3"/>
      <c r="E2515" s="3"/>
      <c r="F2515" s="2"/>
      <c r="G2515" s="2"/>
      <c r="I2515" s="1"/>
      <c r="J2515" s="1"/>
    </row>
    <row r="2516" spans="1:10" ht="12.75" x14ac:dyDescent="0.2">
      <c r="A2516" s="3"/>
      <c r="B2516" s="3"/>
      <c r="C2516" s="3"/>
      <c r="D2516" s="3"/>
      <c r="E2516" s="3"/>
      <c r="F2516" s="2"/>
      <c r="G2516" s="2"/>
      <c r="I2516" s="1"/>
      <c r="J2516" s="1"/>
    </row>
    <row r="2517" spans="1:10" ht="12.75" x14ac:dyDescent="0.2">
      <c r="A2517" s="3"/>
      <c r="B2517" s="3"/>
      <c r="C2517" s="3"/>
      <c r="D2517" s="3"/>
      <c r="E2517" s="3"/>
      <c r="F2517" s="2"/>
      <c r="G2517" s="2"/>
      <c r="I2517" s="1"/>
      <c r="J2517" s="1"/>
    </row>
    <row r="2518" spans="1:10" ht="12.75" x14ac:dyDescent="0.2">
      <c r="A2518" s="3"/>
      <c r="B2518" s="3"/>
      <c r="C2518" s="3"/>
      <c r="D2518" s="3"/>
      <c r="E2518" s="3"/>
      <c r="F2518" s="2"/>
      <c r="G2518" s="2"/>
      <c r="I2518" s="1"/>
      <c r="J2518" s="1"/>
    </row>
    <row r="2519" spans="1:10" ht="12.75" x14ac:dyDescent="0.2">
      <c r="A2519" s="3"/>
      <c r="B2519" s="3"/>
      <c r="C2519" s="3"/>
      <c r="D2519" s="3"/>
      <c r="E2519" s="3"/>
      <c r="F2519" s="2"/>
      <c r="G2519" s="2"/>
      <c r="I2519" s="1"/>
      <c r="J2519" s="1"/>
    </row>
    <row r="2520" spans="1:10" ht="12.75" x14ac:dyDescent="0.2">
      <c r="A2520" s="3"/>
      <c r="B2520" s="3"/>
      <c r="C2520" s="3"/>
      <c r="D2520" s="3"/>
      <c r="E2520" s="3"/>
      <c r="F2520" s="2"/>
      <c r="G2520" s="2"/>
      <c r="I2520" s="1"/>
      <c r="J2520" s="1"/>
    </row>
    <row r="2521" spans="1:10" ht="12.75" x14ac:dyDescent="0.2">
      <c r="A2521" s="3"/>
      <c r="B2521" s="3"/>
      <c r="C2521" s="3"/>
      <c r="D2521" s="3"/>
      <c r="E2521" s="3"/>
      <c r="F2521" s="2"/>
      <c r="G2521" s="2"/>
      <c r="I2521" s="1"/>
      <c r="J2521" s="1"/>
    </row>
    <row r="2522" spans="1:10" ht="12.75" x14ac:dyDescent="0.2">
      <c r="A2522" s="3"/>
      <c r="B2522" s="3"/>
      <c r="C2522" s="3"/>
      <c r="D2522" s="3"/>
      <c r="E2522" s="3"/>
      <c r="F2522" s="2"/>
      <c r="G2522" s="2"/>
      <c r="I2522" s="1"/>
      <c r="J2522" s="1"/>
    </row>
    <row r="2523" spans="1:10" ht="12.75" x14ac:dyDescent="0.2">
      <c r="A2523" s="3"/>
      <c r="B2523" s="3"/>
      <c r="C2523" s="3"/>
      <c r="D2523" s="3"/>
      <c r="E2523" s="3"/>
      <c r="F2523" s="2"/>
      <c r="G2523" s="2"/>
      <c r="I2523" s="1"/>
      <c r="J2523" s="1"/>
    </row>
    <row r="2524" spans="1:10" ht="12.75" x14ac:dyDescent="0.2">
      <c r="A2524" s="3"/>
      <c r="B2524" s="3"/>
      <c r="C2524" s="3"/>
      <c r="D2524" s="3"/>
      <c r="E2524" s="3"/>
      <c r="F2524" s="2"/>
      <c r="G2524" s="2"/>
      <c r="I2524" s="1"/>
      <c r="J2524" s="1"/>
    </row>
    <row r="2525" spans="1:10" ht="12.75" x14ac:dyDescent="0.2">
      <c r="A2525" s="3"/>
      <c r="B2525" s="3"/>
      <c r="C2525" s="3"/>
      <c r="D2525" s="3"/>
      <c r="E2525" s="3"/>
      <c r="F2525" s="2"/>
      <c r="G2525" s="2"/>
      <c r="I2525" s="1"/>
      <c r="J2525" s="1"/>
    </row>
    <row r="2526" spans="1:10" ht="12.75" x14ac:dyDescent="0.2">
      <c r="A2526" s="3"/>
      <c r="B2526" s="3"/>
      <c r="C2526" s="3"/>
      <c r="D2526" s="3"/>
      <c r="E2526" s="3"/>
      <c r="F2526" s="2"/>
      <c r="G2526" s="2"/>
      <c r="I2526" s="1"/>
      <c r="J2526" s="1"/>
    </row>
    <row r="2527" spans="1:10" ht="12.75" x14ac:dyDescent="0.2">
      <c r="A2527" s="3"/>
      <c r="B2527" s="3"/>
      <c r="C2527" s="3"/>
      <c r="D2527" s="3"/>
      <c r="E2527" s="3"/>
      <c r="F2527" s="2"/>
      <c r="G2527" s="2"/>
      <c r="I2527" s="1"/>
      <c r="J2527" s="1"/>
    </row>
    <row r="2528" spans="1:10" ht="12.75" x14ac:dyDescent="0.2">
      <c r="A2528" s="3"/>
      <c r="B2528" s="3"/>
      <c r="C2528" s="3"/>
      <c r="D2528" s="3"/>
      <c r="E2528" s="3"/>
      <c r="F2528" s="2"/>
      <c r="G2528" s="2"/>
      <c r="I2528" s="1"/>
      <c r="J2528" s="1"/>
    </row>
    <row r="2529" spans="1:10" ht="12.75" x14ac:dyDescent="0.2">
      <c r="A2529" s="3"/>
      <c r="B2529" s="3"/>
      <c r="C2529" s="3"/>
      <c r="D2529" s="3"/>
      <c r="E2529" s="3"/>
      <c r="F2529" s="2"/>
      <c r="G2529" s="2"/>
      <c r="I2529" s="1"/>
      <c r="J2529" s="1"/>
    </row>
    <row r="2530" spans="1:10" ht="12.75" x14ac:dyDescent="0.2">
      <c r="A2530" s="3"/>
      <c r="B2530" s="3"/>
      <c r="C2530" s="3"/>
      <c r="D2530" s="3"/>
      <c r="E2530" s="3"/>
      <c r="F2530" s="2"/>
      <c r="G2530" s="2"/>
      <c r="I2530" s="1"/>
      <c r="J2530" s="1"/>
    </row>
    <row r="2531" spans="1:10" ht="12.75" x14ac:dyDescent="0.2">
      <c r="A2531" s="3"/>
      <c r="B2531" s="3"/>
      <c r="C2531" s="3"/>
      <c r="D2531" s="3"/>
      <c r="E2531" s="3"/>
      <c r="F2531" s="2"/>
      <c r="G2531" s="2"/>
      <c r="I2531" s="1"/>
      <c r="J2531" s="1"/>
    </row>
    <row r="2532" spans="1:10" ht="12.75" x14ac:dyDescent="0.2">
      <c r="A2532" s="3"/>
      <c r="B2532" s="3"/>
      <c r="C2532" s="3"/>
      <c r="D2532" s="3"/>
      <c r="E2532" s="3"/>
      <c r="F2532" s="2"/>
      <c r="G2532" s="2"/>
      <c r="I2532" s="1"/>
      <c r="J2532" s="1"/>
    </row>
    <row r="2533" spans="1:10" ht="12.75" x14ac:dyDescent="0.2">
      <c r="A2533" s="3"/>
      <c r="B2533" s="3"/>
      <c r="C2533" s="3"/>
      <c r="D2533" s="3"/>
      <c r="E2533" s="3"/>
      <c r="F2533" s="2"/>
      <c r="G2533" s="2"/>
      <c r="I2533" s="1"/>
      <c r="J2533" s="1"/>
    </row>
    <row r="2534" spans="1:10" ht="12.75" x14ac:dyDescent="0.2">
      <c r="A2534" s="3"/>
      <c r="B2534" s="3"/>
      <c r="C2534" s="3"/>
      <c r="D2534" s="3"/>
      <c r="E2534" s="3"/>
      <c r="F2534" s="2"/>
      <c r="G2534" s="2"/>
      <c r="I2534" s="1"/>
      <c r="J2534" s="1"/>
    </row>
    <row r="2535" spans="1:10" ht="12.75" x14ac:dyDescent="0.2">
      <c r="A2535" s="3"/>
      <c r="B2535" s="3"/>
      <c r="C2535" s="3"/>
      <c r="D2535" s="3"/>
      <c r="E2535" s="3"/>
      <c r="F2535" s="2"/>
      <c r="G2535" s="2"/>
      <c r="I2535" s="1"/>
      <c r="J2535" s="1"/>
    </row>
    <row r="2536" spans="1:10" ht="12.75" x14ac:dyDescent="0.2">
      <c r="A2536" s="3"/>
      <c r="B2536" s="3"/>
      <c r="C2536" s="3"/>
      <c r="D2536" s="3"/>
      <c r="E2536" s="3"/>
      <c r="F2536" s="2"/>
      <c r="G2536" s="2"/>
      <c r="I2536" s="1"/>
      <c r="J2536" s="1"/>
    </row>
    <row r="2537" spans="1:10" ht="12.75" x14ac:dyDescent="0.2">
      <c r="A2537" s="3"/>
      <c r="B2537" s="3"/>
      <c r="C2537" s="3"/>
      <c r="D2537" s="3"/>
      <c r="E2537" s="3"/>
      <c r="F2537" s="2"/>
      <c r="G2537" s="2"/>
      <c r="I2537" s="1"/>
      <c r="J2537" s="1"/>
    </row>
    <row r="2538" spans="1:10" ht="12.75" x14ac:dyDescent="0.2">
      <c r="A2538" s="3"/>
      <c r="B2538" s="3"/>
      <c r="C2538" s="3"/>
      <c r="D2538" s="3"/>
      <c r="E2538" s="3"/>
      <c r="F2538" s="2"/>
      <c r="G2538" s="2"/>
      <c r="I2538" s="1"/>
      <c r="J2538" s="1"/>
    </row>
    <row r="2539" spans="1:10" ht="12.75" x14ac:dyDescent="0.2">
      <c r="A2539" s="3"/>
      <c r="B2539" s="3"/>
      <c r="C2539" s="3"/>
      <c r="D2539" s="3"/>
      <c r="E2539" s="3"/>
      <c r="F2539" s="2"/>
      <c r="G2539" s="2"/>
      <c r="I2539" s="1"/>
      <c r="J2539" s="1"/>
    </row>
    <row r="2540" spans="1:10" ht="12.75" x14ac:dyDescent="0.2">
      <c r="A2540" s="3"/>
      <c r="B2540" s="3"/>
      <c r="C2540" s="3"/>
      <c r="D2540" s="3"/>
      <c r="E2540" s="3"/>
      <c r="F2540" s="2"/>
      <c r="G2540" s="2"/>
      <c r="I2540" s="1"/>
      <c r="J2540" s="1"/>
    </row>
    <row r="2541" spans="1:10" ht="12.75" x14ac:dyDescent="0.2">
      <c r="A2541" s="3"/>
      <c r="B2541" s="3"/>
      <c r="C2541" s="3"/>
      <c r="D2541" s="3"/>
      <c r="E2541" s="3"/>
      <c r="F2541" s="2"/>
      <c r="G2541" s="2"/>
      <c r="I2541" s="1"/>
      <c r="J2541" s="1"/>
    </row>
    <row r="2542" spans="1:10" ht="12.75" x14ac:dyDescent="0.2">
      <c r="A2542" s="3"/>
      <c r="B2542" s="3"/>
      <c r="C2542" s="3"/>
      <c r="D2542" s="3"/>
      <c r="E2542" s="3"/>
      <c r="F2542" s="2"/>
      <c r="G2542" s="2"/>
      <c r="I2542" s="1"/>
      <c r="J2542" s="1"/>
    </row>
    <row r="2543" spans="1:10" ht="12.75" x14ac:dyDescent="0.2">
      <c r="A2543" s="3"/>
      <c r="B2543" s="3"/>
      <c r="C2543" s="3"/>
      <c r="D2543" s="3"/>
      <c r="E2543" s="3"/>
      <c r="F2543" s="2"/>
      <c r="G2543" s="2"/>
      <c r="I2543" s="1"/>
      <c r="J2543" s="1"/>
    </row>
    <row r="2544" spans="1:10" ht="12.75" x14ac:dyDescent="0.2">
      <c r="A2544" s="3"/>
      <c r="B2544" s="3"/>
      <c r="C2544" s="3"/>
      <c r="D2544" s="3"/>
      <c r="E2544" s="3"/>
      <c r="F2544" s="2"/>
      <c r="G2544" s="2"/>
      <c r="I2544" s="1"/>
      <c r="J2544" s="1"/>
    </row>
    <row r="2545" spans="1:10" ht="12.75" x14ac:dyDescent="0.2">
      <c r="A2545" s="3"/>
      <c r="B2545" s="3"/>
      <c r="C2545" s="3"/>
      <c r="D2545" s="3"/>
      <c r="E2545" s="3"/>
      <c r="F2545" s="2"/>
      <c r="G2545" s="2"/>
      <c r="I2545" s="1"/>
      <c r="J2545" s="1"/>
    </row>
    <row r="2546" spans="1:10" ht="12.75" x14ac:dyDescent="0.2">
      <c r="A2546" s="3"/>
      <c r="B2546" s="3"/>
      <c r="C2546" s="3"/>
      <c r="D2546" s="3"/>
      <c r="E2546" s="3"/>
      <c r="F2546" s="2"/>
      <c r="G2546" s="2"/>
      <c r="I2546" s="1"/>
      <c r="J2546" s="1"/>
    </row>
    <row r="2547" spans="1:10" ht="12.75" x14ac:dyDescent="0.2">
      <c r="A2547" s="3"/>
      <c r="B2547" s="3"/>
      <c r="C2547" s="3"/>
      <c r="D2547" s="3"/>
      <c r="E2547" s="3"/>
      <c r="F2547" s="2"/>
      <c r="G2547" s="2"/>
      <c r="I2547" s="1"/>
      <c r="J2547" s="1"/>
    </row>
    <row r="2548" spans="1:10" ht="12.75" x14ac:dyDescent="0.2">
      <c r="A2548" s="3"/>
      <c r="B2548" s="3"/>
      <c r="C2548" s="3"/>
      <c r="D2548" s="3"/>
      <c r="E2548" s="3"/>
      <c r="F2548" s="2"/>
      <c r="G2548" s="2"/>
      <c r="I2548" s="1"/>
      <c r="J2548" s="1"/>
    </row>
    <row r="2549" spans="1:10" ht="12.75" x14ac:dyDescent="0.2">
      <c r="A2549" s="3"/>
      <c r="B2549" s="3"/>
      <c r="C2549" s="3"/>
      <c r="D2549" s="3"/>
      <c r="E2549" s="3"/>
      <c r="F2549" s="2"/>
      <c r="G2549" s="2"/>
      <c r="I2549" s="1"/>
      <c r="J2549" s="1"/>
    </row>
    <row r="2550" spans="1:10" ht="12.75" x14ac:dyDescent="0.2">
      <c r="A2550" s="3"/>
      <c r="B2550" s="3"/>
      <c r="C2550" s="3"/>
      <c r="D2550" s="3"/>
      <c r="E2550" s="3"/>
      <c r="F2550" s="2"/>
      <c r="G2550" s="2"/>
      <c r="I2550" s="1"/>
      <c r="J2550" s="1"/>
    </row>
    <row r="2551" spans="1:10" ht="12.75" x14ac:dyDescent="0.2">
      <c r="A2551" s="3"/>
      <c r="B2551" s="3"/>
      <c r="C2551" s="3"/>
      <c r="D2551" s="3"/>
      <c r="E2551" s="3"/>
      <c r="F2551" s="2"/>
      <c r="G2551" s="2"/>
      <c r="I2551" s="1"/>
      <c r="J2551" s="1"/>
    </row>
    <row r="2552" spans="1:10" ht="12.75" x14ac:dyDescent="0.2">
      <c r="A2552" s="3"/>
      <c r="B2552" s="3"/>
      <c r="C2552" s="3"/>
      <c r="D2552" s="3"/>
      <c r="E2552" s="3"/>
      <c r="F2552" s="2"/>
      <c r="G2552" s="2"/>
      <c r="I2552" s="1"/>
      <c r="J2552" s="1"/>
    </row>
    <row r="2553" spans="1:10" ht="12.75" x14ac:dyDescent="0.2">
      <c r="A2553" s="3"/>
      <c r="B2553" s="3"/>
      <c r="C2553" s="3"/>
      <c r="D2553" s="3"/>
      <c r="E2553" s="3"/>
      <c r="F2553" s="2"/>
      <c r="G2553" s="2"/>
      <c r="I2553" s="1"/>
      <c r="J2553" s="1"/>
    </row>
    <row r="2554" spans="1:10" ht="12.75" x14ac:dyDescent="0.2">
      <c r="A2554" s="3"/>
      <c r="B2554" s="3"/>
      <c r="C2554" s="3"/>
      <c r="D2554" s="3"/>
      <c r="E2554" s="3"/>
      <c r="F2554" s="2"/>
      <c r="G2554" s="2"/>
      <c r="I2554" s="1"/>
      <c r="J2554" s="1"/>
    </row>
    <row r="2555" spans="1:10" ht="12.75" x14ac:dyDescent="0.2">
      <c r="A2555" s="3"/>
      <c r="B2555" s="3"/>
      <c r="C2555" s="3"/>
      <c r="D2555" s="3"/>
      <c r="E2555" s="3"/>
      <c r="F2555" s="2"/>
      <c r="G2555" s="2"/>
      <c r="I2555" s="1"/>
      <c r="J2555" s="1"/>
    </row>
    <row r="2556" spans="1:10" ht="12.75" x14ac:dyDescent="0.2">
      <c r="A2556" s="3"/>
      <c r="B2556" s="3"/>
      <c r="C2556" s="3"/>
      <c r="D2556" s="3"/>
      <c r="E2556" s="3"/>
      <c r="F2556" s="2"/>
      <c r="G2556" s="2"/>
      <c r="I2556" s="1"/>
      <c r="J2556" s="1"/>
    </row>
    <row r="2557" spans="1:10" ht="12.75" x14ac:dyDescent="0.2">
      <c r="A2557" s="3"/>
      <c r="B2557" s="3"/>
      <c r="C2557" s="3"/>
      <c r="D2557" s="3"/>
      <c r="E2557" s="3"/>
      <c r="F2557" s="2"/>
      <c r="G2557" s="2"/>
      <c r="I2557" s="1"/>
      <c r="J2557" s="1"/>
    </row>
    <row r="2558" spans="1:10" ht="12.75" x14ac:dyDescent="0.2">
      <c r="A2558" s="3"/>
      <c r="B2558" s="3"/>
      <c r="C2558" s="3"/>
      <c r="D2558" s="3"/>
      <c r="E2558" s="3"/>
      <c r="F2558" s="2"/>
      <c r="G2558" s="2"/>
      <c r="I2558" s="1"/>
      <c r="J2558" s="1"/>
    </row>
    <row r="2559" spans="1:10" ht="12.75" x14ac:dyDescent="0.2">
      <c r="A2559" s="3"/>
      <c r="B2559" s="3"/>
      <c r="C2559" s="3"/>
      <c r="D2559" s="3"/>
      <c r="E2559" s="3"/>
      <c r="F2559" s="2"/>
      <c r="G2559" s="2"/>
      <c r="I2559" s="1"/>
      <c r="J2559" s="1"/>
    </row>
    <row r="2560" spans="1:10" ht="12.75" x14ac:dyDescent="0.2">
      <c r="A2560" s="3"/>
      <c r="B2560" s="3"/>
      <c r="C2560" s="3"/>
      <c r="D2560" s="3"/>
      <c r="E2560" s="3"/>
      <c r="F2560" s="2"/>
      <c r="G2560" s="2"/>
      <c r="I2560" s="1"/>
      <c r="J2560" s="1"/>
    </row>
    <row r="2561" spans="1:10" ht="12.75" x14ac:dyDescent="0.2">
      <c r="A2561" s="3"/>
      <c r="B2561" s="3"/>
      <c r="C2561" s="3"/>
      <c r="D2561" s="3"/>
      <c r="E2561" s="3"/>
      <c r="F2561" s="2"/>
      <c r="G2561" s="2"/>
      <c r="I2561" s="1"/>
      <c r="J2561" s="1"/>
    </row>
    <row r="2562" spans="1:10" ht="12.75" x14ac:dyDescent="0.2">
      <c r="A2562" s="3"/>
      <c r="B2562" s="3"/>
      <c r="C2562" s="3"/>
      <c r="D2562" s="3"/>
      <c r="E2562" s="3"/>
      <c r="F2562" s="2"/>
      <c r="G2562" s="2"/>
      <c r="I2562" s="1"/>
      <c r="J2562" s="1"/>
    </row>
    <row r="2563" spans="1:10" ht="12.75" x14ac:dyDescent="0.2">
      <c r="A2563" s="3"/>
      <c r="B2563" s="3"/>
      <c r="C2563" s="3"/>
      <c r="D2563" s="3"/>
      <c r="E2563" s="3"/>
      <c r="F2563" s="2"/>
      <c r="G2563" s="2"/>
      <c r="I2563" s="1"/>
      <c r="J2563" s="1"/>
    </row>
    <row r="2564" spans="1:10" ht="12.75" x14ac:dyDescent="0.2">
      <c r="A2564" s="3"/>
      <c r="B2564" s="3"/>
      <c r="C2564" s="3"/>
      <c r="D2564" s="3"/>
      <c r="E2564" s="3"/>
      <c r="F2564" s="2"/>
      <c r="G2564" s="2"/>
      <c r="I2564" s="1"/>
      <c r="J2564" s="1"/>
    </row>
    <row r="2565" spans="1:10" ht="12.75" x14ac:dyDescent="0.2">
      <c r="A2565" s="3"/>
      <c r="B2565" s="3"/>
      <c r="C2565" s="3"/>
      <c r="D2565" s="3"/>
      <c r="E2565" s="3"/>
      <c r="F2565" s="2"/>
      <c r="G2565" s="2"/>
      <c r="I2565" s="1"/>
      <c r="J2565" s="1"/>
    </row>
    <row r="2566" spans="1:10" ht="12.75" x14ac:dyDescent="0.2">
      <c r="A2566" s="3"/>
      <c r="B2566" s="3"/>
      <c r="C2566" s="3"/>
      <c r="D2566" s="3"/>
      <c r="E2566" s="3"/>
      <c r="F2566" s="2"/>
      <c r="G2566" s="2"/>
      <c r="I2566" s="1"/>
      <c r="J2566" s="1"/>
    </row>
    <row r="2567" spans="1:10" ht="12.75" x14ac:dyDescent="0.2">
      <c r="A2567" s="3"/>
      <c r="B2567" s="3"/>
      <c r="C2567" s="3"/>
      <c r="D2567" s="3"/>
      <c r="E2567" s="3"/>
      <c r="F2567" s="2"/>
      <c r="G2567" s="2"/>
      <c r="I2567" s="1"/>
      <c r="J2567" s="1"/>
    </row>
    <row r="2568" spans="1:10" ht="12.75" x14ac:dyDescent="0.2">
      <c r="A2568" s="3"/>
      <c r="B2568" s="3"/>
      <c r="C2568" s="3"/>
      <c r="D2568" s="3"/>
      <c r="E2568" s="3"/>
      <c r="F2568" s="2"/>
      <c r="G2568" s="2"/>
      <c r="I2568" s="1"/>
      <c r="J2568" s="1"/>
    </row>
    <row r="2569" spans="1:10" ht="12.75" x14ac:dyDescent="0.2">
      <c r="A2569" s="3"/>
      <c r="B2569" s="3"/>
      <c r="C2569" s="3"/>
      <c r="D2569" s="3"/>
      <c r="E2569" s="3"/>
      <c r="F2569" s="2"/>
      <c r="G2569" s="2"/>
      <c r="I2569" s="1"/>
      <c r="J2569" s="1"/>
    </row>
    <row r="2570" spans="1:10" ht="12.75" x14ac:dyDescent="0.2">
      <c r="A2570" s="3"/>
      <c r="B2570" s="3"/>
      <c r="C2570" s="3"/>
      <c r="D2570" s="3"/>
      <c r="E2570" s="3"/>
      <c r="F2570" s="2"/>
      <c r="G2570" s="2"/>
      <c r="I2570" s="1"/>
      <c r="J2570" s="1"/>
    </row>
    <row r="2571" spans="1:10" ht="12.75" x14ac:dyDescent="0.2">
      <c r="A2571" s="3"/>
      <c r="B2571" s="3"/>
      <c r="C2571" s="3"/>
      <c r="D2571" s="3"/>
      <c r="E2571" s="3"/>
      <c r="F2571" s="2"/>
      <c r="G2571" s="2"/>
      <c r="I2571" s="1"/>
      <c r="J2571" s="1"/>
    </row>
    <row r="2572" spans="1:10" ht="12.75" x14ac:dyDescent="0.2">
      <c r="A2572" s="3"/>
      <c r="B2572" s="3"/>
      <c r="C2572" s="3"/>
      <c r="D2572" s="3"/>
      <c r="E2572" s="3"/>
      <c r="F2572" s="2"/>
      <c r="G2572" s="2"/>
      <c r="I2572" s="1"/>
      <c r="J2572" s="1"/>
    </row>
    <row r="2573" spans="1:10" ht="12.75" x14ac:dyDescent="0.2">
      <c r="A2573" s="3"/>
      <c r="B2573" s="3"/>
      <c r="C2573" s="3"/>
      <c r="D2573" s="3"/>
      <c r="E2573" s="3"/>
      <c r="F2573" s="2"/>
      <c r="G2573" s="2"/>
      <c r="I2573" s="1"/>
      <c r="J2573" s="1"/>
    </row>
    <row r="2574" spans="1:10" ht="12.75" x14ac:dyDescent="0.2">
      <c r="A2574" s="3"/>
      <c r="B2574" s="3"/>
      <c r="C2574" s="3"/>
      <c r="D2574" s="3"/>
      <c r="E2574" s="3"/>
      <c r="F2574" s="2"/>
      <c r="G2574" s="2"/>
      <c r="I2574" s="1"/>
      <c r="J2574" s="1"/>
    </row>
    <row r="2575" spans="1:10" ht="12.75" x14ac:dyDescent="0.2">
      <c r="A2575" s="3"/>
      <c r="B2575" s="3"/>
      <c r="C2575" s="3"/>
      <c r="D2575" s="3"/>
      <c r="E2575" s="3"/>
      <c r="F2575" s="2"/>
      <c r="G2575" s="2"/>
      <c r="I2575" s="1"/>
      <c r="J2575" s="1"/>
    </row>
    <row r="2576" spans="1:10" ht="12.75" x14ac:dyDescent="0.2">
      <c r="A2576" s="3"/>
      <c r="B2576" s="3"/>
      <c r="C2576" s="3"/>
      <c r="D2576" s="3"/>
      <c r="E2576" s="3"/>
      <c r="F2576" s="2"/>
      <c r="G2576" s="2"/>
      <c r="I2576" s="1"/>
      <c r="J2576" s="1"/>
    </row>
    <row r="2577" spans="1:10" ht="12.75" x14ac:dyDescent="0.2">
      <c r="A2577" s="3"/>
      <c r="B2577" s="3"/>
      <c r="C2577" s="3"/>
      <c r="D2577" s="3"/>
      <c r="E2577" s="3"/>
      <c r="F2577" s="2"/>
      <c r="G2577" s="2"/>
      <c r="I2577" s="1"/>
      <c r="J2577" s="1"/>
    </row>
    <row r="2578" spans="1:10" ht="12.75" x14ac:dyDescent="0.2">
      <c r="A2578" s="3"/>
      <c r="B2578" s="3"/>
      <c r="C2578" s="3"/>
      <c r="D2578" s="3"/>
      <c r="E2578" s="3"/>
      <c r="F2578" s="2"/>
      <c r="G2578" s="2"/>
      <c r="I2578" s="1"/>
      <c r="J2578" s="1"/>
    </row>
    <row r="2579" spans="1:10" ht="12.75" x14ac:dyDescent="0.2">
      <c r="A2579" s="3"/>
      <c r="B2579" s="3"/>
      <c r="C2579" s="3"/>
      <c r="D2579" s="3"/>
      <c r="E2579" s="3"/>
      <c r="F2579" s="2"/>
      <c r="G2579" s="2"/>
      <c r="I2579" s="1"/>
      <c r="J2579" s="1"/>
    </row>
    <row r="2580" spans="1:10" ht="12.75" x14ac:dyDescent="0.2">
      <c r="A2580" s="3"/>
      <c r="B2580" s="3"/>
      <c r="C2580" s="3"/>
      <c r="D2580" s="3"/>
      <c r="E2580" s="3"/>
      <c r="F2580" s="2"/>
      <c r="G2580" s="2"/>
      <c r="I2580" s="1"/>
      <c r="J2580" s="1"/>
    </row>
    <row r="2581" spans="1:10" ht="12.75" x14ac:dyDescent="0.2">
      <c r="A2581" s="3"/>
      <c r="B2581" s="3"/>
      <c r="C2581" s="3"/>
      <c r="D2581" s="3"/>
      <c r="E2581" s="3"/>
      <c r="F2581" s="2"/>
      <c r="G2581" s="2"/>
      <c r="I2581" s="1"/>
      <c r="J2581" s="1"/>
    </row>
    <row r="2582" spans="1:10" ht="12.75" x14ac:dyDescent="0.2">
      <c r="A2582" s="3"/>
      <c r="B2582" s="3"/>
      <c r="C2582" s="3"/>
      <c r="D2582" s="3"/>
      <c r="E2582" s="3"/>
      <c r="F2582" s="2"/>
      <c r="G2582" s="2"/>
      <c r="I2582" s="1"/>
      <c r="J2582" s="1"/>
    </row>
    <row r="2583" spans="1:10" ht="12.75" x14ac:dyDescent="0.2">
      <c r="A2583" s="3"/>
      <c r="B2583" s="3"/>
      <c r="C2583" s="3"/>
      <c r="D2583" s="3"/>
      <c r="E2583" s="3"/>
      <c r="F2583" s="2"/>
      <c r="G2583" s="2"/>
      <c r="I2583" s="1"/>
      <c r="J2583" s="1"/>
    </row>
    <row r="2584" spans="1:10" ht="12.75" x14ac:dyDescent="0.2">
      <c r="A2584" s="3"/>
      <c r="B2584" s="3"/>
      <c r="C2584" s="3"/>
      <c r="D2584" s="3"/>
      <c r="E2584" s="3"/>
      <c r="F2584" s="2"/>
      <c r="G2584" s="2"/>
      <c r="I2584" s="1"/>
      <c r="J2584" s="1"/>
    </row>
    <row r="2585" spans="1:10" ht="12.75" x14ac:dyDescent="0.2">
      <c r="A2585" s="3"/>
      <c r="B2585" s="3"/>
      <c r="C2585" s="3"/>
      <c r="D2585" s="3"/>
      <c r="E2585" s="3"/>
      <c r="F2585" s="2"/>
      <c r="G2585" s="2"/>
      <c r="I2585" s="1"/>
      <c r="J2585" s="1"/>
    </row>
    <row r="2586" spans="1:10" ht="12.75" x14ac:dyDescent="0.2">
      <c r="A2586" s="3"/>
      <c r="B2586" s="3"/>
      <c r="C2586" s="3"/>
      <c r="D2586" s="3"/>
      <c r="E2586" s="3"/>
      <c r="F2586" s="2"/>
      <c r="G2586" s="2"/>
      <c r="I2586" s="1"/>
      <c r="J2586" s="1"/>
    </row>
    <row r="2587" spans="1:10" ht="12.75" x14ac:dyDescent="0.2">
      <c r="A2587" s="3"/>
      <c r="B2587" s="3"/>
      <c r="C2587" s="3"/>
      <c r="D2587" s="3"/>
      <c r="E2587" s="3"/>
      <c r="F2587" s="2"/>
      <c r="G2587" s="2"/>
      <c r="I2587" s="1"/>
      <c r="J2587" s="1"/>
    </row>
    <row r="2588" spans="1:10" ht="12.75" x14ac:dyDescent="0.2">
      <c r="A2588" s="3"/>
      <c r="B2588" s="3"/>
      <c r="C2588" s="3"/>
      <c r="D2588" s="3"/>
      <c r="E2588" s="3"/>
      <c r="F2588" s="2"/>
      <c r="G2588" s="2"/>
      <c r="I2588" s="1"/>
      <c r="J2588" s="1"/>
    </row>
    <row r="2589" spans="1:10" ht="12.75" x14ac:dyDescent="0.2">
      <c r="A2589" s="3"/>
      <c r="B2589" s="3"/>
      <c r="C2589" s="3"/>
      <c r="D2589" s="3"/>
      <c r="E2589" s="3"/>
      <c r="F2589" s="2"/>
      <c r="G2589" s="2"/>
      <c r="I2589" s="1"/>
      <c r="J2589" s="1"/>
    </row>
    <row r="2590" spans="1:10" ht="12.75" x14ac:dyDescent="0.2">
      <c r="A2590" s="3"/>
      <c r="B2590" s="3"/>
      <c r="C2590" s="3"/>
      <c r="D2590" s="3"/>
      <c r="E2590" s="3"/>
      <c r="F2590" s="2"/>
      <c r="G2590" s="2"/>
      <c r="I2590" s="1"/>
      <c r="J2590" s="1"/>
    </row>
    <row r="2591" spans="1:10" ht="12.75" x14ac:dyDescent="0.2">
      <c r="A2591" s="3"/>
      <c r="B2591" s="3"/>
      <c r="C2591" s="3"/>
      <c r="D2591" s="3"/>
      <c r="E2591" s="3"/>
      <c r="F2591" s="2"/>
      <c r="G2591" s="2"/>
      <c r="I2591" s="1"/>
      <c r="J2591" s="1"/>
    </row>
    <row r="2592" spans="1:10" ht="12.75" x14ac:dyDescent="0.2">
      <c r="A2592" s="3"/>
      <c r="B2592" s="3"/>
      <c r="C2592" s="3"/>
      <c r="D2592" s="3"/>
      <c r="E2592" s="3"/>
      <c r="F2592" s="2"/>
      <c r="G2592" s="2"/>
      <c r="I2592" s="1"/>
      <c r="J2592" s="1"/>
    </row>
    <row r="2593" spans="1:10" ht="12.75" x14ac:dyDescent="0.2">
      <c r="A2593" s="3"/>
      <c r="B2593" s="3"/>
      <c r="C2593" s="3"/>
      <c r="D2593" s="3"/>
      <c r="E2593" s="3"/>
      <c r="F2593" s="2"/>
      <c r="G2593" s="2"/>
      <c r="I2593" s="1"/>
      <c r="J2593" s="1"/>
    </row>
    <row r="2594" spans="1:10" ht="12.75" x14ac:dyDescent="0.2">
      <c r="A2594" s="3"/>
      <c r="B2594" s="3"/>
      <c r="C2594" s="3"/>
      <c r="D2594" s="3"/>
      <c r="E2594" s="3"/>
      <c r="F2594" s="2"/>
      <c r="G2594" s="2"/>
      <c r="I2594" s="1"/>
      <c r="J2594" s="1"/>
    </row>
    <row r="2595" spans="1:10" ht="12.75" x14ac:dyDescent="0.2">
      <c r="A2595" s="3"/>
      <c r="B2595" s="3"/>
      <c r="C2595" s="3"/>
      <c r="D2595" s="3"/>
      <c r="E2595" s="3"/>
      <c r="F2595" s="2"/>
      <c r="G2595" s="2"/>
      <c r="I2595" s="1"/>
      <c r="J2595" s="1"/>
    </row>
    <row r="2596" spans="1:10" ht="12.75" x14ac:dyDescent="0.2">
      <c r="A2596" s="3"/>
      <c r="B2596" s="3"/>
      <c r="C2596" s="3"/>
      <c r="D2596" s="3"/>
      <c r="E2596" s="3"/>
      <c r="F2596" s="2"/>
      <c r="G2596" s="2"/>
      <c r="I2596" s="1"/>
      <c r="J2596" s="1"/>
    </row>
    <row r="2597" spans="1:10" ht="12.75" x14ac:dyDescent="0.2">
      <c r="A2597" s="3"/>
      <c r="B2597" s="3"/>
      <c r="C2597" s="3"/>
      <c r="D2597" s="3"/>
      <c r="E2597" s="3"/>
      <c r="F2597" s="2"/>
      <c r="G2597" s="2"/>
      <c r="I2597" s="1"/>
      <c r="J2597" s="1"/>
    </row>
    <row r="2598" spans="1:10" ht="12.75" x14ac:dyDescent="0.2">
      <c r="A2598" s="3"/>
      <c r="B2598" s="3"/>
      <c r="C2598" s="3"/>
      <c r="D2598" s="3"/>
      <c r="E2598" s="3"/>
      <c r="F2598" s="2"/>
      <c r="G2598" s="2"/>
      <c r="I2598" s="1"/>
      <c r="J2598" s="1"/>
    </row>
    <row r="2599" spans="1:10" ht="12.75" x14ac:dyDescent="0.2">
      <c r="A2599" s="3"/>
      <c r="B2599" s="3"/>
      <c r="C2599" s="3"/>
      <c r="D2599" s="3"/>
      <c r="E2599" s="3"/>
      <c r="F2599" s="2"/>
      <c r="G2599" s="2"/>
      <c r="I2599" s="1"/>
      <c r="J2599" s="1"/>
    </row>
    <row r="2600" spans="1:10" ht="12.75" x14ac:dyDescent="0.2">
      <c r="A2600" s="3"/>
      <c r="B2600" s="3"/>
      <c r="C2600" s="3"/>
      <c r="D2600" s="3"/>
      <c r="E2600" s="3"/>
      <c r="F2600" s="2"/>
      <c r="G2600" s="2"/>
      <c r="I2600" s="1"/>
      <c r="J2600" s="1"/>
    </row>
    <row r="2601" spans="1:10" ht="12.75" x14ac:dyDescent="0.2">
      <c r="A2601" s="3"/>
      <c r="B2601" s="3"/>
      <c r="C2601" s="3"/>
      <c r="D2601" s="3"/>
      <c r="E2601" s="3"/>
      <c r="F2601" s="2"/>
      <c r="G2601" s="2"/>
      <c r="I2601" s="1"/>
      <c r="J2601" s="1"/>
    </row>
    <row r="2602" spans="1:10" ht="12.75" x14ac:dyDescent="0.2">
      <c r="A2602" s="3"/>
      <c r="B2602" s="3"/>
      <c r="C2602" s="3"/>
      <c r="D2602" s="3"/>
      <c r="E2602" s="3"/>
      <c r="F2602" s="2"/>
      <c r="G2602" s="2"/>
      <c r="I2602" s="1"/>
      <c r="J2602" s="1"/>
    </row>
    <row r="2603" spans="1:10" ht="12.75" x14ac:dyDescent="0.2">
      <c r="A2603" s="3"/>
      <c r="B2603" s="3"/>
      <c r="C2603" s="3"/>
      <c r="D2603" s="3"/>
      <c r="E2603" s="3"/>
      <c r="F2603" s="2"/>
      <c r="G2603" s="2"/>
      <c r="I2603" s="1"/>
      <c r="J2603" s="1"/>
    </row>
    <row r="2604" spans="1:10" ht="12.75" x14ac:dyDescent="0.2">
      <c r="A2604" s="3"/>
      <c r="B2604" s="3"/>
      <c r="C2604" s="3"/>
      <c r="D2604" s="3"/>
      <c r="E2604" s="3"/>
      <c r="F2604" s="2"/>
      <c r="G2604" s="2"/>
      <c r="I2604" s="1"/>
      <c r="J2604" s="1"/>
    </row>
    <row r="2605" spans="1:10" ht="12.75" x14ac:dyDescent="0.2">
      <c r="A2605" s="3"/>
      <c r="B2605" s="3"/>
      <c r="C2605" s="3"/>
      <c r="D2605" s="3"/>
      <c r="E2605" s="3"/>
      <c r="F2605" s="2"/>
      <c r="G2605" s="2"/>
      <c r="I2605" s="1"/>
      <c r="J2605" s="1"/>
    </row>
    <row r="2606" spans="1:10" ht="12.75" x14ac:dyDescent="0.2">
      <c r="A2606" s="3"/>
      <c r="B2606" s="3"/>
      <c r="C2606" s="3"/>
      <c r="D2606" s="3"/>
      <c r="E2606" s="3"/>
      <c r="F2606" s="2"/>
      <c r="G2606" s="2"/>
      <c r="I2606" s="1"/>
      <c r="J2606" s="1"/>
    </row>
    <row r="2607" spans="1:10" ht="12.75" x14ac:dyDescent="0.2">
      <c r="A2607" s="3"/>
      <c r="B2607" s="3"/>
      <c r="C2607" s="3"/>
      <c r="D2607" s="3"/>
      <c r="E2607" s="3"/>
      <c r="F2607" s="2"/>
      <c r="G2607" s="2"/>
      <c r="I2607" s="1"/>
      <c r="J2607" s="1"/>
    </row>
    <row r="2608" spans="1:10" ht="12.75" x14ac:dyDescent="0.2">
      <c r="A2608" s="3"/>
      <c r="B2608" s="3"/>
      <c r="C2608" s="3"/>
      <c r="D2608" s="3"/>
      <c r="E2608" s="3"/>
      <c r="F2608" s="2"/>
      <c r="G2608" s="2"/>
      <c r="I2608" s="1"/>
      <c r="J2608" s="1"/>
    </row>
    <row r="2609" spans="1:10" ht="12.75" x14ac:dyDescent="0.2">
      <c r="A2609" s="3"/>
      <c r="B2609" s="3"/>
      <c r="C2609" s="3"/>
      <c r="D2609" s="3"/>
      <c r="E2609" s="3"/>
      <c r="F2609" s="2"/>
      <c r="G2609" s="2"/>
      <c r="I2609" s="1"/>
      <c r="J2609" s="1"/>
    </row>
    <row r="2610" spans="1:10" ht="12.75" x14ac:dyDescent="0.2">
      <c r="A2610" s="3"/>
      <c r="B2610" s="3"/>
      <c r="C2610" s="3"/>
      <c r="D2610" s="3"/>
      <c r="E2610" s="3"/>
      <c r="F2610" s="2"/>
      <c r="G2610" s="2"/>
      <c r="I2610" s="1"/>
      <c r="J2610" s="1"/>
    </row>
    <row r="2611" spans="1:10" ht="12.75" x14ac:dyDescent="0.2">
      <c r="A2611" s="3"/>
      <c r="B2611" s="3"/>
      <c r="C2611" s="3"/>
      <c r="D2611" s="3"/>
      <c r="E2611" s="3"/>
      <c r="F2611" s="2"/>
      <c r="G2611" s="2"/>
      <c r="I2611" s="1"/>
      <c r="J2611" s="1"/>
    </row>
    <row r="2612" spans="1:10" ht="12.75" x14ac:dyDescent="0.2">
      <c r="A2612" s="3"/>
      <c r="B2612" s="3"/>
      <c r="C2612" s="3"/>
      <c r="D2612" s="3"/>
      <c r="E2612" s="3"/>
      <c r="F2612" s="2"/>
      <c r="G2612" s="2"/>
      <c r="I2612" s="1"/>
      <c r="J2612" s="1"/>
    </row>
    <row r="2613" spans="1:10" ht="12.75" x14ac:dyDescent="0.2">
      <c r="A2613" s="3"/>
      <c r="B2613" s="3"/>
      <c r="C2613" s="3"/>
      <c r="D2613" s="3"/>
      <c r="E2613" s="3"/>
      <c r="F2613" s="2"/>
      <c r="G2613" s="2"/>
      <c r="I2613" s="1"/>
      <c r="J2613" s="1"/>
    </row>
    <row r="2614" spans="1:10" ht="12.75" x14ac:dyDescent="0.2">
      <c r="A2614" s="3"/>
      <c r="B2614" s="3"/>
      <c r="C2614" s="3"/>
      <c r="D2614" s="3"/>
      <c r="E2614" s="3"/>
      <c r="F2614" s="2"/>
      <c r="G2614" s="2"/>
      <c r="I2614" s="1"/>
      <c r="J2614" s="1"/>
    </row>
    <row r="2615" spans="1:10" ht="12.75" x14ac:dyDescent="0.2">
      <c r="A2615" s="3"/>
      <c r="B2615" s="3"/>
      <c r="C2615" s="3"/>
      <c r="D2615" s="3"/>
      <c r="E2615" s="3"/>
      <c r="F2615" s="2"/>
      <c r="G2615" s="2"/>
      <c r="I2615" s="1"/>
      <c r="J2615" s="1"/>
    </row>
    <row r="2616" spans="1:10" ht="12.75" x14ac:dyDescent="0.2">
      <c r="A2616" s="3"/>
      <c r="B2616" s="3"/>
      <c r="C2616" s="3"/>
      <c r="D2616" s="3"/>
      <c r="E2616" s="3"/>
      <c r="F2616" s="2"/>
      <c r="G2616" s="2"/>
      <c r="I2616" s="1"/>
      <c r="J2616" s="1"/>
    </row>
    <row r="2617" spans="1:10" ht="12.75" x14ac:dyDescent="0.2">
      <c r="A2617" s="3"/>
      <c r="B2617" s="3"/>
      <c r="C2617" s="3"/>
      <c r="D2617" s="3"/>
      <c r="E2617" s="3"/>
      <c r="F2617" s="2"/>
      <c r="G2617" s="2"/>
      <c r="I2617" s="1"/>
      <c r="J2617" s="1"/>
    </row>
    <row r="2618" spans="1:10" ht="12.75" x14ac:dyDescent="0.2">
      <c r="A2618" s="3"/>
      <c r="B2618" s="3"/>
      <c r="C2618" s="3"/>
      <c r="D2618" s="3"/>
      <c r="E2618" s="3"/>
      <c r="F2618" s="2"/>
      <c r="G2618" s="2"/>
      <c r="I2618" s="1"/>
      <c r="J2618" s="1"/>
    </row>
    <row r="2619" spans="1:10" ht="12.75" x14ac:dyDescent="0.2">
      <c r="A2619" s="3"/>
      <c r="B2619" s="3"/>
      <c r="C2619" s="3"/>
      <c r="D2619" s="3"/>
      <c r="E2619" s="3"/>
      <c r="F2619" s="2"/>
      <c r="G2619" s="2"/>
      <c r="I2619" s="1"/>
      <c r="J2619" s="1"/>
    </row>
    <row r="2620" spans="1:10" ht="12.75" x14ac:dyDescent="0.2">
      <c r="A2620" s="3"/>
      <c r="B2620" s="3"/>
      <c r="C2620" s="3"/>
      <c r="D2620" s="3"/>
      <c r="E2620" s="3"/>
      <c r="F2620" s="2"/>
      <c r="G2620" s="2"/>
      <c r="I2620" s="1"/>
      <c r="J2620" s="1"/>
    </row>
    <row r="2621" spans="1:10" ht="12.75" x14ac:dyDescent="0.2">
      <c r="A2621" s="3"/>
      <c r="B2621" s="3"/>
      <c r="C2621" s="3"/>
      <c r="D2621" s="3"/>
      <c r="E2621" s="3"/>
      <c r="F2621" s="2"/>
      <c r="G2621" s="2"/>
      <c r="I2621" s="1"/>
      <c r="J2621" s="1"/>
    </row>
    <row r="2622" spans="1:10" ht="12.75" x14ac:dyDescent="0.2">
      <c r="A2622" s="3"/>
      <c r="B2622" s="3"/>
      <c r="C2622" s="3"/>
      <c r="D2622" s="3"/>
      <c r="E2622" s="3"/>
      <c r="F2622" s="2"/>
      <c r="G2622" s="2"/>
      <c r="I2622" s="1"/>
      <c r="J2622" s="1"/>
    </row>
    <row r="2623" spans="1:10" ht="12.75" x14ac:dyDescent="0.2">
      <c r="A2623" s="3"/>
      <c r="B2623" s="3"/>
      <c r="C2623" s="3"/>
      <c r="D2623" s="3"/>
      <c r="E2623" s="3"/>
      <c r="F2623" s="2"/>
      <c r="G2623" s="2"/>
      <c r="I2623" s="1"/>
      <c r="J2623" s="1"/>
    </row>
    <row r="2624" spans="1:10" ht="12.75" x14ac:dyDescent="0.2">
      <c r="A2624" s="3"/>
      <c r="B2624" s="3"/>
      <c r="C2624" s="3"/>
      <c r="D2624" s="3"/>
      <c r="E2624" s="3"/>
      <c r="F2624" s="2"/>
      <c r="G2624" s="2"/>
      <c r="I2624" s="1"/>
      <c r="J2624" s="1"/>
    </row>
    <row r="2625" spans="1:10" ht="12.75" x14ac:dyDescent="0.2">
      <c r="A2625" s="3"/>
      <c r="B2625" s="3"/>
      <c r="C2625" s="3"/>
      <c r="D2625" s="3"/>
      <c r="E2625" s="3"/>
      <c r="F2625" s="2"/>
      <c r="G2625" s="2"/>
      <c r="I2625" s="1"/>
      <c r="J2625" s="1"/>
    </row>
    <row r="2626" spans="1:10" ht="12.75" x14ac:dyDescent="0.2">
      <c r="A2626" s="3"/>
      <c r="B2626" s="3"/>
      <c r="C2626" s="3"/>
      <c r="D2626" s="3"/>
      <c r="E2626" s="3"/>
      <c r="F2626" s="2"/>
      <c r="G2626" s="2"/>
      <c r="I2626" s="1"/>
      <c r="J2626" s="1"/>
    </row>
    <row r="2627" spans="1:10" ht="12.75" x14ac:dyDescent="0.2">
      <c r="A2627" s="3"/>
      <c r="B2627" s="3"/>
      <c r="C2627" s="3"/>
      <c r="D2627" s="3"/>
      <c r="E2627" s="3"/>
      <c r="F2627" s="2"/>
      <c r="G2627" s="2"/>
      <c r="I2627" s="1"/>
      <c r="J2627" s="1"/>
    </row>
    <row r="2628" spans="1:10" ht="12.75" x14ac:dyDescent="0.2">
      <c r="A2628" s="3"/>
      <c r="B2628" s="3"/>
      <c r="C2628" s="3"/>
      <c r="D2628" s="3"/>
      <c r="E2628" s="3"/>
      <c r="F2628" s="2"/>
      <c r="G2628" s="2"/>
      <c r="I2628" s="1"/>
      <c r="J2628" s="1"/>
    </row>
    <row r="2629" spans="1:10" ht="12.75" x14ac:dyDescent="0.2">
      <c r="A2629" s="3"/>
      <c r="B2629" s="3"/>
      <c r="C2629" s="3"/>
      <c r="D2629" s="3"/>
      <c r="E2629" s="3"/>
      <c r="F2629" s="2"/>
      <c r="G2629" s="2"/>
      <c r="I2629" s="1"/>
      <c r="J2629" s="1"/>
    </row>
    <row r="2630" spans="1:10" ht="12.75" x14ac:dyDescent="0.2">
      <c r="A2630" s="3"/>
      <c r="B2630" s="3"/>
      <c r="C2630" s="3"/>
      <c r="D2630" s="3"/>
      <c r="E2630" s="3"/>
      <c r="F2630" s="2"/>
      <c r="G2630" s="2"/>
      <c r="I2630" s="1"/>
      <c r="J2630" s="1"/>
    </row>
    <row r="2631" spans="1:10" ht="12.75" x14ac:dyDescent="0.2">
      <c r="A2631" s="3"/>
      <c r="B2631" s="3"/>
      <c r="C2631" s="3"/>
      <c r="D2631" s="3"/>
      <c r="E2631" s="3"/>
      <c r="F2631" s="2"/>
      <c r="G2631" s="2"/>
      <c r="I2631" s="1"/>
      <c r="J2631" s="1"/>
    </row>
    <row r="2632" spans="1:10" ht="12.75" x14ac:dyDescent="0.2">
      <c r="A2632" s="3"/>
      <c r="B2632" s="3"/>
      <c r="C2632" s="3"/>
      <c r="D2632" s="3"/>
      <c r="E2632" s="3"/>
      <c r="F2632" s="2"/>
      <c r="G2632" s="2"/>
      <c r="I2632" s="1"/>
      <c r="J2632" s="1"/>
    </row>
    <row r="2633" spans="1:10" ht="12.75" x14ac:dyDescent="0.2">
      <c r="A2633" s="3"/>
      <c r="B2633" s="3"/>
      <c r="C2633" s="3"/>
      <c r="D2633" s="3"/>
      <c r="E2633" s="3"/>
      <c r="F2633" s="2"/>
      <c r="G2633" s="2"/>
      <c r="I2633" s="1"/>
      <c r="J2633" s="1"/>
    </row>
    <row r="2634" spans="1:10" ht="12.75" x14ac:dyDescent="0.2">
      <c r="A2634" s="3"/>
      <c r="B2634" s="3"/>
      <c r="C2634" s="3"/>
      <c r="D2634" s="3"/>
      <c r="E2634" s="3"/>
      <c r="F2634" s="2"/>
      <c r="G2634" s="2"/>
      <c r="I2634" s="1"/>
      <c r="J2634" s="1"/>
    </row>
    <row r="2635" spans="1:10" ht="12.75" x14ac:dyDescent="0.2">
      <c r="A2635" s="3"/>
      <c r="B2635" s="3"/>
      <c r="C2635" s="3"/>
      <c r="D2635" s="3"/>
      <c r="E2635" s="3"/>
      <c r="F2635" s="2"/>
      <c r="G2635" s="2"/>
      <c r="I2635" s="1"/>
      <c r="J2635" s="1"/>
    </row>
    <row r="2636" spans="1:10" ht="12.75" x14ac:dyDescent="0.2">
      <c r="A2636" s="3"/>
      <c r="B2636" s="3"/>
      <c r="C2636" s="3"/>
      <c r="D2636" s="3"/>
      <c r="E2636" s="3"/>
      <c r="F2636" s="2"/>
      <c r="G2636" s="2"/>
      <c r="I2636" s="1"/>
      <c r="J2636" s="1"/>
    </row>
    <row r="2637" spans="1:10" ht="12.75" x14ac:dyDescent="0.2">
      <c r="A2637" s="3"/>
      <c r="B2637" s="3"/>
      <c r="C2637" s="3"/>
      <c r="D2637" s="3"/>
      <c r="E2637" s="3"/>
      <c r="F2637" s="2"/>
      <c r="G2637" s="2"/>
      <c r="I2637" s="1"/>
      <c r="J2637" s="1"/>
    </row>
    <row r="2638" spans="1:10" ht="12.75" x14ac:dyDescent="0.2">
      <c r="A2638" s="3"/>
      <c r="B2638" s="3"/>
      <c r="C2638" s="3"/>
      <c r="D2638" s="3"/>
      <c r="E2638" s="3"/>
      <c r="F2638" s="2"/>
      <c r="G2638" s="2"/>
      <c r="I2638" s="1"/>
      <c r="J2638" s="1"/>
    </row>
    <row r="2639" spans="1:10" ht="12.75" x14ac:dyDescent="0.2">
      <c r="A2639" s="3"/>
      <c r="B2639" s="3"/>
      <c r="C2639" s="3"/>
      <c r="D2639" s="3"/>
      <c r="E2639" s="3"/>
      <c r="F2639" s="2"/>
      <c r="G2639" s="2"/>
      <c r="I2639" s="1"/>
      <c r="J2639" s="1"/>
    </row>
    <row r="2640" spans="1:10" ht="12.75" x14ac:dyDescent="0.2">
      <c r="A2640" s="3"/>
      <c r="B2640" s="3"/>
      <c r="C2640" s="3"/>
      <c r="D2640" s="3"/>
      <c r="E2640" s="3"/>
      <c r="F2640" s="2"/>
      <c r="G2640" s="2"/>
      <c r="I2640" s="1"/>
      <c r="J2640" s="1"/>
    </row>
    <row r="2641" spans="1:10" ht="12.75" x14ac:dyDescent="0.2">
      <c r="A2641" s="3"/>
      <c r="B2641" s="3"/>
      <c r="C2641" s="3"/>
      <c r="D2641" s="3"/>
      <c r="E2641" s="3"/>
      <c r="F2641" s="2"/>
      <c r="G2641" s="2"/>
      <c r="I2641" s="1"/>
      <c r="J2641" s="1"/>
    </row>
    <row r="2642" spans="1:10" ht="12.75" x14ac:dyDescent="0.2">
      <c r="A2642" s="3"/>
      <c r="B2642" s="3"/>
      <c r="C2642" s="3"/>
      <c r="D2642" s="3"/>
      <c r="E2642" s="3"/>
      <c r="F2642" s="2"/>
      <c r="G2642" s="2"/>
      <c r="I2642" s="1"/>
      <c r="J2642" s="1"/>
    </row>
    <row r="2643" spans="1:10" ht="12.75" x14ac:dyDescent="0.2">
      <c r="A2643" s="3"/>
      <c r="B2643" s="3"/>
      <c r="C2643" s="3"/>
      <c r="D2643" s="3"/>
      <c r="E2643" s="3"/>
      <c r="F2643" s="2"/>
      <c r="G2643" s="2"/>
      <c r="I2643" s="1"/>
      <c r="J2643" s="1"/>
    </row>
    <row r="2644" spans="1:10" ht="12.75" x14ac:dyDescent="0.2">
      <c r="A2644" s="3"/>
      <c r="B2644" s="3"/>
      <c r="C2644" s="3"/>
      <c r="D2644" s="3"/>
      <c r="E2644" s="3"/>
      <c r="F2644" s="2"/>
      <c r="G2644" s="2"/>
      <c r="I2644" s="1"/>
      <c r="J2644" s="1"/>
    </row>
    <row r="2645" spans="1:10" ht="12.75" x14ac:dyDescent="0.2">
      <c r="A2645" s="3"/>
      <c r="B2645" s="3"/>
      <c r="C2645" s="3"/>
      <c r="D2645" s="3"/>
      <c r="E2645" s="3"/>
      <c r="F2645" s="2"/>
      <c r="G2645" s="2"/>
      <c r="I2645" s="1"/>
      <c r="J2645" s="1"/>
    </row>
    <row r="2646" spans="1:10" ht="12.75" x14ac:dyDescent="0.2">
      <c r="A2646" s="3"/>
      <c r="B2646" s="3"/>
      <c r="C2646" s="3"/>
      <c r="D2646" s="3"/>
      <c r="E2646" s="3"/>
      <c r="F2646" s="2"/>
      <c r="G2646" s="2"/>
      <c r="I2646" s="1"/>
      <c r="J2646" s="1"/>
    </row>
    <row r="2647" spans="1:10" ht="12.75" x14ac:dyDescent="0.2">
      <c r="A2647" s="3"/>
      <c r="B2647" s="3"/>
      <c r="C2647" s="3"/>
      <c r="D2647" s="3"/>
      <c r="E2647" s="3"/>
      <c r="F2647" s="2"/>
      <c r="G2647" s="2"/>
      <c r="I2647" s="1"/>
      <c r="J2647" s="1"/>
    </row>
    <row r="2648" spans="1:10" ht="12.75" x14ac:dyDescent="0.2">
      <c r="A2648" s="3"/>
      <c r="B2648" s="3"/>
      <c r="C2648" s="3"/>
      <c r="D2648" s="3"/>
      <c r="E2648" s="3"/>
      <c r="F2648" s="2"/>
      <c r="G2648" s="2"/>
      <c r="I2648" s="1"/>
      <c r="J2648" s="1"/>
    </row>
    <row r="2649" spans="1:10" ht="12.75" x14ac:dyDescent="0.2">
      <c r="A2649" s="3"/>
      <c r="B2649" s="3"/>
      <c r="C2649" s="3"/>
      <c r="D2649" s="3"/>
      <c r="E2649" s="3"/>
      <c r="F2649" s="2"/>
      <c r="G2649" s="2"/>
      <c r="I2649" s="1"/>
      <c r="J2649" s="1"/>
    </row>
    <row r="2650" spans="1:10" ht="12.75" x14ac:dyDescent="0.2">
      <c r="A2650" s="3"/>
      <c r="B2650" s="3"/>
      <c r="C2650" s="3"/>
      <c r="D2650" s="3"/>
      <c r="E2650" s="3"/>
      <c r="F2650" s="2"/>
      <c r="G2650" s="2"/>
      <c r="I2650" s="1"/>
      <c r="J2650" s="1"/>
    </row>
    <row r="2651" spans="1:10" ht="12.75" x14ac:dyDescent="0.2">
      <c r="A2651" s="3"/>
      <c r="B2651" s="3"/>
      <c r="C2651" s="3"/>
      <c r="D2651" s="3"/>
      <c r="E2651" s="3"/>
      <c r="F2651" s="2"/>
      <c r="G2651" s="2"/>
      <c r="I2651" s="1"/>
      <c r="J2651" s="1"/>
    </row>
    <row r="2652" spans="1:10" ht="12.75" x14ac:dyDescent="0.2">
      <c r="A2652" s="3"/>
      <c r="B2652" s="3"/>
      <c r="C2652" s="3"/>
      <c r="D2652" s="3"/>
      <c r="E2652" s="3"/>
      <c r="F2652" s="2"/>
      <c r="G2652" s="2"/>
      <c r="I2652" s="1"/>
      <c r="J2652" s="1"/>
    </row>
    <row r="2653" spans="1:10" ht="12.75" x14ac:dyDescent="0.2">
      <c r="A2653" s="3"/>
      <c r="B2653" s="3"/>
      <c r="C2653" s="3"/>
      <c r="D2653" s="3"/>
      <c r="E2653" s="3"/>
      <c r="F2653" s="2"/>
      <c r="G2653" s="2"/>
      <c r="I2653" s="1"/>
      <c r="J2653" s="1"/>
    </row>
    <row r="2654" spans="1:10" ht="12.75" x14ac:dyDescent="0.2">
      <c r="A2654" s="3"/>
      <c r="B2654" s="3"/>
      <c r="C2654" s="3"/>
      <c r="D2654" s="3"/>
      <c r="E2654" s="3"/>
      <c r="F2654" s="2"/>
      <c r="G2654" s="2"/>
      <c r="I2654" s="1"/>
      <c r="J2654" s="1"/>
    </row>
    <row r="2655" spans="1:10" ht="12.75" x14ac:dyDescent="0.2">
      <c r="A2655" s="3"/>
      <c r="B2655" s="3"/>
      <c r="C2655" s="3"/>
      <c r="D2655" s="3"/>
      <c r="E2655" s="3"/>
      <c r="F2655" s="2"/>
      <c r="G2655" s="2"/>
      <c r="I2655" s="1"/>
      <c r="J2655" s="1"/>
    </row>
    <row r="2656" spans="1:10" ht="12.75" x14ac:dyDescent="0.2">
      <c r="A2656" s="3"/>
      <c r="B2656" s="3"/>
      <c r="C2656" s="3"/>
      <c r="D2656" s="3"/>
      <c r="E2656" s="3"/>
      <c r="F2656" s="2"/>
      <c r="G2656" s="2"/>
      <c r="I2656" s="1"/>
      <c r="J2656" s="1"/>
    </row>
    <row r="2657" spans="1:10" ht="12.75" x14ac:dyDescent="0.2">
      <c r="A2657" s="3"/>
      <c r="B2657" s="3"/>
      <c r="C2657" s="3"/>
      <c r="D2657" s="3"/>
      <c r="E2657" s="3"/>
      <c r="F2657" s="2"/>
      <c r="G2657" s="2"/>
      <c r="I2657" s="1"/>
      <c r="J2657" s="1"/>
    </row>
    <row r="2658" spans="1:10" ht="12.75" x14ac:dyDescent="0.2">
      <c r="A2658" s="3"/>
      <c r="B2658" s="3"/>
      <c r="C2658" s="3"/>
      <c r="D2658" s="3"/>
      <c r="E2658" s="3"/>
      <c r="F2658" s="2"/>
      <c r="G2658" s="2"/>
      <c r="I2658" s="1"/>
      <c r="J2658" s="1"/>
    </row>
    <row r="2659" spans="1:10" ht="12.75" x14ac:dyDescent="0.2">
      <c r="A2659" s="3"/>
      <c r="B2659" s="3"/>
      <c r="C2659" s="3"/>
      <c r="D2659" s="3"/>
      <c r="E2659" s="3"/>
      <c r="F2659" s="2"/>
      <c r="G2659" s="2"/>
      <c r="I2659" s="1"/>
      <c r="J2659" s="1"/>
    </row>
    <row r="2660" spans="1:10" ht="12.75" x14ac:dyDescent="0.2">
      <c r="A2660" s="3"/>
      <c r="B2660" s="3"/>
      <c r="C2660" s="3"/>
      <c r="D2660" s="3"/>
      <c r="E2660" s="3"/>
      <c r="F2660" s="2"/>
      <c r="G2660" s="2"/>
      <c r="I2660" s="1"/>
      <c r="J2660" s="1"/>
    </row>
    <row r="2661" spans="1:10" ht="12.75" x14ac:dyDescent="0.2">
      <c r="A2661" s="3"/>
      <c r="B2661" s="3"/>
      <c r="C2661" s="3"/>
      <c r="D2661" s="3"/>
      <c r="E2661" s="3"/>
      <c r="F2661" s="2"/>
      <c r="G2661" s="2"/>
      <c r="I2661" s="1"/>
      <c r="J2661" s="1"/>
    </row>
    <row r="2662" spans="1:10" ht="12.75" x14ac:dyDescent="0.2">
      <c r="A2662" s="3"/>
      <c r="B2662" s="3"/>
      <c r="C2662" s="3"/>
      <c r="D2662" s="3"/>
      <c r="E2662" s="3"/>
      <c r="F2662" s="2"/>
      <c r="G2662" s="2"/>
      <c r="I2662" s="1"/>
      <c r="J2662" s="1"/>
    </row>
    <row r="2663" spans="1:10" ht="12.75" x14ac:dyDescent="0.2">
      <c r="A2663" s="3"/>
      <c r="B2663" s="3"/>
      <c r="C2663" s="3"/>
      <c r="D2663" s="3"/>
      <c r="E2663" s="3"/>
      <c r="F2663" s="2"/>
      <c r="G2663" s="2"/>
      <c r="I2663" s="1"/>
      <c r="J2663" s="1"/>
    </row>
    <row r="2664" spans="1:10" ht="12.75" x14ac:dyDescent="0.2">
      <c r="A2664" s="3"/>
      <c r="B2664" s="3"/>
      <c r="C2664" s="3"/>
      <c r="D2664" s="3"/>
      <c r="E2664" s="3"/>
      <c r="F2664" s="2"/>
      <c r="G2664" s="2"/>
      <c r="I2664" s="1"/>
      <c r="J2664" s="1"/>
    </row>
    <row r="2665" spans="1:10" ht="12.75" x14ac:dyDescent="0.2">
      <c r="A2665" s="3"/>
      <c r="B2665" s="3"/>
      <c r="C2665" s="3"/>
      <c r="D2665" s="3"/>
      <c r="E2665" s="3"/>
      <c r="F2665" s="2"/>
      <c r="G2665" s="2"/>
      <c r="I2665" s="1"/>
      <c r="J2665" s="1"/>
    </row>
    <row r="2666" spans="1:10" ht="12.75" x14ac:dyDescent="0.2">
      <c r="A2666" s="3"/>
      <c r="B2666" s="3"/>
      <c r="C2666" s="3"/>
      <c r="D2666" s="3"/>
      <c r="E2666" s="3"/>
      <c r="F2666" s="2"/>
      <c r="G2666" s="2"/>
      <c r="I2666" s="1"/>
      <c r="J2666" s="1"/>
    </row>
    <row r="2667" spans="1:10" ht="12.75" x14ac:dyDescent="0.2">
      <c r="A2667" s="3"/>
      <c r="B2667" s="3"/>
      <c r="C2667" s="3"/>
      <c r="D2667" s="3"/>
      <c r="E2667" s="3"/>
      <c r="F2667" s="2"/>
      <c r="G2667" s="2"/>
      <c r="I2667" s="1"/>
      <c r="J2667" s="1"/>
    </row>
    <row r="2668" spans="1:10" ht="12.75" x14ac:dyDescent="0.2">
      <c r="A2668" s="3"/>
      <c r="B2668" s="3"/>
      <c r="C2668" s="3"/>
      <c r="D2668" s="3"/>
      <c r="E2668" s="3"/>
      <c r="F2668" s="2"/>
      <c r="G2668" s="2"/>
      <c r="I2668" s="1"/>
      <c r="J2668" s="1"/>
    </row>
    <row r="2669" spans="1:10" ht="12.75" x14ac:dyDescent="0.2">
      <c r="A2669" s="3"/>
      <c r="B2669" s="3"/>
      <c r="C2669" s="3"/>
      <c r="D2669" s="3"/>
      <c r="E2669" s="3"/>
      <c r="F2669" s="2"/>
      <c r="G2669" s="2"/>
      <c r="I2669" s="1"/>
      <c r="J2669" s="1"/>
    </row>
    <row r="2670" spans="1:10" ht="12.75" x14ac:dyDescent="0.2">
      <c r="A2670" s="3"/>
      <c r="B2670" s="3"/>
      <c r="C2670" s="3"/>
      <c r="D2670" s="3"/>
      <c r="E2670" s="3"/>
      <c r="F2670" s="2"/>
      <c r="G2670" s="2"/>
      <c r="I2670" s="1"/>
      <c r="J2670" s="1"/>
    </row>
    <row r="2671" spans="1:10" ht="12.75" x14ac:dyDescent="0.2">
      <c r="A2671" s="3"/>
      <c r="B2671" s="3"/>
      <c r="C2671" s="3"/>
      <c r="D2671" s="3"/>
      <c r="E2671" s="3"/>
      <c r="F2671" s="2"/>
      <c r="G2671" s="2"/>
      <c r="I2671" s="1"/>
      <c r="J2671" s="1"/>
    </row>
    <row r="2672" spans="1:10" ht="12.75" x14ac:dyDescent="0.2">
      <c r="A2672" s="3"/>
      <c r="B2672" s="3"/>
      <c r="C2672" s="3"/>
      <c r="D2672" s="3"/>
      <c r="E2672" s="3"/>
      <c r="F2672" s="2"/>
      <c r="G2672" s="2"/>
      <c r="I2672" s="1"/>
      <c r="J2672" s="1"/>
    </row>
    <row r="2673" spans="1:10" ht="12.75" x14ac:dyDescent="0.2">
      <c r="A2673" s="3"/>
      <c r="B2673" s="3"/>
      <c r="C2673" s="3"/>
      <c r="D2673" s="3"/>
      <c r="E2673" s="3"/>
      <c r="F2673" s="2"/>
      <c r="G2673" s="2"/>
      <c r="I2673" s="1"/>
      <c r="J2673" s="1"/>
    </row>
    <row r="2674" spans="1:10" ht="12.75" x14ac:dyDescent="0.2">
      <c r="A2674" s="3"/>
      <c r="B2674" s="3"/>
      <c r="C2674" s="3"/>
      <c r="D2674" s="3"/>
      <c r="E2674" s="3"/>
      <c r="F2674" s="2"/>
      <c r="G2674" s="2"/>
      <c r="I2674" s="1"/>
      <c r="J2674" s="1"/>
    </row>
    <row r="2675" spans="1:10" ht="12.75" x14ac:dyDescent="0.2">
      <c r="A2675" s="3"/>
      <c r="B2675" s="3"/>
      <c r="C2675" s="3"/>
      <c r="D2675" s="3"/>
      <c r="E2675" s="3"/>
      <c r="F2675" s="2"/>
      <c r="G2675" s="2"/>
      <c r="I2675" s="1"/>
      <c r="J2675" s="1"/>
    </row>
    <row r="2676" spans="1:10" ht="12.75" x14ac:dyDescent="0.2">
      <c r="A2676" s="3"/>
      <c r="B2676" s="3"/>
      <c r="C2676" s="3"/>
      <c r="D2676" s="3"/>
      <c r="E2676" s="3"/>
      <c r="F2676" s="2"/>
      <c r="G2676" s="2"/>
      <c r="I2676" s="1"/>
      <c r="J2676" s="1"/>
    </row>
    <row r="2677" spans="1:10" ht="12.75" x14ac:dyDescent="0.2">
      <c r="A2677" s="3"/>
      <c r="B2677" s="3"/>
      <c r="C2677" s="3"/>
      <c r="D2677" s="3"/>
      <c r="E2677" s="3"/>
      <c r="F2677" s="2"/>
      <c r="G2677" s="2"/>
      <c r="I2677" s="1"/>
      <c r="J2677" s="1"/>
    </row>
    <row r="2678" spans="1:10" ht="12.75" x14ac:dyDescent="0.2">
      <c r="A2678" s="3"/>
      <c r="B2678" s="3"/>
      <c r="C2678" s="3"/>
      <c r="D2678" s="3"/>
      <c r="E2678" s="3"/>
      <c r="F2678" s="2"/>
      <c r="G2678" s="2"/>
      <c r="I2678" s="1"/>
      <c r="J2678" s="1"/>
    </row>
    <row r="2679" spans="1:10" ht="12.75" x14ac:dyDescent="0.2">
      <c r="A2679" s="3"/>
      <c r="B2679" s="3"/>
      <c r="C2679" s="3"/>
      <c r="D2679" s="3"/>
      <c r="E2679" s="3"/>
      <c r="F2679" s="2"/>
      <c r="G2679" s="2"/>
      <c r="I2679" s="1"/>
      <c r="J2679" s="1"/>
    </row>
    <row r="2680" spans="1:10" ht="12.75" x14ac:dyDescent="0.2">
      <c r="A2680" s="3"/>
      <c r="B2680" s="3"/>
      <c r="C2680" s="3"/>
      <c r="D2680" s="3"/>
      <c r="E2680" s="3"/>
      <c r="F2680" s="2"/>
      <c r="G2680" s="2"/>
      <c r="I2680" s="1"/>
      <c r="J2680" s="1"/>
    </row>
    <row r="2681" spans="1:10" ht="12.75" x14ac:dyDescent="0.2">
      <c r="A2681" s="3"/>
      <c r="B2681" s="3"/>
      <c r="C2681" s="3"/>
      <c r="D2681" s="3"/>
      <c r="E2681" s="3"/>
      <c r="F2681" s="2"/>
      <c r="G2681" s="2"/>
      <c r="I2681" s="1"/>
      <c r="J2681" s="1"/>
    </row>
    <row r="2682" spans="1:10" ht="12.75" x14ac:dyDescent="0.2">
      <c r="A2682" s="3"/>
      <c r="B2682" s="3"/>
      <c r="C2682" s="3"/>
      <c r="D2682" s="3"/>
      <c r="E2682" s="3"/>
      <c r="F2682" s="2"/>
      <c r="G2682" s="2"/>
      <c r="I2682" s="1"/>
      <c r="J2682" s="1"/>
    </row>
    <row r="2683" spans="1:10" ht="12.75" x14ac:dyDescent="0.2">
      <c r="A2683" s="3"/>
      <c r="B2683" s="3"/>
      <c r="C2683" s="3"/>
      <c r="D2683" s="3"/>
      <c r="E2683" s="3"/>
      <c r="F2683" s="2"/>
      <c r="G2683" s="2"/>
      <c r="I2683" s="1"/>
      <c r="J2683" s="1"/>
    </row>
    <row r="2684" spans="1:10" ht="12.75" x14ac:dyDescent="0.2">
      <c r="A2684" s="3"/>
      <c r="B2684" s="3"/>
      <c r="C2684" s="3"/>
      <c r="D2684" s="3"/>
      <c r="E2684" s="3"/>
      <c r="F2684" s="2"/>
      <c r="G2684" s="2"/>
      <c r="I2684" s="1"/>
      <c r="J2684" s="1"/>
    </row>
    <row r="2685" spans="1:10" ht="12.75" x14ac:dyDescent="0.2">
      <c r="A2685" s="3"/>
      <c r="B2685" s="3"/>
      <c r="C2685" s="3"/>
      <c r="D2685" s="3"/>
      <c r="E2685" s="3"/>
      <c r="F2685" s="2"/>
      <c r="G2685" s="2"/>
      <c r="I2685" s="1"/>
      <c r="J2685" s="1"/>
    </row>
    <row r="2686" spans="1:10" ht="12.75" x14ac:dyDescent="0.2">
      <c r="A2686" s="3"/>
      <c r="B2686" s="3"/>
      <c r="C2686" s="3"/>
      <c r="D2686" s="3"/>
      <c r="E2686" s="3"/>
      <c r="F2686" s="2"/>
      <c r="G2686" s="2"/>
      <c r="I2686" s="1"/>
      <c r="J2686" s="1"/>
    </row>
    <row r="2687" spans="1:10" ht="12.75" x14ac:dyDescent="0.2">
      <c r="A2687" s="3"/>
      <c r="B2687" s="3"/>
      <c r="C2687" s="3"/>
      <c r="D2687" s="3"/>
      <c r="E2687" s="3"/>
      <c r="F2687" s="2"/>
      <c r="G2687" s="2"/>
      <c r="I2687" s="1"/>
      <c r="J2687" s="1"/>
    </row>
    <row r="2688" spans="1:10" ht="12.75" x14ac:dyDescent="0.2">
      <c r="A2688" s="3"/>
      <c r="B2688" s="3"/>
      <c r="C2688" s="3"/>
      <c r="D2688" s="3"/>
      <c r="E2688" s="3"/>
      <c r="F2688" s="2"/>
      <c r="G2688" s="2"/>
      <c r="I2688" s="1"/>
      <c r="J2688" s="1"/>
    </row>
    <row r="2689" spans="1:10" ht="12.75" x14ac:dyDescent="0.2">
      <c r="A2689" s="3"/>
      <c r="B2689" s="3"/>
      <c r="C2689" s="3"/>
      <c r="D2689" s="3"/>
      <c r="E2689" s="3"/>
      <c r="F2689" s="2"/>
      <c r="G2689" s="2"/>
      <c r="I2689" s="1"/>
      <c r="J2689" s="1"/>
    </row>
    <row r="2690" spans="1:10" ht="12.75" x14ac:dyDescent="0.2">
      <c r="A2690" s="3"/>
      <c r="B2690" s="3"/>
      <c r="C2690" s="3"/>
      <c r="D2690" s="3"/>
      <c r="E2690" s="3"/>
      <c r="F2690" s="2"/>
      <c r="G2690" s="2"/>
      <c r="I2690" s="1"/>
      <c r="J2690" s="1"/>
    </row>
    <row r="2691" spans="1:10" ht="12.75" x14ac:dyDescent="0.2">
      <c r="A2691" s="3"/>
      <c r="B2691" s="3"/>
      <c r="C2691" s="3"/>
      <c r="D2691" s="3"/>
      <c r="E2691" s="3"/>
      <c r="F2691" s="2"/>
      <c r="G2691" s="2"/>
      <c r="I2691" s="1"/>
      <c r="J2691" s="1"/>
    </row>
    <row r="2692" spans="1:10" ht="12.75" x14ac:dyDescent="0.2">
      <c r="A2692" s="3"/>
      <c r="B2692" s="3"/>
      <c r="C2692" s="3"/>
      <c r="D2692" s="3"/>
      <c r="E2692" s="3"/>
      <c r="F2692" s="2"/>
      <c r="G2692" s="2"/>
      <c r="I2692" s="1"/>
      <c r="J2692" s="1"/>
    </row>
    <row r="2693" spans="1:10" ht="12.75" x14ac:dyDescent="0.2">
      <c r="A2693" s="3"/>
      <c r="B2693" s="3"/>
      <c r="C2693" s="3"/>
      <c r="D2693" s="3"/>
      <c r="E2693" s="3"/>
      <c r="F2693" s="2"/>
      <c r="G2693" s="2"/>
      <c r="I2693" s="1"/>
      <c r="J2693" s="1"/>
    </row>
    <row r="2694" spans="1:10" ht="12.75" x14ac:dyDescent="0.2">
      <c r="A2694" s="3"/>
      <c r="B2694" s="3"/>
      <c r="C2694" s="3"/>
      <c r="D2694" s="3"/>
      <c r="E2694" s="3"/>
      <c r="F2694" s="2"/>
      <c r="G2694" s="2"/>
      <c r="I2694" s="1"/>
      <c r="J2694" s="1"/>
    </row>
    <row r="2695" spans="1:10" ht="12.75" x14ac:dyDescent="0.2">
      <c r="A2695" s="3"/>
      <c r="B2695" s="3"/>
      <c r="C2695" s="3"/>
      <c r="D2695" s="3"/>
      <c r="E2695" s="3"/>
      <c r="F2695" s="2"/>
      <c r="G2695" s="2"/>
      <c r="I2695" s="1"/>
      <c r="J2695" s="1"/>
    </row>
    <row r="2696" spans="1:10" ht="12.75" x14ac:dyDescent="0.2">
      <c r="A2696" s="3"/>
      <c r="B2696" s="3"/>
      <c r="C2696" s="3"/>
      <c r="D2696" s="3"/>
      <c r="E2696" s="3"/>
      <c r="F2696" s="2"/>
      <c r="G2696" s="2"/>
      <c r="I2696" s="1"/>
      <c r="J2696" s="1"/>
    </row>
    <row r="2697" spans="1:10" ht="12.75" x14ac:dyDescent="0.2">
      <c r="A2697" s="3"/>
      <c r="B2697" s="3"/>
      <c r="C2697" s="3"/>
      <c r="D2697" s="3"/>
      <c r="E2697" s="3"/>
      <c r="F2697" s="2"/>
      <c r="G2697" s="2"/>
      <c r="I2697" s="1"/>
      <c r="J2697" s="1"/>
    </row>
    <row r="2698" spans="1:10" ht="12.75" x14ac:dyDescent="0.2">
      <c r="A2698" s="3"/>
      <c r="B2698" s="3"/>
      <c r="C2698" s="3"/>
      <c r="D2698" s="3"/>
      <c r="E2698" s="3"/>
      <c r="F2698" s="2"/>
      <c r="G2698" s="2"/>
      <c r="I2698" s="1"/>
      <c r="J2698" s="1"/>
    </row>
    <row r="2699" spans="1:10" ht="12.75" x14ac:dyDescent="0.2">
      <c r="A2699" s="3"/>
      <c r="B2699" s="3"/>
      <c r="C2699" s="3"/>
      <c r="D2699" s="3"/>
      <c r="E2699" s="3"/>
      <c r="F2699" s="2"/>
      <c r="G2699" s="2"/>
      <c r="I2699" s="1"/>
      <c r="J2699" s="1"/>
    </row>
    <row r="2700" spans="1:10" ht="12.75" x14ac:dyDescent="0.2">
      <c r="A2700" s="3"/>
      <c r="B2700" s="3"/>
      <c r="C2700" s="3"/>
      <c r="D2700" s="3"/>
      <c r="E2700" s="3"/>
      <c r="F2700" s="2"/>
      <c r="G2700" s="2"/>
      <c r="I2700" s="1"/>
      <c r="J2700" s="1"/>
    </row>
    <row r="2701" spans="1:10" ht="12.75" x14ac:dyDescent="0.2">
      <c r="A2701" s="3"/>
      <c r="B2701" s="3"/>
      <c r="C2701" s="3"/>
      <c r="D2701" s="3"/>
      <c r="E2701" s="3"/>
      <c r="F2701" s="2"/>
      <c r="G2701" s="2"/>
      <c r="I2701" s="1"/>
      <c r="J2701" s="1"/>
    </row>
    <row r="2702" spans="1:10" ht="12.75" x14ac:dyDescent="0.2">
      <c r="A2702" s="3"/>
      <c r="B2702" s="3"/>
      <c r="C2702" s="3"/>
      <c r="D2702" s="3"/>
      <c r="E2702" s="3"/>
      <c r="F2702" s="2"/>
      <c r="G2702" s="2"/>
      <c r="I2702" s="1"/>
      <c r="J2702" s="1"/>
    </row>
    <row r="2703" spans="1:10" ht="12.75" x14ac:dyDescent="0.2">
      <c r="A2703" s="3"/>
      <c r="B2703" s="3"/>
      <c r="C2703" s="3"/>
      <c r="D2703" s="3"/>
      <c r="E2703" s="3"/>
      <c r="F2703" s="2"/>
      <c r="G2703" s="2"/>
      <c r="I2703" s="1"/>
      <c r="J2703" s="1"/>
    </row>
    <row r="2704" spans="1:10" ht="12.75" x14ac:dyDescent="0.2">
      <c r="A2704" s="3"/>
      <c r="B2704" s="3"/>
      <c r="C2704" s="3"/>
      <c r="D2704" s="3"/>
      <c r="E2704" s="3"/>
      <c r="F2704" s="2"/>
      <c r="G2704" s="2"/>
      <c r="I2704" s="1"/>
      <c r="J2704" s="1"/>
    </row>
    <row r="2705" spans="1:10" ht="12.75" x14ac:dyDescent="0.2">
      <c r="A2705" s="3"/>
      <c r="B2705" s="3"/>
      <c r="C2705" s="3"/>
      <c r="D2705" s="3"/>
      <c r="E2705" s="3"/>
      <c r="F2705" s="2"/>
      <c r="G2705" s="2"/>
      <c r="I2705" s="1"/>
      <c r="J2705" s="1"/>
    </row>
    <row r="2706" spans="1:10" ht="12.75" x14ac:dyDescent="0.2">
      <c r="A2706" s="3"/>
      <c r="B2706" s="3"/>
      <c r="C2706" s="3"/>
      <c r="D2706" s="3"/>
      <c r="E2706" s="3"/>
      <c r="F2706" s="2"/>
      <c r="G2706" s="2"/>
      <c r="I2706" s="1"/>
      <c r="J2706" s="1"/>
    </row>
    <row r="2707" spans="1:10" ht="12.75" x14ac:dyDescent="0.2">
      <c r="A2707" s="3"/>
      <c r="B2707" s="3"/>
      <c r="C2707" s="3"/>
      <c r="D2707" s="3"/>
      <c r="E2707" s="3"/>
      <c r="F2707" s="2"/>
      <c r="G2707" s="2"/>
      <c r="I2707" s="1"/>
      <c r="J2707" s="1"/>
    </row>
    <row r="2708" spans="1:10" ht="12.75" x14ac:dyDescent="0.2">
      <c r="A2708" s="3"/>
      <c r="B2708" s="3"/>
      <c r="C2708" s="3"/>
      <c r="D2708" s="3"/>
      <c r="E2708" s="3"/>
      <c r="F2708" s="2"/>
      <c r="G2708" s="2"/>
      <c r="I2708" s="1"/>
      <c r="J2708" s="1"/>
    </row>
    <row r="2709" spans="1:10" ht="12.75" x14ac:dyDescent="0.2">
      <c r="A2709" s="3"/>
      <c r="B2709" s="3"/>
      <c r="C2709" s="3"/>
      <c r="D2709" s="3"/>
      <c r="E2709" s="3"/>
      <c r="F2709" s="2"/>
      <c r="G2709" s="2"/>
      <c r="I2709" s="1"/>
      <c r="J2709" s="1"/>
    </row>
    <row r="2710" spans="1:10" ht="12.75" x14ac:dyDescent="0.2">
      <c r="A2710" s="3"/>
      <c r="B2710" s="3"/>
      <c r="C2710" s="3"/>
      <c r="D2710" s="3"/>
      <c r="E2710" s="3"/>
      <c r="F2710" s="2"/>
      <c r="G2710" s="2"/>
      <c r="I2710" s="1"/>
      <c r="J2710" s="1"/>
    </row>
    <row r="2711" spans="1:10" ht="12.75" x14ac:dyDescent="0.2">
      <c r="A2711" s="3"/>
      <c r="B2711" s="3"/>
      <c r="C2711" s="3"/>
      <c r="D2711" s="3"/>
      <c r="E2711" s="3"/>
      <c r="F2711" s="2"/>
      <c r="G2711" s="2"/>
      <c r="I2711" s="1"/>
      <c r="J2711" s="1"/>
    </row>
    <row r="2712" spans="1:10" ht="12.75" x14ac:dyDescent="0.2">
      <c r="A2712" s="3"/>
      <c r="B2712" s="3"/>
      <c r="C2712" s="3"/>
      <c r="D2712" s="3"/>
      <c r="E2712" s="3"/>
      <c r="F2712" s="2"/>
      <c r="G2712" s="2"/>
      <c r="I2712" s="1"/>
      <c r="J2712" s="1"/>
    </row>
    <row r="2713" spans="1:10" ht="12.75" x14ac:dyDescent="0.2">
      <c r="A2713" s="3"/>
      <c r="B2713" s="3"/>
      <c r="C2713" s="3"/>
      <c r="D2713" s="3"/>
      <c r="E2713" s="3"/>
      <c r="F2713" s="2"/>
      <c r="G2713" s="2"/>
      <c r="I2713" s="1"/>
      <c r="J2713" s="1"/>
    </row>
    <row r="2714" spans="1:10" ht="12.75" x14ac:dyDescent="0.2">
      <c r="A2714" s="3"/>
      <c r="B2714" s="3"/>
      <c r="C2714" s="3"/>
      <c r="D2714" s="3"/>
      <c r="E2714" s="3"/>
      <c r="F2714" s="2"/>
      <c r="G2714" s="2"/>
      <c r="I2714" s="1"/>
      <c r="J2714" s="1"/>
    </row>
    <row r="2715" spans="1:10" ht="12.75" x14ac:dyDescent="0.2">
      <c r="A2715" s="3"/>
      <c r="B2715" s="3"/>
      <c r="C2715" s="3"/>
      <c r="D2715" s="3"/>
      <c r="E2715" s="3"/>
      <c r="F2715" s="2"/>
      <c r="G2715" s="2"/>
      <c r="I2715" s="1"/>
      <c r="J2715" s="1"/>
    </row>
    <row r="2716" spans="1:10" ht="12.75" x14ac:dyDescent="0.2">
      <c r="A2716" s="3"/>
      <c r="B2716" s="3"/>
      <c r="C2716" s="3"/>
      <c r="D2716" s="3"/>
      <c r="E2716" s="3"/>
      <c r="F2716" s="2"/>
      <c r="G2716" s="2"/>
      <c r="I2716" s="1"/>
      <c r="J2716" s="1"/>
    </row>
    <row r="2717" spans="1:10" ht="12.75" x14ac:dyDescent="0.2">
      <c r="A2717" s="3"/>
      <c r="B2717" s="3"/>
      <c r="C2717" s="3"/>
      <c r="D2717" s="3"/>
      <c r="E2717" s="3"/>
      <c r="F2717" s="2"/>
      <c r="G2717" s="2"/>
      <c r="I2717" s="1"/>
      <c r="J2717" s="1"/>
    </row>
    <row r="2718" spans="1:10" ht="12.75" x14ac:dyDescent="0.2">
      <c r="A2718" s="3"/>
      <c r="B2718" s="3"/>
      <c r="C2718" s="3"/>
      <c r="D2718" s="3"/>
      <c r="E2718" s="3"/>
      <c r="F2718" s="2"/>
      <c r="G2718" s="2"/>
      <c r="I2718" s="1"/>
      <c r="J2718" s="1"/>
    </row>
    <row r="2719" spans="1:10" ht="12.75" x14ac:dyDescent="0.2">
      <c r="A2719" s="3"/>
      <c r="B2719" s="3"/>
      <c r="C2719" s="3"/>
      <c r="D2719" s="3"/>
      <c r="E2719" s="3"/>
      <c r="F2719" s="2"/>
      <c r="G2719" s="2"/>
      <c r="I2719" s="1"/>
      <c r="J2719" s="1"/>
    </row>
    <row r="2720" spans="1:10" ht="12.75" x14ac:dyDescent="0.2">
      <c r="A2720" s="3"/>
      <c r="B2720" s="3"/>
      <c r="C2720" s="3"/>
      <c r="D2720" s="3"/>
      <c r="E2720" s="3"/>
      <c r="F2720" s="2"/>
      <c r="G2720" s="2"/>
      <c r="I2720" s="1"/>
      <c r="J2720" s="1"/>
    </row>
    <row r="2721" spans="1:10" ht="12.75" x14ac:dyDescent="0.2">
      <c r="A2721" s="3"/>
      <c r="B2721" s="3"/>
      <c r="C2721" s="3"/>
      <c r="D2721" s="3"/>
      <c r="E2721" s="3"/>
      <c r="F2721" s="2"/>
      <c r="G2721" s="2"/>
      <c r="I2721" s="1"/>
      <c r="J2721" s="1"/>
    </row>
    <row r="2722" spans="1:10" ht="12.75" x14ac:dyDescent="0.2">
      <c r="A2722" s="3"/>
      <c r="B2722" s="3"/>
      <c r="C2722" s="3"/>
      <c r="D2722" s="3"/>
      <c r="E2722" s="3"/>
      <c r="F2722" s="2"/>
      <c r="G2722" s="2"/>
      <c r="I2722" s="1"/>
      <c r="J2722" s="1"/>
    </row>
    <row r="2723" spans="1:10" ht="12.75" x14ac:dyDescent="0.2">
      <c r="A2723" s="3"/>
      <c r="B2723" s="3"/>
      <c r="C2723" s="3"/>
      <c r="D2723" s="3"/>
      <c r="E2723" s="3"/>
      <c r="F2723" s="2"/>
      <c r="G2723" s="2"/>
      <c r="I2723" s="1"/>
      <c r="J2723" s="1"/>
    </row>
    <row r="2724" spans="1:10" ht="12.75" x14ac:dyDescent="0.2">
      <c r="A2724" s="3"/>
      <c r="B2724" s="3"/>
      <c r="C2724" s="3"/>
      <c r="D2724" s="3"/>
      <c r="E2724" s="3"/>
      <c r="F2724" s="2"/>
      <c r="G2724" s="2"/>
      <c r="I2724" s="1"/>
      <c r="J2724" s="1"/>
    </row>
    <row r="2725" spans="1:10" ht="12.75" x14ac:dyDescent="0.2">
      <c r="A2725" s="3"/>
      <c r="B2725" s="3"/>
      <c r="C2725" s="3"/>
      <c r="D2725" s="3"/>
      <c r="E2725" s="3"/>
      <c r="F2725" s="2"/>
      <c r="G2725" s="2"/>
      <c r="I2725" s="1"/>
      <c r="J2725" s="1"/>
    </row>
    <row r="2726" spans="1:10" ht="12.75" x14ac:dyDescent="0.2">
      <c r="A2726" s="3"/>
      <c r="B2726" s="3"/>
      <c r="C2726" s="3"/>
      <c r="D2726" s="3"/>
      <c r="E2726" s="3"/>
      <c r="F2726" s="2"/>
      <c r="G2726" s="2"/>
      <c r="I2726" s="1"/>
      <c r="J2726" s="1"/>
    </row>
    <row r="2727" spans="1:10" ht="12.75" x14ac:dyDescent="0.2">
      <c r="A2727" s="3"/>
      <c r="B2727" s="3"/>
      <c r="C2727" s="3"/>
      <c r="D2727" s="3"/>
      <c r="E2727" s="3"/>
      <c r="F2727" s="2"/>
      <c r="G2727" s="2"/>
      <c r="I2727" s="1"/>
      <c r="J2727" s="1"/>
    </row>
    <row r="2728" spans="1:10" ht="12.75" x14ac:dyDescent="0.2">
      <c r="A2728" s="3"/>
      <c r="B2728" s="3"/>
      <c r="C2728" s="3"/>
      <c r="D2728" s="3"/>
      <c r="E2728" s="3"/>
      <c r="F2728" s="2"/>
      <c r="G2728" s="2"/>
      <c r="I2728" s="1"/>
      <c r="J2728" s="1"/>
    </row>
    <row r="2729" spans="1:10" ht="12.75" x14ac:dyDescent="0.2">
      <c r="A2729" s="3"/>
      <c r="B2729" s="3"/>
      <c r="C2729" s="3"/>
      <c r="D2729" s="3"/>
      <c r="E2729" s="3"/>
      <c r="F2729" s="2"/>
      <c r="G2729" s="2"/>
      <c r="I2729" s="1"/>
      <c r="J2729" s="1"/>
    </row>
    <row r="2730" spans="1:10" ht="12.75" x14ac:dyDescent="0.2">
      <c r="A2730" s="3"/>
      <c r="B2730" s="3"/>
      <c r="C2730" s="3"/>
      <c r="D2730" s="3"/>
      <c r="E2730" s="3"/>
      <c r="F2730" s="2"/>
      <c r="G2730" s="2"/>
      <c r="I2730" s="1"/>
      <c r="J2730" s="1"/>
    </row>
    <row r="2731" spans="1:10" ht="12.75" x14ac:dyDescent="0.2">
      <c r="A2731" s="3"/>
      <c r="B2731" s="3"/>
      <c r="C2731" s="3"/>
      <c r="D2731" s="3"/>
      <c r="E2731" s="3"/>
      <c r="F2731" s="2"/>
      <c r="G2731" s="2"/>
      <c r="I2731" s="1"/>
      <c r="J2731" s="1"/>
    </row>
    <row r="2732" spans="1:10" ht="12.75" x14ac:dyDescent="0.2">
      <c r="A2732" s="3"/>
      <c r="B2732" s="3"/>
      <c r="C2732" s="3"/>
      <c r="D2732" s="3"/>
      <c r="E2732" s="3"/>
      <c r="F2732" s="2"/>
      <c r="G2732" s="2"/>
      <c r="I2732" s="1"/>
      <c r="J2732" s="1"/>
    </row>
    <row r="2733" spans="1:10" ht="12.75" x14ac:dyDescent="0.2">
      <c r="A2733" s="3"/>
      <c r="B2733" s="3"/>
      <c r="C2733" s="3"/>
      <c r="D2733" s="3"/>
      <c r="E2733" s="3"/>
      <c r="F2733" s="2"/>
      <c r="G2733" s="2"/>
      <c r="I2733" s="1"/>
      <c r="J2733" s="1"/>
    </row>
    <row r="2734" spans="1:10" ht="12.75" x14ac:dyDescent="0.2">
      <c r="A2734" s="3"/>
      <c r="B2734" s="3"/>
      <c r="C2734" s="3"/>
      <c r="D2734" s="3"/>
      <c r="E2734" s="3"/>
      <c r="F2734" s="2"/>
      <c r="G2734" s="2"/>
      <c r="I2734" s="1"/>
      <c r="J2734" s="1"/>
    </row>
    <row r="2735" spans="1:10" ht="12.75" x14ac:dyDescent="0.2">
      <c r="A2735" s="3"/>
      <c r="B2735" s="3"/>
      <c r="C2735" s="3"/>
      <c r="D2735" s="3"/>
      <c r="E2735" s="3"/>
      <c r="F2735" s="2"/>
      <c r="G2735" s="2"/>
      <c r="I2735" s="1"/>
      <c r="J2735" s="1"/>
    </row>
    <row r="2736" spans="1:10" ht="12.75" x14ac:dyDescent="0.2">
      <c r="A2736" s="3"/>
      <c r="B2736" s="3"/>
      <c r="C2736" s="3"/>
      <c r="D2736" s="3"/>
      <c r="E2736" s="3"/>
      <c r="F2736" s="2"/>
      <c r="G2736" s="2"/>
      <c r="I2736" s="1"/>
      <c r="J2736" s="1"/>
    </row>
    <row r="2737" spans="1:10" ht="12.75" x14ac:dyDescent="0.2">
      <c r="A2737" s="3"/>
      <c r="B2737" s="3"/>
      <c r="C2737" s="3"/>
      <c r="D2737" s="3"/>
      <c r="E2737" s="3"/>
      <c r="F2737" s="2"/>
      <c r="G2737" s="2"/>
      <c r="I2737" s="1"/>
      <c r="J2737" s="1"/>
    </row>
    <row r="2738" spans="1:10" ht="12.75" x14ac:dyDescent="0.2">
      <c r="A2738" s="3"/>
      <c r="B2738" s="3"/>
      <c r="C2738" s="3"/>
      <c r="D2738" s="3"/>
      <c r="E2738" s="3"/>
      <c r="F2738" s="2"/>
      <c r="G2738" s="2"/>
      <c r="I2738" s="1"/>
      <c r="J2738" s="1"/>
    </row>
    <row r="2739" spans="1:10" ht="12.75" x14ac:dyDescent="0.2">
      <c r="A2739" s="3"/>
      <c r="B2739" s="3"/>
      <c r="C2739" s="3"/>
      <c r="D2739" s="3"/>
      <c r="E2739" s="3"/>
      <c r="F2739" s="2"/>
      <c r="G2739" s="2"/>
      <c r="I2739" s="1"/>
      <c r="J2739" s="1"/>
    </row>
    <row r="2740" spans="1:10" ht="12.75" x14ac:dyDescent="0.2">
      <c r="A2740" s="3"/>
      <c r="B2740" s="3"/>
      <c r="C2740" s="3"/>
      <c r="D2740" s="3"/>
      <c r="E2740" s="3"/>
      <c r="F2740" s="2"/>
      <c r="G2740" s="2"/>
      <c r="I2740" s="1"/>
      <c r="J2740" s="1"/>
    </row>
    <row r="2741" spans="1:10" ht="12.75" x14ac:dyDescent="0.2">
      <c r="A2741" s="3"/>
      <c r="B2741" s="3"/>
      <c r="C2741" s="3"/>
      <c r="D2741" s="3"/>
      <c r="E2741" s="3"/>
      <c r="F2741" s="2"/>
      <c r="G2741" s="2"/>
      <c r="I2741" s="1"/>
      <c r="J2741" s="1"/>
    </row>
    <row r="2742" spans="1:10" ht="12.75" x14ac:dyDescent="0.2">
      <c r="A2742" s="3"/>
      <c r="B2742" s="3"/>
      <c r="C2742" s="3"/>
      <c r="D2742" s="3"/>
      <c r="E2742" s="3"/>
      <c r="F2742" s="2"/>
      <c r="G2742" s="2"/>
      <c r="I2742" s="1"/>
      <c r="J2742" s="1"/>
    </row>
    <row r="2743" spans="1:10" ht="12.75" x14ac:dyDescent="0.2">
      <c r="A2743" s="3"/>
      <c r="B2743" s="3"/>
      <c r="C2743" s="3"/>
      <c r="D2743" s="3"/>
      <c r="E2743" s="3"/>
      <c r="F2743" s="2"/>
      <c r="G2743" s="2"/>
      <c r="I2743" s="1"/>
      <c r="J2743" s="1"/>
    </row>
    <row r="2744" spans="1:10" ht="12.75" x14ac:dyDescent="0.2">
      <c r="A2744" s="3"/>
      <c r="B2744" s="3"/>
      <c r="C2744" s="3"/>
      <c r="D2744" s="3"/>
      <c r="E2744" s="3"/>
      <c r="F2744" s="2"/>
      <c r="G2744" s="2"/>
      <c r="I2744" s="1"/>
      <c r="J2744" s="1"/>
    </row>
    <row r="2745" spans="1:10" ht="12.75" x14ac:dyDescent="0.2">
      <c r="A2745" s="3"/>
      <c r="B2745" s="3"/>
      <c r="C2745" s="3"/>
      <c r="D2745" s="3"/>
      <c r="E2745" s="3"/>
      <c r="F2745" s="2"/>
      <c r="G2745" s="2"/>
      <c r="I2745" s="1"/>
      <c r="J2745" s="1"/>
    </row>
    <row r="2746" spans="1:10" ht="12.75" x14ac:dyDescent="0.2">
      <c r="A2746" s="3"/>
      <c r="B2746" s="3"/>
      <c r="C2746" s="3"/>
      <c r="D2746" s="3"/>
      <c r="E2746" s="3"/>
      <c r="F2746" s="2"/>
      <c r="G2746" s="2"/>
      <c r="I2746" s="1"/>
      <c r="J2746" s="1"/>
    </row>
    <row r="2747" spans="1:10" ht="12.75" x14ac:dyDescent="0.2">
      <c r="A2747" s="3"/>
      <c r="B2747" s="3"/>
      <c r="C2747" s="3"/>
      <c r="D2747" s="3"/>
      <c r="E2747" s="3"/>
      <c r="F2747" s="2"/>
      <c r="G2747" s="2"/>
      <c r="I2747" s="1"/>
      <c r="J2747" s="1"/>
    </row>
    <row r="2748" spans="1:10" ht="12.75" x14ac:dyDescent="0.2">
      <c r="A2748" s="3"/>
      <c r="B2748" s="3"/>
      <c r="C2748" s="3"/>
      <c r="D2748" s="3"/>
      <c r="E2748" s="3"/>
      <c r="F2748" s="2"/>
      <c r="G2748" s="2"/>
      <c r="I2748" s="1"/>
      <c r="J2748" s="1"/>
    </row>
    <row r="2749" spans="1:10" ht="12.75" x14ac:dyDescent="0.2">
      <c r="A2749" s="3"/>
      <c r="B2749" s="3"/>
      <c r="C2749" s="3"/>
      <c r="D2749" s="3"/>
      <c r="E2749" s="3"/>
      <c r="F2749" s="2"/>
      <c r="G2749" s="2"/>
      <c r="I2749" s="1"/>
      <c r="J2749" s="1"/>
    </row>
    <row r="2750" spans="1:10" ht="12.75" x14ac:dyDescent="0.2">
      <c r="A2750" s="3"/>
      <c r="B2750" s="3"/>
      <c r="C2750" s="3"/>
      <c r="D2750" s="3"/>
      <c r="E2750" s="3"/>
      <c r="F2750" s="2"/>
      <c r="G2750" s="2"/>
      <c r="I2750" s="1"/>
      <c r="J2750" s="1"/>
    </row>
    <row r="2751" spans="1:10" ht="12.75" x14ac:dyDescent="0.2">
      <c r="A2751" s="3"/>
      <c r="B2751" s="3"/>
      <c r="C2751" s="3"/>
      <c r="D2751" s="3"/>
      <c r="E2751" s="3"/>
      <c r="F2751" s="2"/>
      <c r="G2751" s="2"/>
      <c r="I2751" s="1"/>
      <c r="J2751" s="1"/>
    </row>
    <row r="2752" spans="1:10" ht="12.75" x14ac:dyDescent="0.2">
      <c r="A2752" s="3"/>
      <c r="B2752" s="3"/>
      <c r="C2752" s="3"/>
      <c r="D2752" s="3"/>
      <c r="E2752" s="3"/>
      <c r="F2752" s="2"/>
      <c r="G2752" s="2"/>
      <c r="I2752" s="1"/>
      <c r="J2752" s="1"/>
    </row>
    <row r="2753" spans="1:10" ht="12.75" x14ac:dyDescent="0.2">
      <c r="A2753" s="3"/>
      <c r="B2753" s="3"/>
      <c r="C2753" s="3"/>
      <c r="D2753" s="3"/>
      <c r="E2753" s="3"/>
      <c r="F2753" s="2"/>
      <c r="G2753" s="2"/>
      <c r="I2753" s="1"/>
      <c r="J2753" s="1"/>
    </row>
    <row r="2754" spans="1:10" ht="12.75" x14ac:dyDescent="0.2">
      <c r="A2754" s="3"/>
      <c r="B2754" s="3"/>
      <c r="C2754" s="3"/>
      <c r="D2754" s="3"/>
      <c r="E2754" s="3"/>
      <c r="F2754" s="2"/>
      <c r="G2754" s="2"/>
      <c r="I2754" s="1"/>
      <c r="J2754" s="1"/>
    </row>
    <row r="2755" spans="1:10" ht="12.75" x14ac:dyDescent="0.2">
      <c r="A2755" s="3"/>
      <c r="B2755" s="3"/>
      <c r="C2755" s="3"/>
      <c r="D2755" s="3"/>
      <c r="E2755" s="3"/>
      <c r="F2755" s="2"/>
      <c r="G2755" s="2"/>
      <c r="I2755" s="1"/>
      <c r="J2755" s="1"/>
    </row>
    <row r="2756" spans="1:10" ht="12.75" x14ac:dyDescent="0.2">
      <c r="A2756" s="3"/>
      <c r="B2756" s="3"/>
      <c r="C2756" s="3"/>
      <c r="D2756" s="3"/>
      <c r="E2756" s="3"/>
      <c r="F2756" s="2"/>
      <c r="G2756" s="2"/>
      <c r="I2756" s="1"/>
      <c r="J2756" s="1"/>
    </row>
    <row r="2757" spans="1:10" ht="12.75" x14ac:dyDescent="0.2">
      <c r="A2757" s="3"/>
      <c r="B2757" s="3"/>
      <c r="C2757" s="3"/>
      <c r="D2757" s="3"/>
      <c r="E2757" s="3"/>
      <c r="F2757" s="2"/>
      <c r="G2757" s="2"/>
      <c r="I2757" s="1"/>
      <c r="J2757" s="1"/>
    </row>
    <row r="2758" spans="1:10" ht="12.75" x14ac:dyDescent="0.2">
      <c r="A2758" s="3"/>
      <c r="B2758" s="3"/>
      <c r="C2758" s="3"/>
      <c r="D2758" s="3"/>
      <c r="E2758" s="3"/>
      <c r="F2758" s="2"/>
      <c r="G2758" s="2"/>
      <c r="I2758" s="1"/>
      <c r="J2758" s="1"/>
    </row>
    <row r="2759" spans="1:10" ht="12.75" x14ac:dyDescent="0.2">
      <c r="A2759" s="3"/>
      <c r="B2759" s="3"/>
      <c r="C2759" s="3"/>
      <c r="D2759" s="3"/>
      <c r="E2759" s="3"/>
      <c r="F2759" s="2"/>
      <c r="G2759" s="2"/>
      <c r="I2759" s="1"/>
      <c r="J2759" s="1"/>
    </row>
    <row r="2760" spans="1:10" ht="12.75" x14ac:dyDescent="0.2">
      <c r="A2760" s="3"/>
      <c r="B2760" s="3"/>
      <c r="C2760" s="3"/>
      <c r="D2760" s="3"/>
      <c r="E2760" s="3"/>
      <c r="F2760" s="2"/>
      <c r="G2760" s="2"/>
      <c r="I2760" s="1"/>
      <c r="J2760" s="1"/>
    </row>
    <row r="2761" spans="1:10" ht="12.75" x14ac:dyDescent="0.2">
      <c r="A2761" s="3"/>
      <c r="B2761" s="3"/>
      <c r="C2761" s="3"/>
      <c r="D2761" s="3"/>
      <c r="E2761" s="3"/>
      <c r="F2761" s="2"/>
      <c r="G2761" s="2"/>
      <c r="I2761" s="1"/>
      <c r="J2761" s="1"/>
    </row>
    <row r="2762" spans="1:10" ht="12.75" x14ac:dyDescent="0.2">
      <c r="A2762" s="3"/>
      <c r="B2762" s="3"/>
      <c r="C2762" s="3"/>
      <c r="D2762" s="3"/>
      <c r="E2762" s="3"/>
      <c r="F2762" s="2"/>
      <c r="G2762" s="2"/>
      <c r="I2762" s="1"/>
      <c r="J2762" s="1"/>
    </row>
    <row r="2763" spans="1:10" ht="12.75" x14ac:dyDescent="0.2">
      <c r="A2763" s="3"/>
      <c r="B2763" s="3"/>
      <c r="C2763" s="3"/>
      <c r="D2763" s="3"/>
      <c r="E2763" s="3"/>
      <c r="F2763" s="2"/>
      <c r="G2763" s="2"/>
      <c r="I2763" s="1"/>
      <c r="J2763" s="1"/>
    </row>
    <row r="2764" spans="1:10" ht="12.75" x14ac:dyDescent="0.2">
      <c r="A2764" s="3"/>
      <c r="B2764" s="3"/>
      <c r="C2764" s="3"/>
      <c r="D2764" s="3"/>
      <c r="E2764" s="3"/>
      <c r="F2764" s="2"/>
      <c r="G2764" s="2"/>
      <c r="I2764" s="1"/>
      <c r="J2764" s="1"/>
    </row>
    <row r="2765" spans="1:10" ht="12.75" x14ac:dyDescent="0.2">
      <c r="A2765" s="3"/>
      <c r="B2765" s="3"/>
      <c r="C2765" s="3"/>
      <c r="D2765" s="3"/>
      <c r="E2765" s="3"/>
      <c r="F2765" s="2"/>
      <c r="G2765" s="2"/>
      <c r="I2765" s="1"/>
      <c r="J2765" s="1"/>
    </row>
    <row r="2766" spans="1:10" ht="12.75" x14ac:dyDescent="0.2">
      <c r="A2766" s="3"/>
      <c r="B2766" s="3"/>
      <c r="C2766" s="3"/>
      <c r="D2766" s="3"/>
      <c r="E2766" s="3"/>
      <c r="F2766" s="2"/>
      <c r="G2766" s="2"/>
      <c r="I2766" s="1"/>
      <c r="J2766" s="1"/>
    </row>
    <row r="2767" spans="1:10" ht="12.75" x14ac:dyDescent="0.2">
      <c r="A2767" s="3"/>
      <c r="B2767" s="3"/>
      <c r="C2767" s="3"/>
      <c r="D2767" s="3"/>
      <c r="E2767" s="3"/>
      <c r="F2767" s="2"/>
      <c r="G2767" s="2"/>
      <c r="I2767" s="1"/>
      <c r="J2767" s="1"/>
    </row>
    <row r="2768" spans="1:10" ht="12.75" x14ac:dyDescent="0.2">
      <c r="A2768" s="3"/>
      <c r="B2768" s="3"/>
      <c r="C2768" s="3"/>
      <c r="D2768" s="3"/>
      <c r="E2768" s="3"/>
      <c r="F2768" s="2"/>
      <c r="G2768" s="2"/>
      <c r="I2768" s="1"/>
      <c r="J2768" s="1"/>
    </row>
    <row r="2769" spans="1:10" ht="12.75" x14ac:dyDescent="0.2">
      <c r="A2769" s="3"/>
      <c r="B2769" s="3"/>
      <c r="C2769" s="3"/>
      <c r="D2769" s="3"/>
      <c r="E2769" s="3"/>
      <c r="F2769" s="2"/>
      <c r="G2769" s="2"/>
      <c r="I2769" s="1"/>
      <c r="J2769" s="1"/>
    </row>
    <row r="2770" spans="1:10" ht="12.75" x14ac:dyDescent="0.2">
      <c r="A2770" s="3"/>
      <c r="B2770" s="3"/>
      <c r="C2770" s="3"/>
      <c r="D2770" s="3"/>
      <c r="E2770" s="3"/>
      <c r="F2770" s="2"/>
      <c r="G2770" s="2"/>
      <c r="I2770" s="1"/>
      <c r="J2770" s="1"/>
    </row>
    <row r="2771" spans="1:10" ht="12.75" x14ac:dyDescent="0.2">
      <c r="A2771" s="3"/>
      <c r="B2771" s="3"/>
      <c r="C2771" s="3"/>
      <c r="D2771" s="3"/>
      <c r="E2771" s="3"/>
      <c r="F2771" s="2"/>
      <c r="G2771" s="2"/>
      <c r="I2771" s="1"/>
      <c r="J2771" s="1"/>
    </row>
    <row r="2772" spans="1:10" ht="12.75" x14ac:dyDescent="0.2">
      <c r="A2772" s="3"/>
      <c r="B2772" s="3"/>
      <c r="C2772" s="3"/>
      <c r="D2772" s="3"/>
      <c r="E2772" s="3"/>
      <c r="F2772" s="2"/>
      <c r="G2772" s="2"/>
      <c r="I2772" s="1"/>
      <c r="J2772" s="1"/>
    </row>
    <row r="2773" spans="1:10" ht="12.75" x14ac:dyDescent="0.2">
      <c r="A2773" s="3"/>
      <c r="B2773" s="3"/>
      <c r="C2773" s="3"/>
      <c r="D2773" s="3"/>
      <c r="E2773" s="3"/>
      <c r="F2773" s="2"/>
      <c r="G2773" s="2"/>
      <c r="I2773" s="1"/>
      <c r="J2773" s="1"/>
    </row>
    <row r="2774" spans="1:10" ht="12.75" x14ac:dyDescent="0.2">
      <c r="A2774" s="3"/>
      <c r="B2774" s="3"/>
      <c r="C2774" s="3"/>
      <c r="D2774" s="3"/>
      <c r="E2774" s="3"/>
      <c r="F2774" s="2"/>
      <c r="G2774" s="2"/>
      <c r="I2774" s="1"/>
      <c r="J2774" s="1"/>
    </row>
    <row r="2775" spans="1:10" ht="12.75" x14ac:dyDescent="0.2">
      <c r="A2775" s="3"/>
      <c r="B2775" s="3"/>
      <c r="C2775" s="3"/>
      <c r="D2775" s="3"/>
      <c r="E2775" s="3"/>
      <c r="F2775" s="2"/>
      <c r="G2775" s="2"/>
      <c r="I2775" s="1"/>
      <c r="J2775" s="1"/>
    </row>
    <row r="2776" spans="1:10" ht="12.75" x14ac:dyDescent="0.2">
      <c r="A2776" s="3"/>
      <c r="B2776" s="3"/>
      <c r="C2776" s="3"/>
      <c r="D2776" s="3"/>
      <c r="E2776" s="3"/>
      <c r="F2776" s="2"/>
      <c r="G2776" s="2"/>
      <c r="I2776" s="1"/>
      <c r="J2776" s="1"/>
    </row>
    <row r="2777" spans="1:10" ht="12.75" x14ac:dyDescent="0.2">
      <c r="A2777" s="3"/>
      <c r="B2777" s="3"/>
      <c r="C2777" s="3"/>
      <c r="D2777" s="3"/>
      <c r="E2777" s="3"/>
      <c r="F2777" s="2"/>
      <c r="G2777" s="2"/>
      <c r="I2777" s="1"/>
      <c r="J2777" s="1"/>
    </row>
    <row r="2778" spans="1:10" ht="12.75" x14ac:dyDescent="0.2">
      <c r="A2778" s="3"/>
      <c r="B2778" s="3"/>
      <c r="C2778" s="3"/>
      <c r="D2778" s="3"/>
      <c r="E2778" s="3"/>
      <c r="F2778" s="2"/>
      <c r="G2778" s="2"/>
      <c r="I2778" s="1"/>
      <c r="J2778" s="1"/>
    </row>
    <row r="2779" spans="1:10" ht="12.75" x14ac:dyDescent="0.2">
      <c r="A2779" s="3"/>
      <c r="B2779" s="3"/>
      <c r="C2779" s="3"/>
      <c r="D2779" s="3"/>
      <c r="E2779" s="3"/>
      <c r="F2779" s="2"/>
      <c r="G2779" s="2"/>
      <c r="I2779" s="1"/>
      <c r="J2779" s="1"/>
    </row>
    <row r="2780" spans="1:10" ht="12.75" x14ac:dyDescent="0.2">
      <c r="A2780" s="3"/>
      <c r="B2780" s="3"/>
      <c r="C2780" s="3"/>
      <c r="D2780" s="3"/>
      <c r="E2780" s="3"/>
      <c r="F2780" s="2"/>
      <c r="G2780" s="2"/>
      <c r="I2780" s="1"/>
      <c r="J2780" s="1"/>
    </row>
    <row r="2781" spans="1:10" ht="12.75" x14ac:dyDescent="0.2">
      <c r="A2781" s="3"/>
      <c r="B2781" s="3"/>
      <c r="C2781" s="3"/>
      <c r="D2781" s="3"/>
      <c r="E2781" s="3"/>
      <c r="F2781" s="2"/>
      <c r="G2781" s="2"/>
      <c r="I2781" s="1"/>
      <c r="J2781" s="1"/>
    </row>
    <row r="2782" spans="1:10" ht="12.75" x14ac:dyDescent="0.2">
      <c r="A2782" s="3"/>
      <c r="B2782" s="3"/>
      <c r="C2782" s="3"/>
      <c r="D2782" s="3"/>
      <c r="E2782" s="3"/>
      <c r="F2782" s="2"/>
      <c r="G2782" s="2"/>
      <c r="I2782" s="1"/>
      <c r="J2782" s="1"/>
    </row>
    <row r="2783" spans="1:10" ht="12.75" x14ac:dyDescent="0.2">
      <c r="A2783" s="3"/>
      <c r="B2783" s="3"/>
      <c r="C2783" s="3"/>
      <c r="D2783" s="3"/>
      <c r="E2783" s="3"/>
      <c r="F2783" s="2"/>
      <c r="G2783" s="2"/>
      <c r="I2783" s="1"/>
      <c r="J2783" s="1"/>
    </row>
    <row r="2784" spans="1:10" ht="12.75" x14ac:dyDescent="0.2">
      <c r="A2784" s="3"/>
      <c r="B2784" s="3"/>
      <c r="C2784" s="3"/>
      <c r="D2784" s="3"/>
      <c r="E2784" s="3"/>
      <c r="F2784" s="2"/>
      <c r="G2784" s="2"/>
      <c r="I2784" s="1"/>
      <c r="J2784" s="1"/>
    </row>
    <row r="2785" spans="1:10" ht="12.75" x14ac:dyDescent="0.2">
      <c r="A2785" s="3"/>
      <c r="B2785" s="3"/>
      <c r="C2785" s="3"/>
      <c r="D2785" s="3"/>
      <c r="E2785" s="3"/>
      <c r="F2785" s="2"/>
      <c r="G2785" s="2"/>
      <c r="I2785" s="1"/>
      <c r="J2785" s="1"/>
    </row>
    <row r="2786" spans="1:10" ht="12.75" x14ac:dyDescent="0.2">
      <c r="A2786" s="3"/>
      <c r="B2786" s="3"/>
      <c r="C2786" s="3"/>
      <c r="D2786" s="3"/>
      <c r="E2786" s="3"/>
      <c r="F2786" s="2"/>
      <c r="G2786" s="2"/>
      <c r="I2786" s="1"/>
      <c r="J2786" s="1"/>
    </row>
    <row r="2787" spans="1:10" ht="12.75" x14ac:dyDescent="0.2">
      <c r="A2787" s="3"/>
      <c r="B2787" s="3"/>
      <c r="C2787" s="3"/>
      <c r="D2787" s="3"/>
      <c r="E2787" s="3"/>
      <c r="F2787" s="2"/>
      <c r="G2787" s="2"/>
      <c r="I2787" s="1"/>
      <c r="J2787" s="1"/>
    </row>
    <row r="2788" spans="1:10" ht="12.75" x14ac:dyDescent="0.2">
      <c r="A2788" s="3"/>
      <c r="B2788" s="3"/>
      <c r="C2788" s="3"/>
      <c r="D2788" s="3"/>
      <c r="E2788" s="3"/>
      <c r="F2788" s="2"/>
      <c r="G2788" s="2"/>
      <c r="I2788" s="1"/>
      <c r="J2788" s="1"/>
    </row>
    <row r="2789" spans="1:10" ht="12.75" x14ac:dyDescent="0.2">
      <c r="A2789" s="3"/>
      <c r="B2789" s="3"/>
      <c r="C2789" s="3"/>
      <c r="D2789" s="3"/>
      <c r="E2789" s="3"/>
      <c r="F2789" s="2"/>
      <c r="G2789" s="2"/>
      <c r="I2789" s="1"/>
      <c r="J2789" s="1"/>
    </row>
    <row r="2790" spans="1:10" ht="12.75" x14ac:dyDescent="0.2">
      <c r="A2790" s="3"/>
      <c r="B2790" s="3"/>
      <c r="C2790" s="3"/>
      <c r="D2790" s="3"/>
      <c r="E2790" s="3"/>
      <c r="F2790" s="2"/>
      <c r="G2790" s="2"/>
      <c r="I2790" s="1"/>
      <c r="J2790" s="1"/>
    </row>
    <row r="2791" spans="1:10" ht="12.75" x14ac:dyDescent="0.2">
      <c r="A2791" s="3"/>
      <c r="B2791" s="3"/>
      <c r="C2791" s="3"/>
      <c r="D2791" s="3"/>
      <c r="E2791" s="3"/>
      <c r="F2791" s="2"/>
      <c r="G2791" s="2"/>
      <c r="I2791" s="1"/>
      <c r="J2791" s="1"/>
    </row>
    <row r="2792" spans="1:10" ht="12.75" x14ac:dyDescent="0.2">
      <c r="A2792" s="3"/>
      <c r="B2792" s="3"/>
      <c r="C2792" s="3"/>
      <c r="D2792" s="3"/>
      <c r="E2792" s="3"/>
      <c r="F2792" s="2"/>
      <c r="G2792" s="2"/>
      <c r="I2792" s="1"/>
      <c r="J2792" s="1"/>
    </row>
    <row r="2793" spans="1:10" ht="12.75" x14ac:dyDescent="0.2">
      <c r="A2793" s="3"/>
      <c r="B2793" s="3"/>
      <c r="C2793" s="3"/>
      <c r="D2793" s="3"/>
      <c r="E2793" s="3"/>
      <c r="F2793" s="2"/>
      <c r="G2793" s="2"/>
      <c r="I2793" s="1"/>
      <c r="J2793" s="1"/>
    </row>
    <row r="2794" spans="1:10" ht="12.75" x14ac:dyDescent="0.2">
      <c r="A2794" s="3"/>
      <c r="B2794" s="3"/>
      <c r="C2794" s="3"/>
      <c r="D2794" s="3"/>
      <c r="E2794" s="3"/>
      <c r="F2794" s="2"/>
      <c r="G2794" s="2"/>
      <c r="I2794" s="1"/>
      <c r="J2794" s="1"/>
    </row>
    <row r="2795" spans="1:10" ht="12.75" x14ac:dyDescent="0.2">
      <c r="A2795" s="3"/>
      <c r="B2795" s="3"/>
      <c r="C2795" s="3"/>
      <c r="D2795" s="3"/>
      <c r="E2795" s="3"/>
      <c r="F2795" s="2"/>
      <c r="G2795" s="2"/>
      <c r="I2795" s="1"/>
      <c r="J2795" s="1"/>
    </row>
    <row r="2796" spans="1:10" ht="12.75" x14ac:dyDescent="0.2">
      <c r="A2796" s="3"/>
      <c r="B2796" s="3"/>
      <c r="C2796" s="3"/>
      <c r="D2796" s="3"/>
      <c r="E2796" s="3"/>
      <c r="F2796" s="2"/>
      <c r="G2796" s="2"/>
      <c r="I2796" s="1"/>
      <c r="J2796" s="1"/>
    </row>
    <row r="2797" spans="1:10" ht="12.75" x14ac:dyDescent="0.2">
      <c r="A2797" s="3"/>
      <c r="B2797" s="3"/>
      <c r="C2797" s="3"/>
      <c r="D2797" s="3"/>
      <c r="E2797" s="3"/>
      <c r="F2797" s="2"/>
      <c r="G2797" s="2"/>
      <c r="I2797" s="1"/>
      <c r="J2797" s="1"/>
    </row>
    <row r="2798" spans="1:10" ht="12.75" x14ac:dyDescent="0.2">
      <c r="A2798" s="3"/>
      <c r="B2798" s="3"/>
      <c r="C2798" s="3"/>
      <c r="D2798" s="3"/>
      <c r="E2798" s="3"/>
      <c r="F2798" s="2"/>
      <c r="G2798" s="2"/>
      <c r="I2798" s="1"/>
      <c r="J2798" s="1"/>
    </row>
    <row r="2799" spans="1:10" ht="12.75" x14ac:dyDescent="0.2">
      <c r="A2799" s="3"/>
      <c r="B2799" s="3"/>
      <c r="C2799" s="3"/>
      <c r="D2799" s="3"/>
      <c r="E2799" s="3"/>
      <c r="F2799" s="2"/>
      <c r="G2799" s="2"/>
      <c r="I2799" s="1"/>
      <c r="J2799" s="1"/>
    </row>
    <row r="2800" spans="1:10" ht="12.75" x14ac:dyDescent="0.2">
      <c r="A2800" s="3"/>
      <c r="B2800" s="3"/>
      <c r="C2800" s="3"/>
      <c r="D2800" s="3"/>
      <c r="E2800" s="3"/>
      <c r="F2800" s="2"/>
      <c r="G2800" s="2"/>
      <c r="I2800" s="1"/>
      <c r="J2800" s="1"/>
    </row>
    <row r="2801" spans="1:10" ht="12.75" x14ac:dyDescent="0.2">
      <c r="A2801" s="3"/>
      <c r="B2801" s="3"/>
      <c r="C2801" s="3"/>
      <c r="D2801" s="3"/>
      <c r="E2801" s="3"/>
      <c r="F2801" s="2"/>
      <c r="G2801" s="2"/>
      <c r="I2801" s="1"/>
      <c r="J2801" s="1"/>
    </row>
    <row r="2802" spans="1:10" ht="12.75" x14ac:dyDescent="0.2">
      <c r="A2802" s="3"/>
      <c r="B2802" s="3"/>
      <c r="C2802" s="3"/>
      <c r="D2802" s="3"/>
      <c r="E2802" s="3"/>
      <c r="F2802" s="2"/>
      <c r="G2802" s="2"/>
      <c r="I2802" s="1"/>
      <c r="J2802" s="1"/>
    </row>
    <row r="2803" spans="1:10" ht="12.75" x14ac:dyDescent="0.2">
      <c r="A2803" s="3"/>
      <c r="B2803" s="3"/>
      <c r="C2803" s="3"/>
      <c r="D2803" s="3"/>
      <c r="E2803" s="3"/>
      <c r="F2803" s="2"/>
      <c r="G2803" s="2"/>
      <c r="I2803" s="1"/>
      <c r="J2803" s="1"/>
    </row>
    <row r="2804" spans="1:10" ht="12.75" x14ac:dyDescent="0.2">
      <c r="A2804" s="3"/>
      <c r="B2804" s="3"/>
      <c r="C2804" s="3"/>
      <c r="D2804" s="3"/>
      <c r="E2804" s="3"/>
      <c r="F2804" s="2"/>
      <c r="G2804" s="2"/>
      <c r="I2804" s="1"/>
      <c r="J2804" s="1"/>
    </row>
    <row r="2805" spans="1:10" ht="12.75" x14ac:dyDescent="0.2">
      <c r="A2805" s="3"/>
      <c r="B2805" s="3"/>
      <c r="C2805" s="3"/>
      <c r="D2805" s="3"/>
      <c r="E2805" s="3"/>
      <c r="F2805" s="2"/>
      <c r="G2805" s="2"/>
      <c r="I2805" s="1"/>
      <c r="J2805" s="1"/>
    </row>
    <row r="2806" spans="1:10" ht="12.75" x14ac:dyDescent="0.2">
      <c r="A2806" s="3"/>
      <c r="B2806" s="3"/>
      <c r="C2806" s="3"/>
      <c r="D2806" s="3"/>
      <c r="E2806" s="3"/>
      <c r="F2806" s="2"/>
      <c r="G2806" s="2"/>
      <c r="I2806" s="1"/>
      <c r="J2806" s="1"/>
    </row>
    <row r="2807" spans="1:10" ht="12.75" x14ac:dyDescent="0.2">
      <c r="A2807" s="3"/>
      <c r="B2807" s="3"/>
      <c r="C2807" s="3"/>
      <c r="D2807" s="3"/>
      <c r="E2807" s="3"/>
      <c r="F2807" s="2"/>
      <c r="G2807" s="2"/>
      <c r="I2807" s="1"/>
      <c r="J2807" s="1"/>
    </row>
    <row r="2808" spans="1:10" ht="12.75" x14ac:dyDescent="0.2">
      <c r="A2808" s="3"/>
      <c r="B2808" s="3"/>
      <c r="C2808" s="3"/>
      <c r="D2808" s="3"/>
      <c r="E2808" s="3"/>
      <c r="F2808" s="2"/>
      <c r="G2808" s="2"/>
      <c r="I2808" s="1"/>
      <c r="J2808" s="1"/>
    </row>
    <row r="2809" spans="1:10" ht="12.75" x14ac:dyDescent="0.2">
      <c r="A2809" s="3"/>
      <c r="B2809" s="3"/>
      <c r="C2809" s="3"/>
      <c r="D2809" s="3"/>
      <c r="E2809" s="3"/>
      <c r="F2809" s="2"/>
      <c r="G2809" s="2"/>
      <c r="I2809" s="1"/>
      <c r="J2809" s="1"/>
    </row>
    <row r="2810" spans="1:10" ht="12.75" x14ac:dyDescent="0.2">
      <c r="A2810" s="3"/>
      <c r="B2810" s="3"/>
      <c r="C2810" s="3"/>
      <c r="D2810" s="3"/>
      <c r="E2810" s="3"/>
      <c r="F2810" s="2"/>
      <c r="G2810" s="2"/>
      <c r="I2810" s="1"/>
      <c r="J2810" s="1"/>
    </row>
    <row r="2811" spans="1:10" ht="12.75" x14ac:dyDescent="0.2">
      <c r="A2811" s="3"/>
      <c r="B2811" s="3"/>
      <c r="C2811" s="3"/>
      <c r="D2811" s="3"/>
      <c r="E2811" s="3"/>
      <c r="F2811" s="2"/>
      <c r="G2811" s="2"/>
      <c r="I2811" s="1"/>
      <c r="J2811" s="1"/>
    </row>
    <row r="2812" spans="1:10" ht="12.75" x14ac:dyDescent="0.2">
      <c r="A2812" s="3"/>
      <c r="B2812" s="3"/>
      <c r="C2812" s="3"/>
      <c r="D2812" s="3"/>
      <c r="E2812" s="3"/>
      <c r="F2812" s="2"/>
      <c r="G2812" s="2"/>
      <c r="I2812" s="1"/>
      <c r="J2812" s="1"/>
    </row>
    <row r="2813" spans="1:10" ht="12.75" x14ac:dyDescent="0.2">
      <c r="A2813" s="3"/>
      <c r="B2813" s="3"/>
      <c r="C2813" s="3"/>
      <c r="D2813" s="3"/>
      <c r="E2813" s="3"/>
      <c r="F2813" s="2"/>
      <c r="G2813" s="2"/>
      <c r="I2813" s="1"/>
      <c r="J2813" s="1"/>
    </row>
    <row r="2814" spans="1:10" ht="12.75" x14ac:dyDescent="0.2">
      <c r="A2814" s="3"/>
      <c r="B2814" s="3"/>
      <c r="C2814" s="3"/>
      <c r="D2814" s="3"/>
      <c r="E2814" s="3"/>
      <c r="F2814" s="2"/>
      <c r="G2814" s="2"/>
      <c r="I2814" s="1"/>
      <c r="J2814" s="1"/>
    </row>
    <row r="2815" spans="1:10" ht="12.75" x14ac:dyDescent="0.2">
      <c r="A2815" s="3"/>
      <c r="B2815" s="3"/>
      <c r="C2815" s="3"/>
      <c r="D2815" s="3"/>
      <c r="E2815" s="3"/>
      <c r="F2815" s="2"/>
      <c r="G2815" s="2"/>
      <c r="I2815" s="1"/>
      <c r="J2815" s="1"/>
    </row>
    <row r="2816" spans="1:10" ht="12.75" x14ac:dyDescent="0.2">
      <c r="A2816" s="3"/>
      <c r="B2816" s="3"/>
      <c r="C2816" s="3"/>
      <c r="D2816" s="3"/>
      <c r="E2816" s="3"/>
      <c r="F2816" s="2"/>
      <c r="G2816" s="2"/>
      <c r="I2816" s="1"/>
      <c r="J2816" s="1"/>
    </row>
    <row r="2817" spans="1:10" ht="12.75" x14ac:dyDescent="0.2">
      <c r="A2817" s="3"/>
      <c r="B2817" s="3"/>
      <c r="C2817" s="3"/>
      <c r="D2817" s="3"/>
      <c r="E2817" s="3"/>
      <c r="F2817" s="2"/>
      <c r="G2817" s="2"/>
      <c r="I2817" s="1"/>
      <c r="J2817" s="1"/>
    </row>
    <row r="2818" spans="1:10" ht="12.75" x14ac:dyDescent="0.2">
      <c r="A2818" s="3"/>
      <c r="B2818" s="3"/>
      <c r="C2818" s="3"/>
      <c r="D2818" s="3"/>
      <c r="E2818" s="3"/>
      <c r="F2818" s="2"/>
      <c r="G2818" s="2"/>
      <c r="I2818" s="1"/>
      <c r="J2818" s="1"/>
    </row>
    <row r="2819" spans="1:10" ht="12.75" x14ac:dyDescent="0.2">
      <c r="A2819" s="3"/>
      <c r="B2819" s="3"/>
      <c r="C2819" s="3"/>
      <c r="D2819" s="3"/>
      <c r="E2819" s="3"/>
      <c r="F2819" s="2"/>
      <c r="G2819" s="2"/>
      <c r="I2819" s="1"/>
      <c r="J2819" s="1"/>
    </row>
    <row r="2820" spans="1:10" ht="12.75" x14ac:dyDescent="0.2">
      <c r="A2820" s="3"/>
      <c r="B2820" s="3"/>
      <c r="C2820" s="3"/>
      <c r="D2820" s="3"/>
      <c r="E2820" s="3"/>
      <c r="F2820" s="2"/>
      <c r="G2820" s="2"/>
      <c r="I2820" s="1"/>
      <c r="J2820" s="1"/>
    </row>
    <row r="2821" spans="1:10" ht="12.75" x14ac:dyDescent="0.2">
      <c r="A2821" s="3"/>
      <c r="B2821" s="3"/>
      <c r="C2821" s="3"/>
      <c r="D2821" s="3"/>
      <c r="E2821" s="3"/>
      <c r="F2821" s="2"/>
      <c r="G2821" s="2"/>
      <c r="I2821" s="1"/>
      <c r="J2821" s="1"/>
    </row>
    <row r="2822" spans="1:10" ht="12.75" x14ac:dyDescent="0.2">
      <c r="A2822" s="3"/>
      <c r="B2822" s="3"/>
      <c r="C2822" s="3"/>
      <c r="D2822" s="3"/>
      <c r="E2822" s="3"/>
      <c r="F2822" s="2"/>
      <c r="G2822" s="2"/>
      <c r="I2822" s="1"/>
      <c r="J2822" s="1"/>
    </row>
    <row r="2823" spans="1:10" ht="12.75" x14ac:dyDescent="0.2">
      <c r="A2823" s="3"/>
      <c r="B2823" s="3"/>
      <c r="C2823" s="3"/>
      <c r="D2823" s="3"/>
      <c r="E2823" s="3"/>
      <c r="F2823" s="2"/>
      <c r="G2823" s="2"/>
      <c r="I2823" s="1"/>
      <c r="J2823" s="1"/>
    </row>
    <row r="2824" spans="1:10" ht="12.75" x14ac:dyDescent="0.2">
      <c r="A2824" s="3"/>
      <c r="B2824" s="3"/>
      <c r="C2824" s="3"/>
      <c r="D2824" s="3"/>
      <c r="E2824" s="3"/>
      <c r="F2824" s="2"/>
      <c r="G2824" s="2"/>
      <c r="I2824" s="1"/>
      <c r="J2824" s="1"/>
    </row>
    <row r="2825" spans="1:10" ht="12.75" x14ac:dyDescent="0.2">
      <c r="A2825" s="3"/>
      <c r="B2825" s="3"/>
      <c r="C2825" s="3"/>
      <c r="D2825" s="3"/>
      <c r="E2825" s="3"/>
      <c r="F2825" s="2"/>
      <c r="G2825" s="2"/>
      <c r="I2825" s="1"/>
      <c r="J2825" s="1"/>
    </row>
    <row r="2826" spans="1:10" ht="12.75" x14ac:dyDescent="0.2">
      <c r="A2826" s="3"/>
      <c r="B2826" s="3"/>
      <c r="C2826" s="3"/>
      <c r="D2826" s="3"/>
      <c r="E2826" s="3"/>
      <c r="F2826" s="2"/>
      <c r="G2826" s="2"/>
      <c r="I2826" s="1"/>
      <c r="J2826" s="1"/>
    </row>
    <row r="2827" spans="1:10" ht="12.75" x14ac:dyDescent="0.2">
      <c r="A2827" s="3"/>
      <c r="B2827" s="3"/>
      <c r="C2827" s="3"/>
      <c r="D2827" s="3"/>
      <c r="E2827" s="3"/>
      <c r="F2827" s="2"/>
      <c r="G2827" s="2"/>
      <c r="I2827" s="1"/>
      <c r="J2827" s="1"/>
    </row>
    <row r="2828" spans="1:10" ht="12.75" x14ac:dyDescent="0.2">
      <c r="A2828" s="3"/>
      <c r="B2828" s="3"/>
      <c r="C2828" s="3"/>
      <c r="D2828" s="3"/>
      <c r="E2828" s="3"/>
      <c r="F2828" s="2"/>
      <c r="G2828" s="2"/>
      <c r="I2828" s="1"/>
      <c r="J2828" s="1"/>
    </row>
    <row r="2829" spans="1:10" ht="12.75" x14ac:dyDescent="0.2">
      <c r="A2829" s="3"/>
      <c r="B2829" s="3"/>
      <c r="C2829" s="3"/>
      <c r="D2829" s="3"/>
      <c r="E2829" s="3"/>
      <c r="F2829" s="2"/>
      <c r="G2829" s="2"/>
      <c r="I2829" s="1"/>
      <c r="J2829" s="1"/>
    </row>
    <row r="2830" spans="1:10" ht="12.75" x14ac:dyDescent="0.2">
      <c r="A2830" s="3"/>
      <c r="B2830" s="3"/>
      <c r="C2830" s="3"/>
      <c r="D2830" s="3"/>
      <c r="E2830" s="3"/>
      <c r="F2830" s="2"/>
      <c r="G2830" s="2"/>
      <c r="I2830" s="1"/>
      <c r="J2830" s="1"/>
    </row>
    <row r="2831" spans="1:10" ht="12.75" x14ac:dyDescent="0.2">
      <c r="A2831" s="3"/>
      <c r="B2831" s="3"/>
      <c r="C2831" s="3"/>
      <c r="D2831" s="3"/>
      <c r="E2831" s="3"/>
      <c r="F2831" s="2"/>
      <c r="G2831" s="2"/>
      <c r="I2831" s="1"/>
      <c r="J2831" s="1"/>
    </row>
    <row r="2832" spans="1:10" ht="12.75" x14ac:dyDescent="0.2">
      <c r="A2832" s="3"/>
      <c r="B2832" s="3"/>
      <c r="C2832" s="3"/>
      <c r="D2832" s="3"/>
      <c r="E2832" s="3"/>
      <c r="F2832" s="2"/>
      <c r="G2832" s="2"/>
      <c r="I2832" s="1"/>
      <c r="J2832" s="1"/>
    </row>
    <row r="2833" spans="1:10" ht="12.75" x14ac:dyDescent="0.2">
      <c r="A2833" s="3"/>
      <c r="B2833" s="3"/>
      <c r="C2833" s="3"/>
      <c r="D2833" s="3"/>
      <c r="E2833" s="3"/>
      <c r="F2833" s="2"/>
      <c r="G2833" s="2"/>
      <c r="I2833" s="1"/>
      <c r="J2833" s="1"/>
    </row>
    <row r="2834" spans="1:10" ht="12.75" x14ac:dyDescent="0.2">
      <c r="A2834" s="3"/>
      <c r="B2834" s="3"/>
      <c r="C2834" s="3"/>
      <c r="D2834" s="3"/>
      <c r="E2834" s="3"/>
      <c r="F2834" s="2"/>
      <c r="G2834" s="2"/>
      <c r="I2834" s="1"/>
      <c r="J2834" s="1"/>
    </row>
    <row r="2835" spans="1:10" ht="12.75" x14ac:dyDescent="0.2">
      <c r="A2835" s="3"/>
      <c r="B2835" s="3"/>
      <c r="C2835" s="3"/>
      <c r="D2835" s="3"/>
      <c r="E2835" s="3"/>
      <c r="F2835" s="2"/>
      <c r="G2835" s="2"/>
      <c r="I2835" s="1"/>
      <c r="J2835" s="1"/>
    </row>
    <row r="2836" spans="1:10" ht="12.75" x14ac:dyDescent="0.2">
      <c r="A2836" s="3"/>
      <c r="B2836" s="3"/>
      <c r="C2836" s="3"/>
      <c r="D2836" s="3"/>
      <c r="E2836" s="3"/>
      <c r="F2836" s="2"/>
      <c r="G2836" s="2"/>
      <c r="I2836" s="1"/>
      <c r="J2836" s="1"/>
    </row>
    <row r="2837" spans="1:10" ht="12.75" x14ac:dyDescent="0.2">
      <c r="A2837" s="3"/>
      <c r="B2837" s="3"/>
      <c r="C2837" s="3"/>
      <c r="D2837" s="3"/>
      <c r="E2837" s="3"/>
      <c r="F2837" s="2"/>
      <c r="G2837" s="2"/>
      <c r="I2837" s="1"/>
      <c r="J2837" s="1"/>
    </row>
    <row r="2838" spans="1:10" ht="12.75" x14ac:dyDescent="0.2">
      <c r="A2838" s="3"/>
      <c r="B2838" s="3"/>
      <c r="C2838" s="3"/>
      <c r="D2838" s="3"/>
      <c r="E2838" s="3"/>
      <c r="F2838" s="2"/>
      <c r="G2838" s="2"/>
      <c r="I2838" s="1"/>
      <c r="J2838" s="1"/>
    </row>
    <row r="2839" spans="1:10" ht="12.75" x14ac:dyDescent="0.2">
      <c r="A2839" s="3"/>
      <c r="B2839" s="3"/>
      <c r="C2839" s="3"/>
      <c r="D2839" s="3"/>
      <c r="E2839" s="3"/>
      <c r="F2839" s="2"/>
      <c r="G2839" s="2"/>
      <c r="I2839" s="1"/>
      <c r="J2839" s="1"/>
    </row>
    <row r="2840" spans="1:10" ht="12.75" x14ac:dyDescent="0.2">
      <c r="A2840" s="3"/>
      <c r="B2840" s="3"/>
      <c r="C2840" s="3"/>
      <c r="D2840" s="3"/>
      <c r="E2840" s="3"/>
      <c r="F2840" s="2"/>
      <c r="G2840" s="2"/>
      <c r="I2840" s="1"/>
      <c r="J2840" s="1"/>
    </row>
    <row r="2841" spans="1:10" ht="12.75" x14ac:dyDescent="0.2">
      <c r="A2841" s="3"/>
      <c r="B2841" s="3"/>
      <c r="C2841" s="3"/>
      <c r="D2841" s="3"/>
      <c r="E2841" s="3"/>
      <c r="F2841" s="2"/>
      <c r="G2841" s="2"/>
      <c r="I2841" s="1"/>
      <c r="J2841" s="1"/>
    </row>
    <row r="2842" spans="1:10" ht="12.75" x14ac:dyDescent="0.2">
      <c r="A2842" s="3"/>
      <c r="B2842" s="3"/>
      <c r="C2842" s="3"/>
      <c r="D2842" s="3"/>
      <c r="E2842" s="3"/>
      <c r="F2842" s="2"/>
      <c r="G2842" s="2"/>
      <c r="I2842" s="1"/>
      <c r="J2842" s="1"/>
    </row>
    <row r="2843" spans="1:10" ht="12.75" x14ac:dyDescent="0.2">
      <c r="A2843" s="3"/>
      <c r="B2843" s="3"/>
      <c r="C2843" s="3"/>
      <c r="D2843" s="3"/>
      <c r="E2843" s="3"/>
      <c r="F2843" s="2"/>
      <c r="G2843" s="2"/>
      <c r="I2843" s="1"/>
      <c r="J2843" s="1"/>
    </row>
    <row r="2844" spans="1:10" ht="12.75" x14ac:dyDescent="0.2">
      <c r="A2844" s="3"/>
      <c r="B2844" s="3"/>
      <c r="C2844" s="3"/>
      <c r="D2844" s="3"/>
      <c r="E2844" s="3"/>
      <c r="F2844" s="2"/>
      <c r="G2844" s="2"/>
      <c r="I2844" s="1"/>
      <c r="J2844" s="1"/>
    </row>
    <row r="2845" spans="1:10" ht="12.75" x14ac:dyDescent="0.2">
      <c r="A2845" s="3"/>
      <c r="B2845" s="3"/>
      <c r="C2845" s="3"/>
      <c r="D2845" s="3"/>
      <c r="E2845" s="3"/>
      <c r="F2845" s="2"/>
      <c r="G2845" s="2"/>
      <c r="I2845" s="1"/>
      <c r="J2845" s="1"/>
    </row>
    <row r="2846" spans="1:10" ht="12.75" x14ac:dyDescent="0.2">
      <c r="A2846" s="3"/>
      <c r="B2846" s="3"/>
      <c r="C2846" s="3"/>
      <c r="D2846" s="3"/>
      <c r="E2846" s="3"/>
      <c r="F2846" s="2"/>
      <c r="G2846" s="2"/>
      <c r="I2846" s="1"/>
      <c r="J2846" s="1"/>
    </row>
    <row r="2847" spans="1:10" ht="12.75" x14ac:dyDescent="0.2">
      <c r="A2847" s="3"/>
      <c r="B2847" s="3"/>
      <c r="C2847" s="3"/>
      <c r="D2847" s="3"/>
      <c r="E2847" s="3"/>
      <c r="F2847" s="2"/>
      <c r="G2847" s="2"/>
      <c r="I2847" s="1"/>
      <c r="J2847" s="1"/>
    </row>
    <row r="2848" spans="1:10" ht="12.75" x14ac:dyDescent="0.2">
      <c r="A2848" s="3"/>
      <c r="B2848" s="3"/>
      <c r="C2848" s="3"/>
      <c r="D2848" s="3"/>
      <c r="E2848" s="3"/>
      <c r="F2848" s="2"/>
      <c r="G2848" s="2"/>
      <c r="I2848" s="1"/>
      <c r="J2848" s="1"/>
    </row>
    <row r="2849" spans="1:10" ht="12.75" x14ac:dyDescent="0.2">
      <c r="A2849" s="3"/>
      <c r="B2849" s="3"/>
      <c r="C2849" s="3"/>
      <c r="D2849" s="3"/>
      <c r="E2849" s="3"/>
      <c r="F2849" s="2"/>
      <c r="G2849" s="2"/>
      <c r="I2849" s="1"/>
      <c r="J2849" s="1"/>
    </row>
    <row r="2850" spans="1:10" ht="12.75" x14ac:dyDescent="0.2">
      <c r="A2850" s="3"/>
      <c r="B2850" s="3"/>
      <c r="C2850" s="3"/>
      <c r="D2850" s="3"/>
      <c r="E2850" s="3"/>
      <c r="F2850" s="2"/>
      <c r="G2850" s="2"/>
      <c r="I2850" s="1"/>
      <c r="J2850" s="1"/>
    </row>
    <row r="2851" spans="1:10" ht="12.75" x14ac:dyDescent="0.2">
      <c r="A2851" s="3"/>
      <c r="B2851" s="3"/>
      <c r="C2851" s="3"/>
      <c r="D2851" s="3"/>
      <c r="E2851" s="3"/>
      <c r="F2851" s="2"/>
      <c r="G2851" s="2"/>
      <c r="I2851" s="1"/>
      <c r="J2851" s="1"/>
    </row>
    <row r="2852" spans="1:10" ht="12.75" x14ac:dyDescent="0.2">
      <c r="A2852" s="3"/>
      <c r="B2852" s="3"/>
      <c r="C2852" s="3"/>
      <c r="D2852" s="3"/>
      <c r="E2852" s="3"/>
      <c r="F2852" s="2"/>
      <c r="G2852" s="2"/>
      <c r="I2852" s="1"/>
      <c r="J2852" s="1"/>
    </row>
    <row r="2853" spans="1:10" ht="12.75" x14ac:dyDescent="0.2">
      <c r="A2853" s="3"/>
      <c r="B2853" s="3"/>
      <c r="C2853" s="3"/>
      <c r="D2853" s="3"/>
      <c r="E2853" s="3"/>
      <c r="F2853" s="2"/>
      <c r="G2853" s="2"/>
      <c r="I2853" s="1"/>
      <c r="J2853" s="1"/>
    </row>
    <row r="2854" spans="1:10" ht="12.75" x14ac:dyDescent="0.2">
      <c r="A2854" s="3"/>
      <c r="B2854" s="3"/>
      <c r="C2854" s="3"/>
      <c r="D2854" s="3"/>
      <c r="E2854" s="3"/>
      <c r="F2854" s="2"/>
      <c r="G2854" s="2"/>
      <c r="I2854" s="1"/>
      <c r="J2854" s="1"/>
    </row>
    <row r="2855" spans="1:10" ht="12.75" x14ac:dyDescent="0.2">
      <c r="A2855" s="3"/>
      <c r="B2855" s="3"/>
      <c r="C2855" s="3"/>
      <c r="D2855" s="3"/>
      <c r="E2855" s="3"/>
      <c r="F2855" s="2"/>
      <c r="G2855" s="2"/>
      <c r="I2855" s="1"/>
      <c r="J2855" s="1"/>
    </row>
    <row r="2856" spans="1:10" ht="12.75" x14ac:dyDescent="0.2">
      <c r="A2856" s="3"/>
      <c r="B2856" s="3"/>
      <c r="C2856" s="3"/>
      <c r="D2856" s="3"/>
      <c r="E2856" s="3"/>
      <c r="F2856" s="2"/>
      <c r="G2856" s="2"/>
      <c r="I2856" s="1"/>
      <c r="J2856" s="1"/>
    </row>
    <row r="2857" spans="1:10" ht="12.75" x14ac:dyDescent="0.2">
      <c r="A2857" s="3"/>
      <c r="B2857" s="3"/>
      <c r="C2857" s="3"/>
      <c r="D2857" s="3"/>
      <c r="E2857" s="3"/>
      <c r="F2857" s="2"/>
      <c r="G2857" s="2"/>
      <c r="I2857" s="1"/>
      <c r="J2857" s="1"/>
    </row>
    <row r="2858" spans="1:10" ht="12.75" x14ac:dyDescent="0.2">
      <c r="A2858" s="3"/>
      <c r="B2858" s="3"/>
      <c r="C2858" s="3"/>
      <c r="D2858" s="3"/>
      <c r="E2858" s="3"/>
      <c r="F2858" s="2"/>
      <c r="G2858" s="2"/>
      <c r="I2858" s="1"/>
      <c r="J2858" s="1"/>
    </row>
    <row r="2859" spans="1:10" ht="12.75" x14ac:dyDescent="0.2">
      <c r="A2859" s="3"/>
      <c r="B2859" s="3"/>
      <c r="C2859" s="3"/>
      <c r="D2859" s="3"/>
      <c r="E2859" s="3"/>
      <c r="F2859" s="2"/>
      <c r="G2859" s="2"/>
      <c r="I2859" s="1"/>
      <c r="J2859" s="1"/>
    </row>
    <row r="2860" spans="1:10" ht="12.75" x14ac:dyDescent="0.2">
      <c r="A2860" s="3"/>
      <c r="B2860" s="3"/>
      <c r="C2860" s="3"/>
      <c r="D2860" s="3"/>
      <c r="E2860" s="3"/>
      <c r="F2860" s="2"/>
      <c r="G2860" s="2"/>
      <c r="I2860" s="1"/>
      <c r="J2860" s="1"/>
    </row>
    <row r="2861" spans="1:10" ht="12.75" x14ac:dyDescent="0.2">
      <c r="A2861" s="3"/>
      <c r="B2861" s="3"/>
      <c r="C2861" s="3"/>
      <c r="D2861" s="3"/>
      <c r="E2861" s="3"/>
      <c r="F2861" s="2"/>
      <c r="G2861" s="2"/>
      <c r="I2861" s="1"/>
      <c r="J2861" s="1"/>
    </row>
    <row r="2862" spans="1:10" ht="12.75" x14ac:dyDescent="0.2">
      <c r="A2862" s="3"/>
      <c r="B2862" s="3"/>
      <c r="C2862" s="3"/>
      <c r="D2862" s="3"/>
      <c r="E2862" s="3"/>
      <c r="F2862" s="2"/>
      <c r="G2862" s="2"/>
      <c r="I2862" s="1"/>
      <c r="J2862" s="1"/>
    </row>
    <row r="2863" spans="1:10" ht="12.75" x14ac:dyDescent="0.2">
      <c r="A2863" s="3"/>
      <c r="B2863" s="3"/>
      <c r="C2863" s="3"/>
      <c r="D2863" s="3"/>
      <c r="E2863" s="3"/>
      <c r="F2863" s="2"/>
      <c r="G2863" s="2"/>
      <c r="I2863" s="1"/>
      <c r="J2863" s="1"/>
    </row>
    <row r="2864" spans="1:10" ht="12.75" x14ac:dyDescent="0.2">
      <c r="A2864" s="3"/>
      <c r="B2864" s="3"/>
      <c r="C2864" s="3"/>
      <c r="D2864" s="3"/>
      <c r="E2864" s="3"/>
      <c r="F2864" s="2"/>
      <c r="G2864" s="2"/>
      <c r="I2864" s="1"/>
      <c r="J2864" s="1"/>
    </row>
    <row r="2865" spans="1:10" ht="12.75" x14ac:dyDescent="0.2">
      <c r="A2865" s="3"/>
      <c r="B2865" s="3"/>
      <c r="C2865" s="3"/>
      <c r="D2865" s="3"/>
      <c r="E2865" s="3"/>
      <c r="F2865" s="2"/>
      <c r="G2865" s="2"/>
      <c r="I2865" s="1"/>
      <c r="J2865" s="1"/>
    </row>
    <row r="2866" spans="1:10" ht="12.75" x14ac:dyDescent="0.2">
      <c r="A2866" s="3"/>
      <c r="B2866" s="3"/>
      <c r="C2866" s="3"/>
      <c r="D2866" s="3"/>
      <c r="E2866" s="3"/>
      <c r="F2866" s="2"/>
      <c r="G2866" s="2"/>
      <c r="I2866" s="1"/>
      <c r="J2866" s="1"/>
    </row>
    <row r="2867" spans="1:10" ht="12.75" x14ac:dyDescent="0.2">
      <c r="A2867" s="3"/>
      <c r="B2867" s="3"/>
      <c r="C2867" s="3"/>
      <c r="D2867" s="3"/>
      <c r="E2867" s="3"/>
      <c r="F2867" s="2"/>
      <c r="G2867" s="2"/>
      <c r="I2867" s="1"/>
      <c r="J2867" s="1"/>
    </row>
    <row r="2868" spans="1:10" ht="12.75" x14ac:dyDescent="0.2">
      <c r="A2868" s="3"/>
      <c r="B2868" s="3"/>
      <c r="C2868" s="3"/>
      <c r="D2868" s="3"/>
      <c r="E2868" s="3"/>
      <c r="F2868" s="2"/>
      <c r="G2868" s="2"/>
      <c r="I2868" s="1"/>
      <c r="J2868" s="1"/>
    </row>
    <row r="2869" spans="1:10" ht="12.75" x14ac:dyDescent="0.2">
      <c r="A2869" s="3"/>
      <c r="B2869" s="3"/>
      <c r="C2869" s="3"/>
      <c r="D2869" s="3"/>
      <c r="E2869" s="3"/>
      <c r="F2869" s="2"/>
      <c r="G2869" s="2"/>
      <c r="I2869" s="1"/>
      <c r="J2869" s="1"/>
    </row>
    <row r="2870" spans="1:10" ht="12.75" x14ac:dyDescent="0.2">
      <c r="A2870" s="3"/>
      <c r="B2870" s="3"/>
      <c r="C2870" s="3"/>
      <c r="D2870" s="3"/>
      <c r="E2870" s="3"/>
      <c r="F2870" s="2"/>
      <c r="G2870" s="2"/>
      <c r="I2870" s="1"/>
      <c r="J2870" s="1"/>
    </row>
    <row r="2871" spans="1:10" ht="12.75" x14ac:dyDescent="0.2">
      <c r="A2871" s="3"/>
      <c r="B2871" s="3"/>
      <c r="C2871" s="3"/>
      <c r="D2871" s="3"/>
      <c r="E2871" s="3"/>
      <c r="F2871" s="2"/>
      <c r="G2871" s="2"/>
      <c r="I2871" s="1"/>
      <c r="J2871" s="1"/>
    </row>
    <row r="2872" spans="1:10" ht="12.75" x14ac:dyDescent="0.2">
      <c r="A2872" s="3"/>
      <c r="B2872" s="3"/>
      <c r="C2872" s="3"/>
      <c r="D2872" s="3"/>
      <c r="E2872" s="3"/>
      <c r="F2872" s="2"/>
      <c r="G2872" s="2"/>
      <c r="I2872" s="1"/>
      <c r="J2872" s="1"/>
    </row>
    <row r="2873" spans="1:10" ht="12.75" x14ac:dyDescent="0.2">
      <c r="A2873" s="3"/>
      <c r="B2873" s="3"/>
      <c r="C2873" s="3"/>
      <c r="D2873" s="3"/>
      <c r="E2873" s="3"/>
      <c r="F2873" s="2"/>
      <c r="G2873" s="2"/>
      <c r="I2873" s="1"/>
      <c r="J2873" s="1"/>
    </row>
    <row r="2874" spans="1:10" ht="12.75" x14ac:dyDescent="0.2">
      <c r="A2874" s="3"/>
      <c r="B2874" s="3"/>
      <c r="C2874" s="3"/>
      <c r="D2874" s="3"/>
      <c r="E2874" s="3"/>
      <c r="F2874" s="2"/>
      <c r="G2874" s="2"/>
      <c r="I2874" s="1"/>
      <c r="J2874" s="1"/>
    </row>
    <row r="2875" spans="1:10" ht="12.75" x14ac:dyDescent="0.2">
      <c r="A2875" s="3"/>
      <c r="B2875" s="3"/>
      <c r="C2875" s="3"/>
      <c r="D2875" s="3"/>
      <c r="E2875" s="3"/>
      <c r="F2875" s="2"/>
      <c r="G2875" s="2"/>
      <c r="I2875" s="1"/>
      <c r="J2875" s="1"/>
    </row>
    <row r="2876" spans="1:10" ht="12.75" x14ac:dyDescent="0.2">
      <c r="A2876" s="3"/>
      <c r="B2876" s="3"/>
      <c r="C2876" s="3"/>
      <c r="D2876" s="3"/>
      <c r="E2876" s="3"/>
      <c r="F2876" s="2"/>
      <c r="G2876" s="2"/>
      <c r="I2876" s="1"/>
      <c r="J2876" s="1"/>
    </row>
    <row r="2877" spans="1:10" ht="12.75" x14ac:dyDescent="0.2">
      <c r="A2877" s="3"/>
      <c r="B2877" s="3"/>
      <c r="C2877" s="3"/>
      <c r="D2877" s="3"/>
      <c r="E2877" s="3"/>
      <c r="F2877" s="2"/>
      <c r="G2877" s="2"/>
      <c r="I2877" s="1"/>
      <c r="J2877" s="1"/>
    </row>
    <row r="2878" spans="1:10" ht="12.75" x14ac:dyDescent="0.2">
      <c r="A2878" s="3"/>
      <c r="B2878" s="3"/>
      <c r="C2878" s="3"/>
      <c r="D2878" s="3"/>
      <c r="E2878" s="3"/>
      <c r="F2878" s="2"/>
      <c r="G2878" s="2"/>
      <c r="I2878" s="1"/>
      <c r="J2878" s="1"/>
    </row>
    <row r="2879" spans="1:10" ht="12.75" x14ac:dyDescent="0.2">
      <c r="A2879" s="3"/>
      <c r="B2879" s="3"/>
      <c r="C2879" s="3"/>
      <c r="D2879" s="3"/>
      <c r="E2879" s="3"/>
      <c r="F2879" s="2"/>
      <c r="G2879" s="2"/>
      <c r="I2879" s="1"/>
      <c r="J2879" s="1"/>
    </row>
    <row r="2880" spans="1:10" ht="12.75" x14ac:dyDescent="0.2">
      <c r="A2880" s="3"/>
      <c r="B2880" s="3"/>
      <c r="C2880" s="3"/>
      <c r="D2880" s="3"/>
      <c r="E2880" s="3"/>
      <c r="F2880" s="2"/>
      <c r="G2880" s="2"/>
      <c r="I2880" s="1"/>
      <c r="J2880" s="1"/>
    </row>
    <row r="2881" spans="1:10" ht="12.75" x14ac:dyDescent="0.2">
      <c r="A2881" s="3"/>
      <c r="B2881" s="3"/>
      <c r="C2881" s="3"/>
      <c r="D2881" s="3"/>
      <c r="E2881" s="3"/>
      <c r="F2881" s="2"/>
      <c r="G2881" s="2"/>
      <c r="I2881" s="1"/>
      <c r="J2881" s="1"/>
    </row>
    <row r="2882" spans="1:10" ht="12.75" x14ac:dyDescent="0.2">
      <c r="A2882" s="3"/>
      <c r="B2882" s="3"/>
      <c r="C2882" s="3"/>
      <c r="D2882" s="3"/>
      <c r="E2882" s="3"/>
      <c r="F2882" s="2"/>
      <c r="G2882" s="2"/>
      <c r="I2882" s="1"/>
      <c r="J2882" s="1"/>
    </row>
    <row r="2883" spans="1:10" ht="12.75" x14ac:dyDescent="0.2">
      <c r="A2883" s="3"/>
      <c r="B2883" s="3"/>
      <c r="C2883" s="3"/>
      <c r="D2883" s="3"/>
      <c r="E2883" s="3"/>
      <c r="F2883" s="2"/>
      <c r="G2883" s="2"/>
      <c r="I2883" s="1"/>
      <c r="J2883" s="1"/>
    </row>
    <row r="2884" spans="1:10" ht="12.75" x14ac:dyDescent="0.2">
      <c r="A2884" s="3"/>
      <c r="B2884" s="3"/>
      <c r="C2884" s="3"/>
      <c r="D2884" s="3"/>
      <c r="E2884" s="3"/>
      <c r="F2884" s="2"/>
      <c r="G2884" s="2"/>
      <c r="I2884" s="1"/>
      <c r="J2884" s="1"/>
    </row>
    <row r="2885" spans="1:10" ht="12.75" x14ac:dyDescent="0.2">
      <c r="A2885" s="3"/>
      <c r="B2885" s="3"/>
      <c r="C2885" s="3"/>
      <c r="D2885" s="3"/>
      <c r="E2885" s="3"/>
      <c r="F2885" s="2"/>
      <c r="G2885" s="2"/>
      <c r="I2885" s="1"/>
      <c r="J288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Список сводный д.сад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Eldar Nurakhmet</dc:creator>
  <cp:lastModifiedBy>Eldar Nurakhmet</cp:lastModifiedBy>
  <dcterms:created xsi:type="dcterms:W3CDTF">2026-07-08T06:16:36Z</dcterms:created>
  <dcterms:modified xsi:type="dcterms:W3CDTF">2026-07-10T05:25:06Z</dcterms:modified>
</cp:coreProperties>
</file>